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b060b35ba42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b1e2572f814ea0"/>
    <x:sheet xmlns:r="http://schemas.openxmlformats.org/officeDocument/2006/relationships" name="版本说明" sheetId="2" r:id="R3c1fcebd8f814416"/>
    <x:sheet xmlns:r="http://schemas.openxmlformats.org/officeDocument/2006/relationships" name="覆盖审视" sheetId="3" r:id="R8f939f3e81374369"/>
  </x:sheets>
</x:workbook>
</file>

<file path=xl/sharedStrings.xml><?xml version="1.0" encoding="utf-8"?>
<x:sst xmlns:x="http://schemas.openxmlformats.org/spreadsheetml/2006/main">
  <x:si>
    <x:t xml:space="preserve">类别名称</x:t>
  </x:si>
  <x:si>
    <x:t xml:space="preserve">模块名称</x:t>
  </x:si>
  <x:si>
    <x:t xml:space="preserve">测试用例描述</x:t>
  </x:si>
  <x:si>
    <x:t xml:space="preserve">用例编号</x:t>
  </x:si>
  <x:si>
    <x:t xml:space="preserve">用例类型</x:t>
  </x:si>
  <x:si>
    <x:t xml:space="preserve">优先级</x:t>
  </x:si>
  <x:si>
    <x:t xml:space="preserve">前置条件</x:t>
  </x:si>
  <x:si>
    <x:t xml:space="preserve">输入</x:t>
  </x:si>
  <x:si>
    <x:t xml:space="preserve">输出</x:t>
  </x:si>
  <x:si>
    <x:t xml:space="preserve">测试目的</x:t>
  </x:si>
  <x:si>
    <x:t xml:space="preserve">通过准则</x:t>
  </x:si>
  <x:si>
    <x:t xml:space="preserve">归属团队</x:t>
  </x:si>
  <x:si>
    <x:t xml:space="preserve">负责人</x:t>
  </x:si>
  <x:si>
    <x:t xml:space="preserve">测试载体</x:t>
  </x:si>
  <x:si>
    <x:t xml:space="preserve">芯片RTL版本</x:t>
  </x:si>
  <x:si>
    <x:t xml:space="preserve">软件版本</x:t>
  </x:si>
  <x:si>
    <x:t xml:space="preserve">软件环境</x:t>
  </x:si>
  <x:si>
    <x:t xml:space="preserve">当前状态</x:t>
  </x:si>
  <x:si>
    <x:t xml:space="preserve">自动化状态</x:t>
  </x:si>
  <x:si>
    <x:t xml:space="preserve">关联缺陷</x:t>
  </x:si>
  <x:si>
    <x:t xml:space="preserve">开始时间</x:t>
  </x:si>
  <x:si>
    <x:t xml:space="preserve">结束时间</x:t>
  </x:si>
  <x:si>
    <x:t xml:space="preserve">备注</x:t>
  </x:si>
  <x:si>
    <x:t xml:space="preserve">芯片底层软件(不含gpu)</x:t>
  </x:si>
  <x:si>
    <x:t xml:space="preserve">Security</x:t>
  </x:si>
  <x:si>
    <x:t xml:space="preserve">MD5</x:t>
  </x:si>
  <x:si>
    <x:t xml:space="preserve">NGU800P-D0-SECURITY-001</x:t>
  </x:si>
  <x:si>
    <x:t xml:space="preserve">功能正确性</x:t>
  </x:si>
  <x:si>
    <x:t xml:space="preserve">P0</x:t>
  </x:si>
  <x:si>
    <x:t xml:space="preserve">一个二进制文件。</x:t>
  </x:si>
  <x:si>
    <x:t xml:space="preserve">二进制文件的MD5校验码。</x:t>
  </x:si>
  <x:si>
    <x:t xml:space="preserve">得出结果和PC结果一致。</x:t>
  </x:si>
  <x:si>
    <x:t xml:space="preserve">软件平台部_BSP</x:t>
  </x:si>
  <x:si>
    <x:t xml:space="preserve">@梅庆枭</x:t>
  </x:si>
  <x:si>
    <x:t xml:space="preserve">QEMU纯软</x:t>
  </x:si>
  <x:si>
    <x:t xml:space="preserve">V0.85_pre</x:t>
  </x:si>
  <x:si>
    <x:t xml:space="preserve">裸驱</x:t>
  </x:si>
  <x:si>
    <x:t xml:space="preserve">未开始</x:t>
  </x:si>
  <x:si>
    <x:t xml:space="preserve">SHA-256</x:t>
  </x:si>
  <x:si>
    <x:t xml:space="preserve">NGU800P-D0-SECURITY-002</x:t>
  </x:si>
  <x:si>
    <x:t xml:space="preserve">二进制文件的SHA256校验码。</x:t>
  </x:si>
  <x:si>
    <x:t xml:space="preserve">验证SHA-256是否正确。</x:t>
  </x:si>
  <x:si>
    <x:t xml:space="preserve">SHA-512/256</x:t>
  </x:si>
  <x:si>
    <x:t xml:space="preserve">NGU800P-D0-SECURITY-003</x:t>
  </x:si>
  <x:si>
    <x:t xml:space="preserve">二进制文件的SHA512/256校验码。</x:t>
  </x:si>
  <x:si>
    <x:t xml:space="preserve">验证SHA-512/256是否正确。</x:t>
  </x:si>
  <x:si>
    <x:t xml:space="preserve">SHA-512</x:t>
  </x:si>
  <x:si>
    <x:t xml:space="preserve">NGU800P-D0-SECURITY-004</x:t>
  </x:si>
  <x:si>
    <x:t xml:space="preserve">二进制文件的SHA512校验码。</x:t>
  </x:si>
  <x:si>
    <x:t xml:space="preserve">验证SHA-512是否正确。</x:t>
  </x:si>
  <x:si>
    <x:t xml:space="preserve">MD5/SHA256/SHA512中断模式</x:t>
  </x:si>
  <x:si>
    <x:t xml:space="preserve">NGU800P-D0-SECURITY-005</x:t>
  </x:si>
  <x:si>
    <x:t xml:space="preserve">一个二进制文件</x:t>
  </x:si>
  <x:si>
    <x:t xml:space="preserve">二进制文件校验码</x:t>
  </x:si>
  <x:si>
    <x:t xml:space="preserve">验证中断是否产生 &amp;结果是否正确</x:t>
  </x:si>
  <x:si>
    <x:t xml:space="preserve">NGU800P-D0-SECURITY-006</x:t>
  </x:si>
  <x:si>
    <x:t xml:space="preserve">大数。</x:t>
  </x:si>
  <x:si>
    <x:t xml:space="preserve">先加密，然后解密。得到的结果一致。</x:t>
  </x:si>
  <x:si>
    <x:t xml:space="preserve">NGU800P-D0-SECURITY-007</x:t>
  </x:si>
  <x:si>
    <x:t xml:space="preserve">RSA加密。</x:t>
  </x:si>
  <x:si>
    <x:t xml:space="preserve">NGU800P-D0-SECURITY-008</x:t>
  </x:si>
  <x:si>
    <x:t xml:space="preserve">RSA解密。</x:t>
  </x:si>
  <x:si>
    <x:t xml:space="preserve">NGU800P-D0-SECURITY-009</x:t>
  </x:si>
  <x:si>
    <x:t xml:space="preserve">RSA签名。</x:t>
  </x:si>
  <x:si>
    <x:t xml:space="preserve">NGU800P-D0-SECURITY-010</x:t>
  </x:si>
  <x:si>
    <x:t xml:space="preserve">私钥和哈希值。</x:t>
  </x:si>
  <x:si>
    <x:t xml:space="preserve">数字签名。</x:t>
  </x:si>
  <x:si>
    <x:t xml:space="preserve">使用私钥对哈希值进行签名。</x:t>
  </x:si>
  <x:si>
    <x:t xml:space="preserve">得到的签名和PC签名一致。</x:t>
  </x:si>
  <x:si>
    <x:t xml:space="preserve">RSA验签。</x:t>
  </x:si>
  <x:si>
    <x:t xml:space="preserve">NGU800P-D0-SECURITY-011</x:t>
  </x:si>
  <x:si>
    <x:t xml:space="preserve">公钥和数字签名。</x:t>
  </x:si>
  <x:si>
    <x:t xml:space="preserve">哈希值。</x:t>
  </x:si>
  <x:si>
    <x:t xml:space="preserve">使用公钥对签名进行验签。</x:t>
  </x:si>
  <x:si>
    <x:t xml:space="preserve">验签得到的哈希值和原哈希值一致。</x:t>
  </x:si>
  <x:si>
    <x:t xml:space="preserve">AES_128 CBC_MAC</x:t>
  </x:si>
  <x:si>
    <x:t xml:space="preserve">NGU800P-D0-SECURITY-012</x:t>
  </x:si>
  <x:si>
    <x:t xml:space="preserve">AES_192 CBC_MAC</x:t>
  </x:si>
  <x:si>
    <x:t xml:space="preserve">NGU800P-D0-SECURITY-013</x:t>
  </x:si>
  <x:si>
    <x:t xml:space="preserve">AES_256 CBC_MAC</x:t>
  </x:si>
  <x:si>
    <x:t xml:space="preserve">NGU800P-D0-SECURITY-014</x:t>
  </x:si>
  <x:si>
    <x:t xml:space="preserve">AES_128 CMAC</x:t>
  </x:si>
  <x:si>
    <x:t xml:space="preserve">NGU800P-D0-SECURITY-015</x:t>
  </x:si>
  <x:si>
    <x:t xml:space="preserve">AES_192 CMAC</x:t>
  </x:si>
  <x:si>
    <x:t xml:space="preserve">NGU800P-D0-SECURITY-016</x:t>
  </x:si>
  <x:si>
    <x:t xml:space="preserve">AES_256 CMAC</x:t>
  </x:si>
  <x:si>
    <x:t xml:space="preserve">NGU800P-D0-SECURITY-017</x:t>
  </x:si>
  <x:si>
    <x:t xml:space="preserve">AES_128 GCM</x:t>
  </x:si>
  <x:si>
    <x:t xml:space="preserve">NGU800P-D0-SECURITY-018</x:t>
  </x:si>
  <x:si>
    <x:t xml:space="preserve">AES_192 GCM</x:t>
  </x:si>
  <x:si>
    <x:t xml:space="preserve">NGU800P-D0-SECURITY-019</x:t>
  </x:si>
  <x:si>
    <x:t xml:space="preserve">AES_256 GCM</x:t>
  </x:si>
  <x:si>
    <x:t xml:space="preserve">NGU800P-D0-SECURITY-020</x:t>
  </x:si>
  <x:si>
    <x:t xml:space="preserve">AES_128 CCM</x:t>
  </x:si>
  <x:si>
    <x:t xml:space="preserve">NGU800P-D0-SECURITY-021</x:t>
  </x:si>
  <x:si>
    <x:t xml:space="preserve">AES_192 CCM</x:t>
  </x:si>
  <x:si>
    <x:t xml:space="preserve">NGU800P-D0-SECURITY-022</x:t>
  </x:si>
  <x:si>
    <x:t xml:space="preserve">AES_256 CCM</x:t>
  </x:si>
  <x:si>
    <x:t xml:space="preserve">NGU800P-D0-SECURITY-023</x:t>
  </x:si>
  <x:si>
    <x:t xml:space="preserve">AES_128 XTS</x:t>
  </x:si>
  <x:si>
    <x:t xml:space="preserve">NGU800P-D0-SECURITY-024</x:t>
  </x:si>
  <x:si>
    <x:t xml:space="preserve">AES_192 XTS</x:t>
  </x:si>
  <x:si>
    <x:t xml:space="preserve">NGU800P-D0-SECURITY-025</x:t>
  </x:si>
  <x:si>
    <x:t xml:space="preserve">AES_256 XTS</x:t>
  </x:si>
  <x:si>
    <x:t xml:space="preserve">NGU800P-D0-SECURITY-026</x:t>
  </x:si>
  <x:si>
    <x:t xml:space="preserve">NGU800P-D0-SECURITY-027</x:t>
  </x:si>
  <x:si>
    <x:t xml:space="preserve">NGU800P-D0-SECURITY-028</x:t>
  </x:si>
  <x:si>
    <x:t xml:space="preserve">NGU800P-D0-SECURITY-029</x:t>
  </x:si>
  <x:si>
    <x:t xml:space="preserve">SM4 CBC_MAC</x:t>
  </x:si>
  <x:si>
    <x:t xml:space="preserve">NGU800P-D0-SECURITY-030</x:t>
  </x:si>
  <x:si>
    <x:t xml:space="preserve">SM4 CMAC</x:t>
  </x:si>
  <x:si>
    <x:t xml:space="preserve">NGU800P-D0-SECURITY-031</x:t>
  </x:si>
  <x:si>
    <x:t xml:space="preserve">SM4 CCM</x:t>
  </x:si>
  <x:si>
    <x:t xml:space="preserve">NGU800P-D0-SECURITY-032</x:t>
  </x:si>
  <x:si>
    <x:t xml:space="preserve">SM4 XTS</x:t>
  </x:si>
  <x:si>
    <x:t xml:space="preserve">NGU800P-D0-SECURITY-033</x:t>
  </x:si>
  <x:si>
    <x:t xml:space="preserve">NGU800P-D0-SECURITY-034</x:t>
  </x:si>
  <x:si>
    <x:t xml:space="preserve">AES-256 GCM加密。</x:t>
  </x:si>
  <x:si>
    <x:t xml:space="preserve">NGU800P-D0-SECURITY-035</x:t>
  </x:si>
  <x:si>
    <x:t xml:space="preserve">加密文件。</x:t>
  </x:si>
  <x:si>
    <x:t xml:space="preserve">验证AES-256 GCM加密功能。</x:t>
  </x:si>
  <x:si>
    <x:t xml:space="preserve">AES-256 GCM解密。</x:t>
  </x:si>
  <x:si>
    <x:t xml:space="preserve">NGU800P-D0-SECURITY-036</x:t>
  </x:si>
  <x:si>
    <x:t xml:space="preserve">解密文件。</x:t>
  </x:si>
  <x:si>
    <x:t xml:space="preserve">验证AES-256 GCM解密功能。</x:t>
  </x:si>
  <x:si>
    <x:t xml:space="preserve">经过解密的文件和原文件对比，一致则通过。</x:t>
  </x:si>
  <x:si>
    <x:t xml:space="preserve">生成随机数。</x:t>
  </x:si>
  <x:si>
    <x:t xml:space="preserve">NGU800P-D0-SECURITY-037</x:t>
  </x:si>
  <x:si>
    <x:t xml:space="preserve">无</x:t>
  </x:si>
  <x:si>
    <x:t xml:space="preserve">真随机数。</x:t>
  </x:si>
  <x:si>
    <x:t xml:space="preserve">eHSM上电启动与自检综合：ready、自检、基础状态可读</x:t>
  </x:si>
  <x:si>
    <x:t xml:space="preserve">NGU800P-D0-SECURITY-038</x:t>
  </x:si>
  <x:si>
    <x:t xml:space="preserve">eHSM RTL/ROM/BL/efuse基础字段/时钟复位集成完成</x:t>
  </x:si>
  <x:si>
    <x:t xml:space="preserve">Power-on reset；等待bootloader_done；读取eHSM_STATUS；</x:t>
  </x:si>
  <x:si>
    <x:t xml:space="preserve">eHSM ready；bootloader_err=0；版本可读；</x:t>
  </x:si>
  <x:si>
    <x:t xml:space="preserve">验证eHSM作为SoC RoT可启动并提供安全服务</x:t>
  </x:si>
  <x:si>
    <x:t xml:space="preserve">Mailbox基础通信与中断流程综合</x:t>
  </x:si>
  <x:si>
    <x:t xml:space="preserve">NGU800P-D0-SECURITY-040</x:t>
  </x:si>
  <x:si>
    <x:t xml:space="preserve">eHSM ready；Mailbox寄存器映射和中断线接入完成</x:t>
  </x:si>
  <x:si>
    <x:t xml:space="preserve">通过Mailbox发送bl_read_ver/self_test等合法命令；检查H2S/S2H NOTE与中断清除</x:t>
  </x:si>
  <x:si>
    <x:t xml:space="preserve">命令返回成功；中断置位/响应/清除顺序正确</x:t>
  </x:si>
  <x:si>
    <x:t xml:space="preserve">验证SoC与eHSM基础命令通道</x:t>
  </x:si>
  <x:si>
    <x:t xml:space="preserve">Mailbox异常边界综合：非法地址、长度溢出、未知命令、busy、timeout、复位中断</x:t>
  </x:si>
  <x:si>
    <x:t xml:space="preserve">NGU800P-D0-SECURITY-041</x:t>
  </x:si>
  <x:si>
    <x:t xml:space="preserve">Mailbox协议栈完成；可构造非法命令或hold eHSM</x:t>
  </x:si>
  <x:si>
    <x:t xml:space="preserve">构造未对齐/越界buffer、短包/超长包、保留cmd id、命令执行中重入、eHSM无响应、命令中复位</x:t>
  </x:si>
  <x:si>
    <x:t xml:space="preserve">返回参数错误/busy/timeout；不会越界读写；不会误返回PASS</x:t>
  </x:si>
  <x:si>
    <x:t xml:space="preserve">验证Mailbox不能成为任意内存访问或状态机绕过入口</x:t>
  </x:si>
  <x:si>
    <x:t xml:space="preserve">eHSM系统CRG/状态/复位集成综合</x:t>
  </x:si>
  <x:si>
    <x:t xml:space="preserve">NGU800P-D0-SECURITY-042</x:t>
  </x:si>
  <x:si>
    <x:t xml:space="preserve">System CSR、Mailbox、复位控制寄存器已集成</x:t>
  </x:si>
  <x:si>
    <x:t xml:space="preserve">读取版本、状态、生命周期；触发eHSM/SoC局部复位并重新握手</x:t>
  </x:si>
  <x:si>
    <x:t xml:space="preserve">寄存器读写符合权限；复位后状态恢复；错误标志可读</x:t>
  </x:si>
  <x:si>
    <x:t xml:space="preserve">验证安全IP系统寄存器与SoC复位/状态路径</x:t>
  </x:si>
  <x:si>
    <x:t xml:space="preserve">efuse基础读写与UID/控制字段综合</x:t>
  </x:si>
  <x:si>
    <x:t xml:space="preserve">NGU800P-D0-SECURITY-043</x:t>
  </x:si>
  <x:si>
    <x:t xml:space="preserve">处于TEST/DEV/MANUFACTURE允许阶段；efuse驱动可用</x:t>
  </x:si>
  <x:si>
    <x:t xml:space="preserve">bl_otp_read读取LifeCycle/UID/FW Control/Version Counter；bl_otp_write写测试slot或控制字段</x:t>
  </x:si>
  <x:si>
    <x:t xml:space="preserve">读回值与预置一致；写入满足efuse单向bit规则；</x:t>
  </x:si>
  <x:si>
    <x:t xml:space="preserve">验证制造/开发阶段efuse基本访问路径</x:t>
  </x:si>
  <x:si>
    <x:t xml:space="preserve">USER模式efuse写保护与测试能力关闭</x:t>
  </x:si>
  <x:si>
    <x:t xml:space="preserve">NGU800P-D0-SECURITY-044</x:t>
  </x:si>
  <x:si>
    <x:t xml:space="preserve">设备已切换USER；生产密钥/控制字段已冻结</x:t>
  </x:si>
  <x:si>
    <x:t xml:space="preserve">尝试bl_otp_write、重装启动key、写测试slot</x:t>
  </x:si>
  <x:si>
    <x:t xml:space="preserve">所有写入或测试能力被拒绝</x:t>
  </x:si>
  <x:si>
    <x:t xml:space="preserve">验证USER生命周期不可回到制造/开发权限</x:t>
  </x:si>
  <x:si>
    <x:t xml:space="preserve">生命周期权限矩阵综合：TEST/DEV/MANU/USER/DEBUG/DESTROY</x:t>
  </x:si>
  <x:si>
    <x:t xml:space="preserve">NGU800P-D0-SECURITY-045</x:t>
  </x:si>
  <x:si>
    <x:t xml:space="preserve">可配置或仿真不同生命周期状态</x:t>
  </x:si>
  <x:si>
    <x:t xml:space="preserve">在不同生命周期执行efuse、debug、naked image、verify、key install、attestation等操作</x:t>
  </x:si>
  <x:si>
    <x:t xml:space="preserve">各操作按生命周期允许/拒绝</x:t>
  </x:si>
  <x:si>
    <x:t xml:space="preserve">验证生命周期对功能权限的全局裁决</x:t>
  </x:si>
  <x:si>
    <x:t xml:space="preserve">OTP Key安装综合：install_random_key/install_encrypt_key与CRC/slot/key_type校验</x:t>
  </x:si>
  <x:si>
    <x:t xml:space="preserve">NGU800P-D0-SECURITY-046</x:t>
  </x:si>
  <x:si>
    <x:t xml:space="preserve">KMS/制造工具可生成provisioning blob；RTL_KEY/KEK模型可用</x:t>
  </x:si>
  <x:si>
    <x:t xml:space="preserve">安装随机生成key和外部加密blob；覆盖正确CRC、错误CRC、错误slot/type、重复安装</x:t>
  </x:si>
  <x:si>
    <x:t xml:space="preserve">正确blob安装成功；错误blob拒绝</x:t>
  </x:si>
  <x:si>
    <x:t xml:space="preserve">验证制造灌装密钥安装路径</x:t>
  </x:si>
  <x:si>
    <x:t xml:space="preserve">Key slot/KMU加载与访问控制综合</x:t>
  </x:si>
  <x:si>
    <x:t xml:space="preserve">NGU800P-D0-SECURITY-047</x:t>
  </x:si>
  <x:si>
    <x:t xml:space="preserve">OTP key slot已灌装；KMU和Root Key解密路径完成</x:t>
  </x:si>
  <x:si>
    <x:t xml:space="preserve">复位后检查key属性、level、valid、KMU可用性；尝试导出或越权访问key</x:t>
  </x:si>
  <x:si>
    <x:t xml:space="preserve">有效key加载到KMU；不可导出；越权访问失败</x:t>
  </x:si>
  <x:si>
    <x:t xml:space="preserve">验证密钥层级、key属性和KMU访问控制</x:t>
  </x:si>
  <x:si>
    <x:t xml:space="preserve">密钥用途隔离综合：FW验签、FW加密、Upgrade、Debug、Attestation密钥不能混用</x:t>
  </x:si>
  <x:si>
    <x:t xml:space="preserve">NGU800P-D0-SECURITY-048</x:t>
  </x:si>
  <x:si>
    <x:t xml:space="preserve">各类key已分别灌装；可制作错误key用途的测试镜像/token/report</x:t>
  </x:si>
  <x:si>
    <x:t xml:space="preserve">使用Debug key签固件、FW verify key签debug token、Attestation key做升级授权等混用场景</x:t>
  </x:si>
  <x:si>
    <x:t xml:space="preserve">全部失败或被策略拒绝</x:t>
  </x:si>
  <x:si>
    <x:t xml:space="preserve">验证密钥域隔离</x:t>
  </x:si>
  <x:si>
    <x:t xml:space="preserve">防回滚Version Counter综合：等版本/高版本通过，低版本拒绝</x:t>
  </x:si>
  <x:si>
    <x:t xml:space="preserve">NGU800P-D0-SECURITY-049</x:t>
  </x:si>
  <x:si>
    <x:t xml:space="preserve">OTP version counter已配置；可制作不同Version_Counter镜像/升级包</x:t>
  </x:si>
  <x:si>
    <x:t xml:space="preserve">依次验证等于当前、高于当前、低于当前版本的FMC镜像</x:t>
  </x:si>
  <x:si>
    <x:t xml:space="preserve">等于/高于策略允许；低版本拒绝</x:t>
  </x:si>
  <x:si>
    <x:t xml:space="preserve">验证OTP单向版本计数器与反回滚策略</x:t>
  </x:si>
  <x:si>
    <x:t xml:space="preserve">NGU800P-D0-SECURITY-050</x:t>
  </x:si>
  <x:si>
    <x:t xml:space="preserve">BootROM等待eHSM并验证FMC成功启动</x:t>
  </x:si>
  <x:si>
    <x:t xml:space="preserve">NGU800P-D0-SECURITY-051</x:t>
  </x:si>
  <x:si>
    <x:t xml:space="preserve">NOR固定FMC分区存在合法签名+加密FMC package；eHSM ready</x:t>
  </x:si>
  <x:si>
    <x:t xml:space="preserve">上电复位，BootROM读取固定offset并调用VERIFY_FMC/bl_verify_image</x:t>
  </x:si>
  <x:si>
    <x:t xml:space="preserve">verify+decrypt PASS；BootROM解析manifest并跳转FMC</x:t>
  </x:si>
  <x:si>
    <x:t xml:space="preserve">验证BootROM-&gt;eHSM-&gt;FMC安全根路径</x:t>
  </x:si>
  <x:si>
    <x:t xml:space="preserve">eHSM native header合法性与边界综合</x:t>
  </x:si>
  <x:si>
    <x:t xml:space="preserve">NGU800P-D0-SECURITY-053</x:t>
  </x:si>
  <x:si>
    <x:t xml:space="preserve">可制作不同native header字段的镜像</x:t>
  </x:si>
  <x:si>
    <x:t xml:space="preserve">覆盖Valid_Flag、Image_Type、Plain_Flag/Naked_Flag、Code_Size、Version_Counter、Public_Key格式等合法与非法组合</x:t>
  </x:si>
  <x:si>
    <x:t xml:space="preserve">合法组合按策略通过；非法组合被拒绝</x:t>
  </x:si>
  <x:si>
    <x:t xml:space="preserve">验证eHSM原生镜像头解析和项目使用规则</x:t>
  </x:si>
  <x:si>
    <x:t xml:space="preserve">USER/PROD不得接受naked或未授权明文；Code_Size越界/保留字段异常不导致越界访问</x:t>
  </x:si>
  <x:si>
    <x:t xml:space="preserve">FMC Manifest正向策略：image_type、load/entry、lifecycle、measurement均合法</x:t>
  </x:si>
  <x:si>
    <x:t xml:space="preserve">NGU800P-D0-SECURITY-055</x:t>
  </x:si>
  <x:si>
    <x:t xml:space="preserve">FMC package已通过eHSM verify+decrypt；manifest在受保护Code region内</x:t>
  </x:si>
  <x:si>
    <x:t xml:space="preserve">解析合法NGU protected manifest</x:t>
  </x:si>
  <x:si>
    <x:t xml:space="preserve">manifest policy PASS；记录measurement；load+jump FMC</x:t>
  </x:si>
  <x:si>
    <x:t xml:space="preserve">验证manifest正常策略路径</x:t>
  </x:si>
  <x:si>
    <x:t xml:space="preserve">FMC Manifest异常代表综合：类型/生命周期/load-entry/measurement slot任选一类非法</x:t>
  </x:si>
  <x:si>
    <x:t xml:space="preserve">NGU800P-D0-SECURITY-056</x:t>
  </x:si>
  <x:si>
    <x:t xml:space="preserve">可制作eHSM PASS但manifest策略非法的FMC包</x:t>
  </x:si>
  <x:si>
    <x:t xml:space="preserve">构造至少一类非法manifest：ngu_image_type不符、lifecycle不允许、load/entry越界、measurement slot非法</x:t>
  </x:si>
  <x:si>
    <x:t xml:space="preserve">manifest policy FAIL；BootROM不跳转FMC</x:t>
  </x:si>
  <x:si>
    <x:t xml:space="preserve">验证manifest策略失败时仍能fail-close</x:t>
  </x:si>
  <x:si>
    <x:t xml:space="preserve">安全升级镜像安装正向综合：eHSM/SOC upgrade package</x:t>
  </x:si>
  <x:si>
    <x:t xml:space="preserve">NGU800P-D0-SECURITY-062</x:t>
  </x:si>
  <x:si>
    <x:t xml:space="preserve">Upgrade Verify/Encrypt key已灌装；升级命令或项目升级wrapper可用</x:t>
  </x:si>
  <x:si>
    <x:t xml:space="preserve">安装合法升级镜像；解包后生成安全启动镜像并存储</x:t>
  </x:si>
  <x:si>
    <x:t xml:space="preserve">升级验签、解密、版本检查通过；安装成功</x:t>
  </x:si>
  <x:si>
    <x:t xml:space="preserve">验证安全固件升级基本闭环</x:t>
  </x:si>
  <x:si>
    <x:t xml:space="preserve">安全升级异常综合：升级签名/解密/版本/类型非法</x:t>
  </x:si>
  <x:si>
    <x:t xml:space="preserve">NGU800P-D0-SECURITY-063</x:t>
  </x:si>
  <x:si>
    <x:t xml:space="preserve">可制作非法升级包</x:t>
  </x:si>
  <x:si>
    <x:t xml:space="preserve">构造错误Upgrade_Signature、错误Upgrade_Encrypt_IV/密文、低版本、错误Image_Type中的任一类</x:t>
  </x:si>
  <x:si>
    <x:t xml:space="preserve">安装失败；不改写active镜像或slot</x:t>
  </x:si>
  <x:si>
    <x:t xml:space="preserve">验证升级失败原子性</x:t>
  </x:si>
  <x:si>
    <x:t xml:space="preserve">OOB MCU刷机恢复正向：授权刷写FMC后下一次启动验证通过</x:t>
  </x:si>
  <x:si>
    <x:t xml:space="preserve">NGU800P-D0-SECURITY-065</x:t>
  </x:si>
  <x:si>
    <x:t xml:space="preserve">FMC损坏或boot fail；OOB MCU独立信任链和QSPI写通路可用</x:t>
  </x:si>
  <x:si>
    <x:t xml:space="preserve">Host/BMC触发授权recovery；OOB MCU校验命令和package后刷写NOR固定FMC分区；复位SoC</x:t>
  </x:si>
  <x:si>
    <x:t xml:space="preserve">OOB刷写成功；下一次BootROM+eHSM验证FMC通过并启动</x:t>
  </x:si>
  <x:si>
    <x:t xml:space="preserve">验证板级恢复不替代SoC RoT</x:t>
  </x:si>
  <x:si>
    <x:t xml:space="preserve">OOB MCU刷机恢复异常综合：未授权命令/非法包/写错区域/刷后验证失败</x:t>
  </x:si>
  <x:si>
    <x:t xml:space="preserve">NGU800P-D0-SECURITY-066</x:t>
  </x:si>
  <x:si>
    <x:t xml:space="preserve">OOB恢复通路可注入非法命令或非法FMC包</x:t>
  </x:si>
  <x:si>
    <x:t xml:space="preserve">尝试未授权刷写、越权区域刷写、刷入篡改FMC包</x:t>
  </x:si>
  <x:si>
    <x:t xml:space="preserve">OOB拒绝或下次SoC启动时eHSM拒绝执行</x:t>
  </x:si>
  <x:si>
    <x:t xml:space="preserve">验证OOB不进入SoC Root of Trust</x:t>
  </x:si>
  <x:si>
    <x:t xml:space="preserve">设备证书链存储与读取正向</x:t>
  </x:si>
  <x:si>
    <x:t xml:space="preserve">NGU800P-D0-SECURITY-067</x:t>
  </x:si>
  <x:si>
    <x:t xml:space="preserve">Secure Cert Partition已写入Intermediate CA Cert + Device Attestation Cert；可选cert hash/slot id已绑定</x:t>
  </x:si>
  <x:si>
    <x:t xml:space="preserve">读取当前cert slot header和DER chain；计算cert_chain_hash</x:t>
  </x:si>
  <x:si>
    <x:t xml:space="preserve">证书链可读取；slot状态valid/active</x:t>
  </x:si>
  <x:si>
    <x:t xml:space="preserve">验证静态X.509设备证明证书链存储</x:t>
  </x:si>
  <x:si>
    <x:t xml:space="preserve">证书链slot更新</x:t>
  </x:si>
  <x:si>
    <x:t xml:space="preserve">NGU800P-D0-SECURITY-068</x:t>
  </x:si>
  <x:si>
    <x:t xml:space="preserve">Secure Cert Partition支持current/staging slot或等效机制</x:t>
  </x:si>
  <x:si>
    <x:t xml:space="preserve">写入staging证书链</x:t>
  </x:si>
  <x:si>
    <x:t xml:space="preserve">合法更新成功；篡改/回滚拒绝</x:t>
  </x:si>
  <x:si>
    <x:t xml:space="preserve">验证SPDM证书slot策略与证书链更新安全</x:t>
  </x:si>
  <x:si>
    <x:t xml:space="preserve">制造灌装总流程与审计记录综合</x:t>
  </x:si>
  <x:si>
    <x:t xml:space="preserve">NGU800P-D0-SECURITY-069</x:t>
  </x:si>
  <x:si>
    <x:t xml:space="preserve">制造工站、KMS、Provisioning FW、eHSM、OTP、证书分区流程可联调</x:t>
  </x:si>
  <x:si>
    <x:t xml:space="preserve">执行key/hash安装、lifecycle/control/counter配置、attestation CSR/证书写入、readback/status检查</x:t>
  </x:si>
  <x:si>
    <x:t xml:space="preserve">灌装成功并生成制造审计记录</x:t>
  </x:si>
  <x:si>
    <x:t xml:space="preserve">验证量产安全配置闭环</x:t>
  </x:si>
  <x:si>
    <x:t xml:space="preserve">Measurement table启动链填充综合</x:t>
  </x:si>
  <x:si>
    <x:t xml:space="preserve">NGU800P-D0-SECURITY-070</x:t>
  </x:si>
  <x:si>
    <x:t xml:space="preserve">FMC/GSP/Runtime至少各有一版合法镜像；measurement table内存/格式已定义</x:t>
  </x:si>
  <x:si>
    <x:t xml:space="preserve">完成一次完整启动并读取measurement table</x:t>
  </x:si>
  <x:si>
    <x:t xml:space="preserve">包含BootROM/FMC/GSP/Runtime hash、version、rollback、policy、decrypt_applied等字段</x:t>
  </x:si>
  <x:si>
    <x:t xml:space="preserve">验证远程认证的数据基础</x:t>
  </x:si>
  <x:si>
    <x:t xml:space="preserve">Attestation report生成与签名正向</x:t>
  </x:si>
  <x:si>
    <x:t xml:space="preserve">NGU800P-D0-SECURITY-071</x:t>
  </x:si>
  <x:si>
    <x:t xml:space="preserve">设备证明私钥在eHSM内；证书链可读；measurement table有效</x:t>
  </x:si>
  <x:si>
    <x:t xml:space="preserve">Verifier发送nonce；SEC2请求eHSM签名并返回report+cert chain</x:t>
  </x:si>
  <x:si>
    <x:t xml:space="preserve">报告签名可验证；nonce匹配；证书链与设备公钥匹配</x:t>
  </x:si>
  <x:si>
    <x:t xml:space="preserve">验证设备远程认证基本能力</x:t>
  </x:si>
  <x:si>
    <x:t xml:space="preserve">Attestation报告篡改/重放异常综合</x:t>
  </x:si>
  <x:si>
    <x:t xml:space="preserve">NGU800P-D0-SECURITY-072</x:t>
  </x:si>
  <x:si>
    <x:t xml:space="preserve">有合法报告和证书链；Verifier可执行验签和策略检查</x:t>
  </x:si>
  <x:si>
    <x:t xml:space="preserve">修改nonce、measurement、lifecycle/debug状态或重放旧report</x:t>
  </x:si>
  <x:si>
    <x:t xml:space="preserve">Verifier拒绝报告</x:t>
  </x:si>
  <x:si>
    <x:t xml:space="preserve">验证报告不可被重放或局部篡改</x:t>
  </x:si>
  <x:si>
    <x:t xml:space="preserve">SPDM版本/能力/算法协商综合</x:t>
  </x:si>
  <x:si>
    <x:t xml:space="preserve">NGU800P-D0-SECURITY-073</x:t>
  </x:si>
  <x:si>
    <x:t xml:space="preserve">SPDM responder软件栈已接入SEC2/eHSM；算法profile配置完成</x:t>
  </x:si>
  <x:si>
    <x:t xml:space="preserve">发送GET_VERSION、GET_CAPABILITIES、NEGOTIATE_ALGORITHMS</x:t>
  </x:si>
  <x:si>
    <x:t xml:space="preserve">返回支持版本、能力和算法集合</x:t>
  </x:si>
  <x:si>
    <x:t xml:space="preserve">验证SPDM基础发现流程</x:t>
  </x:si>
  <x:si>
    <x:t xml:space="preserve">SPDM证书获取综合：GET_DIGESTS/GET_CERTIFICATE</x:t>
  </x:si>
  <x:si>
    <x:t xml:space="preserve">NGU800P-D0-SECURITY-074</x:t>
  </x:si>
  <x:si>
    <x:t xml:space="preserve">证书链slot有效；cert chain DER可读取</x:t>
  </x:si>
  <x:si>
    <x:t xml:space="preserve">Host发送GET_DIGESTS和分片GET_CERTIFICATE</x:t>
  </x:si>
  <x:si>
    <x:t xml:space="preserve">返回digest与证书链内容；分片offset/length正确</x:t>
  </x:si>
  <x:si>
    <x:t xml:space="preserve">验证SPDM证书链发布能力</x:t>
  </x:si>
  <x:si>
    <x:t xml:space="preserve">SPDM挑战认证与测量获取综合：CHALLENGE/GET_MEASUREMENTS</x:t>
  </x:si>
  <x:si>
    <x:t xml:space="preserve">NGU800P-D0-SECURITY-075</x:t>
  </x:si>
  <x:si>
    <x:t xml:space="preserve">SPDM协商完成；measurement table有效；attestation key可用</x:t>
  </x:si>
  <x:si>
    <x:t xml:space="preserve">发送CHALLENGE和GET_MEASUREMENTS，可选请求签名测量</x:t>
  </x:si>
  <x:si>
    <x:t xml:space="preserve">返回带nonce绑定的签名响应和测量块</x:t>
  </x:si>
  <x:si>
    <x:t xml:space="preserve">验证SPDM设备证明主路径</x:t>
  </x:si>
  <x:si>
    <x:t xml:space="preserve">认证状态字段完整性：lifecycle/debug/secure boot/rollback/OOB状态</x:t>
  </x:si>
  <x:si>
    <x:t xml:space="preserve">NGU800P-D0-SECURITY-077</x:t>
  </x:si>
  <x:si>
    <x:t xml:space="preserve">设备经历正常启动、debug授权、OOB恢复等可观测状态</x:t>
  </x:si>
  <x:si>
    <x:t xml:space="preserve">分别读取attestation report或状态接口</x:t>
  </x:si>
  <x:si>
    <x:t xml:space="preserve">报告中状态字段与设备真实状态一致</x:t>
  </x:si>
  <x:si>
    <x:t xml:space="preserve">验证Verifier能判断设备是否可信</x:t>
  </x:si>
  <x:si>
    <x:t xml:space="preserve">USER模式Debug默认关闭与端口不可访问</x:t>
  </x:si>
  <x:si>
    <x:t xml:space="preserve">NGU800P-D0-SECURITY-078</x:t>
  </x:si>
  <x:si>
    <x:t xml:space="preserve">设备处于USER；未执行Debug Auth</x:t>
  </x:si>
  <x:si>
    <x:t xml:space="preserve">尝试JTAG/trace/debug端口访问；读取debug enable状态</x:t>
  </x:si>
  <x:si>
    <x:t xml:space="preserve">端口关闭；debug enable为0或默认关闭</x:t>
  </x:si>
  <x:si>
    <x:t xml:space="preserve">验证量产默认调试面关闭</x:t>
  </x:si>
  <x:si>
    <x:t xml:space="preserve">Debug challenge-response授权正向：scope受限打开</x:t>
  </x:si>
  <x:si>
    <x:t xml:space="preserve">NGU800P-D0-SECURITY-079</x:t>
  </x:si>
  <x:si>
    <x:t xml:space="preserve">Debug Verify Key已灌装；授权工具可生成带UID/challenge/scope/expiry的token</x:t>
  </x:si>
  <x:si>
    <x:t xml:space="preserve">GET_CHALLENGE；提交合法DEBUG_AUTH token，指定SOC debug端口或scope</x:t>
  </x:si>
  <x:si>
    <x:t xml:space="preserve">授权成功；只打开指定scope；返回audit id/expiry</x:t>
  </x:si>
  <x:si>
    <x:t xml:space="preserve">验证安全Debug正向流程</x:t>
  </x:si>
  <x:si>
    <x:t xml:space="preserve">Debug授权异常综合：错误签名、过期、错误UID、错误scope、吊销key</x:t>
  </x:si>
  <x:si>
    <x:t xml:space="preserve">NGU800P-D0-SECURITY-080</x:t>
  </x:si>
  <x:si>
    <x:t xml:space="preserve">可生成多种非法debug token</x:t>
  </x:si>
  <x:si>
    <x:t xml:space="preserve">提交非法token并尝试访问debug端口</x:t>
  </x:si>
  <x:si>
    <x:t xml:space="preserve">DEBUG_AUTH失败；端口不打开</x:t>
  </x:si>
  <x:si>
    <x:t xml:space="preserve">验证debug授权不可绕过</x:t>
  </x:si>
  <x:si>
    <x:t xml:space="preserve">Debug关闭与自动失效综合：close、timeout、reset、生命周期切换、安全错误</x:t>
  </x:si>
  <x:si>
    <x:t xml:space="preserve">NGU800P-D0-SECURITY-081</x:t>
  </x:si>
  <x:si>
    <x:t xml:space="preserve">已通过Debug Auth打开部分scope</x:t>
  </x:si>
  <x:si>
    <x:t xml:space="preserve">执行CLOSE_DEBUG；或等待expiry；或复位/生命周期切换/注入安全错误</x:t>
  </x:si>
  <x:si>
    <x:t xml:space="preserve">debug端口关闭；状态和审计更新</x:t>
  </x:si>
  <x:si>
    <x:t xml:space="preserve">验证debug不长期遗留</x:t>
  </x:si>
  <x:si>
    <x:t xml:space="preserve">RMA授权与生命周期/审计综合</x:t>
  </x:si>
  <x:si>
    <x:t xml:space="preserve">NGU800P-D0-SECURITY-082</x:t>
  </x:si>
  <x:si>
    <x:t xml:space="preserve">RMA策略、RMA授权key或Debug/RMA token已定义</x:t>
  </x:si>
  <x:si>
    <x:t xml:space="preserve">发起RMA请求，携带scope、reason、expiry和授权签名</x:t>
  </x:si>
  <x:si>
    <x:t xml:space="preserve">合法RMA进入授权维修状态；非法RMA拒绝</x:t>
  </x:si>
  <x:si>
    <x:t xml:space="preserve">验证售后维修安全闭环</x:t>
  </x:si>
  <x:si>
    <x:t xml:space="preserve">Host/BMC/OOB不可信边界与白名单访问综合</x:t>
  </x:si>
  <x:si>
    <x:t xml:space="preserve">NGU800P-D0-SECURITY-083</x:t>
  </x:si>
  <x:si>
    <x:t xml:space="preserve">Host PCIe 、BMC/OOB、SMBus/I2C/I3C、UART/JTAG等输入面已接入</x:t>
  </x:si>
  <x:si>
    <x:t xml:space="preserve">分别尝试访问普通staging/status与高危控制面</x:t>
  </x:si>
  <x:si>
    <x:t xml:space="preserve">普通白名单接口可用；release/debug/lifecycle/key/counter等高危控制面拒绝</x:t>
  </x:si>
  <x:si>
    <x:t xml:space="preserve">验证外部实体只能作为请求方或承载方</x:t>
  </x:si>
  <x:si>
    <x:t xml:space="preserve">PKE签名验签与报告签名综合</x:t>
  </x:si>
  <x:si>
    <x:t xml:space="preserve">NGU800P-D0-SECURITY-089</x:t>
  </x:si>
  <x:si>
    <x:t xml:space="preserve">PKE RAM和算法profile配置完成；attestation/debug/firmware verify相关key可用</x:t>
  </x:si>
  <x:si>
    <x:t xml:space="preserve">执行RSA/ECDSA/SM2验签；执行attestation report签名或等效PKE调用</x:t>
  </x:si>
  <x:si>
    <x:t xml:space="preserve">验签/签名结果正确</x:t>
  </x:si>
  <x:si>
    <x:t xml:space="preserve">验证公钥算法引擎支撑验签、debug、attestation</x:t>
  </x:si>
  <x:si>
    <x:t xml:space="preserve">WDT、随机时钟、UART Log安全配置综合</x:t>
  </x:si>
  <x:si>
    <x:t xml:space="preserve">NGU800P-D0-SECURITY-091</x:t>
  </x:si>
  <x:si>
    <x:t xml:space="preserve">FW/HW Control可配置WatchdogLevel、RandomClockLevel、UartLogSwitch</x:t>
  </x:si>
  <x:si>
    <x:t xml:space="preserve">分别配置WDT、随机时钟档位、USER日志关闭；运行长时间命令和启动流程</x:t>
  </x:si>
  <x:si>
    <x:t xml:space="preserve">WDT按策略喂狗/超时；随机时钟配置生效；USER无敏感日志</x:t>
  </x:si>
  <x:si>
    <x:t xml:space="preserve">WDT不误复位；停止喂狗可诊断；日志不打印密钥、明文、token或内部安全材料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</x:si>
</x:sst>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1"/>
      <x:color theme="1"/>
      <x:name val="宋体"/>
    </x:font>
    <x:font>
      <x:sz val="12"/>
      <x:color rgb="FF1F2329"/>
      <x:name val="宋体"/>
    </x:font>
    <x:font>
      <x:sz val="10"/>
      <x:color rgb="FF1F2329"/>
      <x:name val="宋体"/>
    </x:font>
    <x:font>
      <x:sz val="12"/>
      <x:color rgb="FFF54A45"/>
      <x:name val="宋体"/>
    </x:font>
    <x:font>
      <x:sz val="10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b/>
      <x:sz val="11"/>
      <x:color rgb="FF1F2329"/>
      <x:name val="宋体"/>
    </x:font>
  </x:fonts>
  <x:fills count="42">
    <x:fill>
      <x:patternFill patternType="none"/>
    </x:fill>
    <x:fill>
      <x:patternFill patternType="gray125"/>
    </x:fill>
    <x:fill>
      <x:patternFill patternType="solid">
        <x:fgColor rgb="FFC3DD40"/>
      </x:patternFill>
    </x:fill>
    <x:fill>
      <x:patternFill patternType="solid">
        <x:fgColor rgb="FFFFFD00"/>
      </x:patternFill>
    </x:fill>
    <x:fill>
      <x:patternFill patternType="solid">
        <x:fgColor rgb="FFFFFFFF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2CC"/>
      </x:patternFill>
    </x:fill>
    <x:fill>
      <x:patternFill patternType="solid">
        <x:fgColor rgb="FFF4B183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C3DD40"/>
      </x:patternFill>
    </x:fill>
    <x:fill>
      <x:patternFill patternType="solid">
        <x:fgColor rgb="FFD9EAF7"/>
      </x:patternFill>
    </x:fill>
  </x:fills>
  <x:borders count="1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DEE0E3"/>
      </x:bottom>
    </x:border>
    <x:border>
      <x:left style="thin">
        <x:color rgb="FF000000"/>
      </x:left>
      <x:right style="thin">
        <x:color rgb="FFDEE0E3"/>
      </x:right>
      <x:top style="thin">
        <x:color rgb="FF000000"/>
      </x:top>
      <x:bottom style="thin">
        <x:color rgb="FF000000"/>
      </x:bottom>
    </x:border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DEE0E3"/>
      </x:left>
      <x:right style="thin">
        <x:color rgb="FFDEE0E3"/>
      </x:right>
      <x:top style="thin">
        <x:color rgb="FFDEE0E3"/>
      </x:top>
      <x:bottom style="thin">
        <x:color rgb="FFDEE0E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5" fillId="0" borderId="0">
      <x:alignment vertical="center"/>
    </x:xf>
    <x:xf numFmtId="0" fontId="6" fillId="0" borderId="0">
      <x:alignment vertical="center"/>
    </x:xf>
    <x:xf numFmtId="0" fontId="0" fillId="5" borderId="6">
      <x:alignment vertical="center"/>
    </x:xf>
    <x:xf numFmtId="0" fontId="7" fillId="0" borderId="0">
      <x:alignment vertical="center"/>
    </x:xf>
    <x:xf numFmtId="0" fontId="8" fillId="0" borderId="0">
      <x:alignment vertical="center"/>
    </x:xf>
    <x:xf numFmtId="0" fontId="9" fillId="0" borderId="0">
      <x:alignment vertical="center"/>
    </x:xf>
    <x:xf numFmtId="0" fontId="10" fillId="0" borderId="7">
      <x:alignment vertical="center"/>
    </x:xf>
    <x:xf numFmtId="0" fontId="11" fillId="0" borderId="7">
      <x:alignment vertical="center"/>
    </x:xf>
    <x:xf numFmtId="0" fontId="12" fillId="0" borderId="8">
      <x:alignment vertical="center"/>
    </x:xf>
    <x:xf numFmtId="0" fontId="12" fillId="0" borderId="0">
      <x:alignment vertical="center"/>
    </x:xf>
    <x:xf numFmtId="0" fontId="13" fillId="6" borderId="9">
      <x:alignment vertical="center"/>
    </x:xf>
    <x:xf numFmtId="0" fontId="14" fillId="7" borderId="10">
      <x:alignment vertical="center"/>
    </x:xf>
    <x:xf numFmtId="0" fontId="15" fillId="7" borderId="9">
      <x:alignment vertical="center"/>
    </x:xf>
    <x:xf numFmtId="0" fontId="16" fillId="8" borderId="11">
      <x:alignment vertical="center"/>
    </x:xf>
    <x:xf numFmtId="0" fontId="17" fillId="0" borderId="12">
      <x:alignment vertical="center"/>
    </x:xf>
    <x:xf numFmtId="0" fontId="18" fillId="0" borderId="13">
      <x:alignment vertical="center"/>
    </x:xf>
    <x:xf numFmtId="0" fontId="19" fillId="9" borderId="0">
      <x:alignment vertical="center"/>
    </x:xf>
    <x:xf numFmtId="0" fontId="20" fillId="10" borderId="0">
      <x:alignment vertical="center"/>
    </x:xf>
    <x:xf numFmtId="0" fontId="21" fillId="11" borderId="0">
      <x:alignment vertical="center"/>
    </x:xf>
    <x:xf numFmtId="0" fontId="22" fillId="12" borderId="0">
      <x:alignment vertical="center"/>
    </x:xf>
    <x:xf numFmtId="0" fontId="23" fillId="13" borderId="0">
      <x:alignment vertical="center"/>
    </x:xf>
    <x:xf numFmtId="0" fontId="23" fillId="14" borderId="0">
      <x:alignment vertical="center"/>
    </x:xf>
    <x:xf numFmtId="0" fontId="22" fillId="15" borderId="0">
      <x:alignment vertical="center"/>
    </x:xf>
    <x:xf numFmtId="0" fontId="22" fillId="16" borderId="0">
      <x:alignment vertical="center"/>
    </x:xf>
    <x:xf numFmtId="0" fontId="23" fillId="17" borderId="0">
      <x:alignment vertical="center"/>
    </x:xf>
    <x:xf numFmtId="0" fontId="23" fillId="18" borderId="0">
      <x:alignment vertical="center"/>
    </x:xf>
    <x:xf numFmtId="0" fontId="22" fillId="19" borderId="0">
      <x:alignment vertical="center"/>
    </x:xf>
    <x:xf numFmtId="0" fontId="22" fillId="20" borderId="0">
      <x:alignment vertical="center"/>
    </x:xf>
    <x:xf numFmtId="0" fontId="23" fillId="21" borderId="0">
      <x:alignment vertical="center"/>
    </x:xf>
    <x:xf numFmtId="0" fontId="23" fillId="22" borderId="0">
      <x:alignment vertical="center"/>
    </x:xf>
    <x:xf numFmtId="0" fontId="22" fillId="23" borderId="0">
      <x:alignment vertical="center"/>
    </x:xf>
    <x:xf numFmtId="0" fontId="22" fillId="24" borderId="0">
      <x:alignment vertical="center"/>
    </x:xf>
    <x:xf numFmtId="0" fontId="23" fillId="25" borderId="0">
      <x:alignment vertical="center"/>
    </x:xf>
    <x:xf numFmtId="0" fontId="23" fillId="26" borderId="0">
      <x:alignment vertical="center"/>
    </x:xf>
    <x:xf numFmtId="0" fontId="22" fillId="27" borderId="0">
      <x:alignment vertical="center"/>
    </x:xf>
    <x:xf numFmtId="0" fontId="22" fillId="28" borderId="0">
      <x:alignment vertical="center"/>
    </x:xf>
    <x:xf numFmtId="0" fontId="23" fillId="29" borderId="0">
      <x:alignment vertical="center"/>
    </x:xf>
    <x:xf numFmtId="0" fontId="23" fillId="30" borderId="0">
      <x:alignment vertical="center"/>
    </x:xf>
    <x:xf numFmtId="0" fontId="22" fillId="31" borderId="0">
      <x:alignment vertical="center"/>
    </x:xf>
    <x:xf numFmtId="0" fontId="22" fillId="32" borderId="0">
      <x:alignment vertical="center"/>
    </x:xf>
    <x:xf numFmtId="0" fontId="23" fillId="33" borderId="0">
      <x:alignment vertical="center"/>
    </x:xf>
    <x:xf numFmtId="0" fontId="23" fillId="34" borderId="0">
      <x:alignment vertical="center"/>
    </x:xf>
    <x:xf numFmtId="0" fontId="22" fillId="35" borderId="0">
      <x:alignment vertical="center"/>
    </x:xf>
  </x:cellStyleXfs>
  <x:cellXfs count="46">
    <x:xf numFmtId="0" fontId="0" fillId="0" borderId="0" xfId="0" applyAlignment="1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/>
    </x:xf>
    <x:xf numFmtId="0" fontId="1" fillId="3" borderId="2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center" vertical="center"/>
    </x:xf>
    <x:xf numFmtId="0" fontId="2" fillId="4" borderId="1" xfId="0" applyFont="1" applyFill="1" applyBorder="1" applyAlignment="1">
      <x:alignment horizontal="left" vertical="center"/>
    </x:xf>
    <x:xf numFmtId="0" fontId="2" fillId="4" borderId="3" xfId="0" applyFont="1" applyFill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/>
    </x:xf>
    <x:xf numFmtId="0" fontId="2" fillId="4" borderId="4" xfId="0" applyFont="1" applyFill="1" applyBorder="1" applyAlignment="1">
      <x:alignment horizontal="center" vertical="center"/>
    </x:xf>
    <x:xf numFmtId="0" fontId="1" fillId="4" borderId="4" xfId="0" applyFont="1" applyFill="1" applyBorder="1" applyAlignment="1">
      <x:alignment horizontal="center" vertical="center"/>
    </x:xf>
    <x:xf numFmtId="0" fontId="1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3" fillId="0" borderId="4" xfId="0" applyFont="1" applyBorder="1" applyAlignment="1">
      <x:alignment horizontal="left" vertical="center"/>
    </x:xf>
    <x:xf numFmtId="0" fontId="4" fillId="0" borderId="5" xfId="0" applyFont="1" applyBorder="1">
      <x:alignment vertical="center"/>
    </x:xf>
    <x:xf numFmtId="0" fontId="2" fillId="0" borderId="5" xfId="0" applyFont="1" applyBorder="1">
      <x:alignment vertical="center"/>
    </x:xf>
    <x:xf numFmtId="0" fontId="2" fillId="36" borderId="1" xfId="0" applyNumberFormat="1" applyFont="1" applyFill="1" applyBorder="1" applyAlignment="1">
      <x:alignment horizontal="left" vertical="center"/>
    </x:xf>
    <x:xf numFmtId="0" fontId="3" fillId="37" borderId="4" xfId="0" applyNumberFormat="1" applyFont="1" applyFill="1" applyBorder="1" applyAlignment="1">
      <x:alignment horizontal="left" vertical="center"/>
    </x:xf>
    <x:xf numFmtId="0" fontId="4" fillId="37" borderId="5" xfId="0" applyNumberFormat="1" applyFont="1" applyFill="1" applyBorder="1" applyAlignment="1">
      <x:alignment vertical="center"/>
    </x:xf>
    <x:xf numFmtId="0" fontId="2" fillId="36" borderId="5" xfId="0" applyNumberFormat="1" applyFont="1" applyFill="1" applyBorder="1" applyAlignment="1">
      <x:alignment vertical="center"/>
    </x:xf>
    <x:xf numFmtId="0" fontId="4" fillId="36" borderId="5" xfId="0" applyNumberFormat="1" applyFont="1" applyFill="1" applyBorder="1" applyAlignment="1">
      <x:alignment vertical="center"/>
    </x:xf>
    <x:xf numFmtId="0" fontId="2" fillId="36" borderId="1" xfId="0" applyNumberFormat="1" applyFont="1" applyFill="1" applyBorder="1" applyAlignment="1">
      <x:alignment horizontal="center" vertical="center"/>
    </x:xf>
    <x:xf numFmtId="0" fontId="0" fillId="38" borderId="0" xfId="0" applyNumberFormat="1" applyFont="1" applyFill="1" applyBorder="1" applyAlignment="1">
      <x:alignment vertical="center"/>
    </x:xf>
    <x:xf numFmtId="0" fontId="0" fillId="38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/>
    </x:xf>
    <x:xf numFmtId="0" fontId="16" fillId="39" borderId="0" xfId="0" applyNumberFormat="1" applyFont="1" applyFill="1" applyBorder="1" applyAlignment="1">
      <x:alignment vertical="center"/>
    </x:xf>
    <x:xf numFmtId="0" fontId="16" fillId="39" borderId="0" xfId="0" applyNumberFormat="1" applyFont="1" applyFill="1" applyBorder="1" applyAlignment="1">
      <x:alignment horizontal="center" vertical="center"/>
    </x:xf>
    <x:xf numFmtId="0" fontId="0" fillId="40" borderId="0" xfId="0" applyNumberFormat="1" applyFont="1" applyFill="1" applyBorder="1" applyAlignment="1">
      <x:alignment vertical="center"/>
    </x:xf>
    <x:xf numFmtId="0" fontId="18" fillId="40" borderId="0" xfId="0" applyNumberFormat="1" applyFont="1" applyFill="1" applyBorder="1" applyAlignment="1">
      <x:alignment vertical="center"/>
    </x:xf>
    <x:xf numFmtId="0" fontId="18" fillId="40" borderId="0" xfId="0" applyNumberFormat="1" applyFont="1" applyFill="1" applyBorder="1" applyAlignment="1">
      <x:alignment horizontal="center" vertical="center"/>
    </x:xf>
    <x:xf numFmtId="0" fontId="18" fillId="40" borderId="14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36" borderId="0" xfId="0" applyNumberFormat="1" applyFont="1" applyFill="1" applyBorder="1" applyAlignment="1">
      <x:alignment vertical="center"/>
    </x:xf>
    <x:xf numFmtId="0" fontId="0" fillId="37" borderId="0" xfId="0" applyNumberFormat="1" applyFont="1" applyFill="1" applyBorder="1" applyAlignment="1">
      <x:alignment vertical="center"/>
    </x:xf>
    <x:xf numFmtId="0" fontId="0" fillId="36" borderId="14" xfId="0" applyNumberFormat="1" applyFont="1" applyFill="1" applyBorder="1" applyAlignment="1">
      <x:alignment vertical="center"/>
    </x:xf>
    <x:xf numFmtId="0" fontId="0" fillId="38" borderId="14" xfId="0" applyNumberFormat="1" applyFont="1" applyFill="1" applyBorder="1" applyAlignment="1">
      <x:alignment vertical="center"/>
    </x:xf>
    <x:xf numFmtId="0" fontId="0" fillId="37" borderId="14" xfId="0" applyNumberFormat="1" applyFont="1" applyFill="1" applyBorder="1" applyAlignment="1">
      <x:alignment vertical="center"/>
    </x:xf>
    <x:xf numFmtId="0" fontId="0" fillId="41" borderId="0" xfId="0" applyNumberFormat="1" applyFont="1" applyFill="1" applyBorder="1" applyAlignment="1">
      <x:alignment vertical="center"/>
    </x:xf>
    <x:xf numFmtId="0" fontId="24" fillId="41" borderId="0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18" fillId="40" borderId="14" xfId="0" applyNumberFormat="1" applyFont="1" applyFill="1" applyBorder="1" applyAlignment="1">
      <x:alignment horizontal="center" vertical="center" wrapText="1"/>
    </x:xf>
    <x:xf numFmtId="0" fontId="18" fillId="40" borderId="14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37" borderId="14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2d41a5d3544315" /><Relationship Type="http://schemas.openxmlformats.org/officeDocument/2006/relationships/theme" Target="/xl/theme/theme1.xml" Id="Rf864ef192ffc438a" /><Relationship Type="http://schemas.openxmlformats.org/officeDocument/2006/relationships/sharedStrings" Target="/xl/sharedStrings.xml" Id="R973e3cdb6f694d85" /><Relationship Type="http://schemas.openxmlformats.org/officeDocument/2006/relationships/worksheet" Target="/xl/worksheets/sheet1.xml" Id="R11b1e2572f814ea0" /><Relationship Type="http://schemas.openxmlformats.org/officeDocument/2006/relationships/worksheet" Target="/xl/worksheets/sheet2.xml" Id="R3c1fcebd8f814416" /><Relationship Type="http://schemas.openxmlformats.org/officeDocument/2006/relationships/worksheet" Target="/xl/worksheets/sheet3.xml" Id="R8f939f3e8137436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28.54867172241211" customWidth="1"/>
    <x:col min="2" max="2" width="24.761062622070312" customWidth="1"/>
    <x:col min="3" max="3" width="22.90265464782715" customWidth="1"/>
  </x:cols>
  <x:sheetData>
    <x:row r="1" ht="15.7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1" t="s">
        <x:v>11</x:v>
      </x:c>
      <x:c r="M1" s="2" t="s">
        <x:v>12</x:v>
      </x:c>
      <x:c r="N1" s="3" t="s">
        <x:v>13</x:v>
      </x:c>
      <x:c r="O1" s="4" t="s">
        <x:v>14</x:v>
      </x:c>
      <x:c r="P1" s="4" t="s">
        <x:v>15</x:v>
      </x:c>
      <x:c r="Q1" s="4" t="s">
        <x:v>16</x:v>
      </x:c>
      <x:c r="R1" s="4" t="s">
        <x:v>17</x:v>
      </x:c>
      <x:c r="S1" s="4" t="s">
        <x:v>18</x:v>
      </x:c>
      <x:c r="T1" s="4" t="s">
        <x:v>19</x:v>
      </x:c>
      <x:c r="U1" s="4" t="s">
        <x:v>20</x:v>
      </x:c>
      <x:c r="V1" s="4" t="s">
        <x:v>21</x:v>
      </x:c>
      <x:c r="W1" s="4" t="s">
        <x:v>22</x:v>
      </x:c>
    </x:row>
    <x:row r="2" ht="15.75" customHeight="1">
      <x:c r="A2" s="5" t="s">
        <x:v>23</x:v>
      </x:c>
      <x:c r="B2" s="5" t="s">
        <x:v>24</x:v>
      </x:c>
      <x:c r="C2" s="6" t="s">
        <x:v>25</x:v>
      </x:c>
      <x:c r="D2" s="5" t="s">
        <x:v>26</x:v>
      </x:c>
      <x:c r="E2" s="7" t="s">
        <x:v>27</x:v>
      </x:c>
      <x:c r="F2" s="7" t="s">
        <x:v>28</x:v>
      </x:c>
      <x:c r="G2" s="8"/>
      <x:c r="H2" s="6" t="s">
        <x:v>29</x:v>
      </x:c>
      <x:c r="I2" s="6" t="s">
        <x:v>30</x:v>
      </x:c>
      <x:c r="J2" s="16" t="str">
        <x:v>验证MD5计算结果是否正确。</x:v>
      </x:c>
      <x:c r="K2" s="6" t="s">
        <x:v>31</x:v>
      </x:c>
      <x:c r="L2" s="5" t="s">
        <x:v>32</x:v>
      </x:c>
      <x:c r="M2" s="9" t="s">
        <x:v>33</x:v>
      </x:c>
      <x:c r="N2" s="10" t="s">
        <x:v>34</x:v>
      </x:c>
      <x:c r="O2" s="10" t="s">
        <x:v>35</x:v>
      </x:c>
      <x:c r="P2" s="10"/>
      <x:c r="Q2" s="11" t="s">
        <x:v>36</x:v>
      </x:c>
      <x:c r="R2" s="12" t="s">
        <x:v>37</x:v>
      </x:c>
      <x:c r="S2" s="12"/>
      <x:c r="T2" s="12"/>
      <x:c r="U2" s="12"/>
      <x:c r="V2" s="12"/>
      <x:c r="W2" s="17" t="str">
        <x:v>待确认：MD5不在SRC-0017摘要算法清单中；仅可作为兼容性/Vendor回归项，不应作为安全用途算法。</x:v>
      </x:c>
    </x:row>
    <x:row r="3">
      <x:c r="A3" s="5" t="s">
        <x:v>23</x:v>
      </x:c>
      <x:c r="B3" s="5"/>
      <x:c r="C3" s="6" t="s">
        <x:v>38</x:v>
      </x:c>
      <x:c r="D3" s="5" t="s">
        <x:v>39</x:v>
      </x:c>
      <x:c r="E3" s="7" t="s">
        <x:v>27</x:v>
      </x:c>
      <x:c r="F3" s="7" t="s">
        <x:v>28</x:v>
      </x:c>
      <x:c r="G3" s="8"/>
      <x:c r="H3" s="6" t="s">
        <x:v>29</x:v>
      </x:c>
      <x:c r="I3" s="6" t="s">
        <x:v>40</x:v>
      </x:c>
      <x:c r="J3" s="6" t="s">
        <x:v>41</x:v>
      </x:c>
      <x:c r="K3" s="6" t="s">
        <x:v>31</x:v>
      </x:c>
      <x:c r="L3" s="5" t="s">
        <x:v>32</x:v>
      </x:c>
      <x:c r="M3" s="9" t="s">
        <x:v>33</x:v>
      </x:c>
      <x:c r="N3" s="14"/>
      <x:c r="O3" s="14"/>
      <x:c r="P3" s="14"/>
      <x:c r="Q3" s="14"/>
      <x:c r="R3" s="14"/>
      <x:c r="S3" s="14"/>
      <x:c r="T3" s="14"/>
      <x:c r="U3" s="14"/>
      <x:c r="V3" s="14"/>
      <x:c r="W3" s="14"/>
    </x:row>
    <x:row r="4">
      <x:c r="A4" s="5" t="s">
        <x:v>23</x:v>
      </x:c>
      <x:c r="B4" s="5"/>
      <x:c r="C4" s="6" t="s">
        <x:v>42</x:v>
      </x:c>
      <x:c r="D4" s="5" t="s">
        <x:v>43</x:v>
      </x:c>
      <x:c r="E4" s="7" t="s">
        <x:v>27</x:v>
      </x:c>
      <x:c r="F4" s="7" t="s">
        <x:v>28</x:v>
      </x:c>
      <x:c r="G4" s="8"/>
      <x:c r="H4" s="6" t="s">
        <x:v>29</x:v>
      </x:c>
      <x:c r="I4" s="6" t="s">
        <x:v>44</x:v>
      </x:c>
      <x:c r="J4" s="6" t="s">
        <x:v>45</x:v>
      </x:c>
      <x:c r="K4" s="6" t="s">
        <x:v>31</x:v>
      </x:c>
      <x:c r="L4" s="5" t="s">
        <x:v>32</x:v>
      </x:c>
      <x:c r="M4" s="9" t="s">
        <x:v>33</x:v>
      </x:c>
      <x:c r="N4" s="14"/>
      <x:c r="O4" s="14"/>
      <x:c r="P4" s="14"/>
      <x:c r="Q4" s="14"/>
      <x:c r="R4" s="14"/>
      <x:c r="S4" s="14"/>
      <x:c r="T4" s="14"/>
      <x:c r="U4" s="14"/>
      <x:c r="V4" s="14"/>
      <x:c r="W4" s="18" t="str">
        <x:v>待确认：SHA-512/256不在SRC-0017摘要算法清单中，需明确是否属于产品发布范围。</x:v>
      </x:c>
    </x:row>
    <x:row r="5">
      <x:c r="A5" s="5" t="s">
        <x:v>23</x:v>
      </x:c>
      <x:c r="B5" s="5"/>
      <x:c r="C5" s="6" t="s">
        <x:v>46</x:v>
      </x:c>
      <x:c r="D5" s="5" t="s">
        <x:v>47</x:v>
      </x:c>
      <x:c r="E5" s="7" t="s">
        <x:v>27</x:v>
      </x:c>
      <x:c r="F5" s="7" t="s">
        <x:v>28</x:v>
      </x:c>
      <x:c r="G5" s="8"/>
      <x:c r="H5" s="6" t="s">
        <x:v>29</x:v>
      </x:c>
      <x:c r="I5" s="6" t="s">
        <x:v>48</x:v>
      </x:c>
      <x:c r="J5" s="6" t="s">
        <x:v>49</x:v>
      </x:c>
      <x:c r="K5" s="6" t="s">
        <x:v>31</x:v>
      </x:c>
      <x:c r="L5" s="5" t="s">
        <x:v>32</x:v>
      </x:c>
      <x:c r="M5" s="9" t="s">
        <x:v>33</x:v>
      </x:c>
      <x:c r="N5" s="14"/>
      <x:c r="O5" s="14"/>
      <x:c r="P5" s="14"/>
      <x:c r="Q5" s="14"/>
      <x:c r="R5" s="14"/>
      <x:c r="S5" s="14"/>
      <x:c r="T5" s="14"/>
      <x:c r="U5" s="14"/>
      <x:c r="V5" s="14"/>
      <x:c r="W5" s="14"/>
    </x:row>
    <x:row r="6">
      <x:c r="A6" s="5" t="s">
        <x:v>23</x:v>
      </x:c>
      <x:c r="B6" s="5"/>
      <x:c r="C6" s="6" t="s">
        <x:v>50</x:v>
      </x:c>
      <x:c r="D6" s="5" t="s">
        <x:v>51</x:v>
      </x:c>
      <x:c r="E6" s="7" t="s">
        <x:v>27</x:v>
      </x:c>
      <x:c r="F6" s="7" t="s">
        <x:v>28</x:v>
      </x:c>
      <x:c r="G6" s="8"/>
      <x:c r="H6" s="6" t="s">
        <x:v>52</x:v>
      </x:c>
      <x:c r="I6" s="6" t="s">
        <x:v>53</x:v>
      </x:c>
      <x:c r="J6" s="6" t="s">
        <x:v>54</x:v>
      </x:c>
      <x:c r="K6" s="6" t="s">
        <x:v>31</x:v>
      </x:c>
      <x:c r="L6" s="5" t="s">
        <x:v>32</x:v>
      </x:c>
      <x:c r="M6" s="9" t="s">
        <x:v>33</x:v>
      </x:c>
      <x:c r="N6" s="14"/>
      <x:c r="O6" s="14"/>
      <x:c r="P6" s="14"/>
      <x:c r="Q6" s="14"/>
      <x:c r="R6" s="14"/>
      <x:c r="S6" s="14"/>
      <x:c r="T6" s="14"/>
      <x:c r="U6" s="14"/>
      <x:c r="V6" s="14"/>
      <x:c r="W6" s="14"/>
    </x:row>
    <x:row r="7" customHeight="1">
      <x:c r="A7" s="5" t="s">
        <x:v>23</x:v>
      </x:c>
      <x:c r="B7" s="5" t="s">
        <x:v>24</x:v>
      </x:c>
      <x:c r="C7" s="16" t="str">
        <x:v>RSA密钥生成。</x:v>
      </x:c>
      <x:c r="D7" s="5" t="s">
        <x:v>55</x:v>
      </x:c>
      <x:c r="E7" s="7" t="s">
        <x:v>27</x:v>
      </x:c>
      <x:c r="F7" s="7" t="s">
        <x:v>28</x:v>
      </x:c>
      <x:c r="G7" s="8"/>
      <x:c r="H7" s="6" t="s">
        <x:v>56</x:v>
      </x:c>
      <x:c r="I7" s="16" t="str">
        <x:v>一对密钥。</x:v>
      </x:c>
      <x:c r="J7" s="16" t="str">
        <x:v>验证密钥有效性。</x:v>
      </x:c>
      <x:c r="K7" s="6" t="s">
        <x:v>57</x:v>
      </x:c>
      <x:c r="L7" s="5" t="s">
        <x:v>32</x:v>
      </x:c>
      <x:c r="M7" s="9" t="s">
        <x:v>33</x:v>
      </x:c>
      <x:c r="N7" s="14"/>
      <x:c r="O7" s="14"/>
      <x:c r="P7" s="14"/>
      <x:c r="Q7" s="14"/>
      <x:c r="R7" s="14"/>
      <x:c r="S7" s="14"/>
      <x:c r="T7" s="14"/>
      <x:c r="U7" s="14"/>
      <x:c r="V7" s="14"/>
      <x:c r="W7" s="14"/>
    </x:row>
    <x:row r="8">
      <x:c r="A8" s="5" t="s">
        <x:v>23</x:v>
      </x:c>
      <x:c r="B8" s="5"/>
      <x:c r="C8" s="16" t="str">
        <x:v>RSA CRT格式密钥生成。</x:v>
      </x:c>
      <x:c r="D8" s="5" t="s">
        <x:v>58</x:v>
      </x:c>
      <x:c r="E8" s="7" t="s">
        <x:v>27</x:v>
      </x:c>
      <x:c r="F8" s="7" t="s">
        <x:v>28</x:v>
      </x:c>
      <x:c r="G8" s="8"/>
      <x:c r="H8" s="6" t="s">
        <x:v>56</x:v>
      </x:c>
      <x:c r="I8" s="16" t="str">
        <x:v>一对密钥。</x:v>
      </x:c>
      <x:c r="J8" s="16" t="str">
        <x:v>验证密钥有效性。</x:v>
      </x:c>
      <x:c r="K8" s="6" t="s">
        <x:v>57</x:v>
      </x:c>
      <x:c r="L8" s="5" t="s">
        <x:v>32</x:v>
      </x:c>
      <x:c r="M8" s="9" t="s">
        <x:v>33</x:v>
      </x:c>
      <x:c r="N8" s="14"/>
      <x:c r="O8" s="14"/>
      <x:c r="P8" s="14"/>
      <x:c r="Q8" s="14"/>
      <x:c r="R8" s="14"/>
      <x:c r="S8" s="14"/>
      <x:c r="T8" s="14"/>
      <x:c r="U8" s="14"/>
      <x:c r="V8" s="14"/>
      <x:c r="W8" s="14"/>
    </x:row>
    <x:row r="9">
      <x:c r="A9" s="5" t="s">
        <x:v>23</x:v>
      </x:c>
      <x:c r="B9" s="5"/>
      <x:c r="C9" s="6" t="s">
        <x:v>59</x:v>
      </x:c>
      <x:c r="D9" s="5" t="s">
        <x:v>60</x:v>
      </x:c>
      <x:c r="E9" s="7" t="s">
        <x:v>27</x:v>
      </x:c>
      <x:c r="F9" s="7" t="s">
        <x:v>28</x:v>
      </x:c>
      <x:c r="G9" s="16" t="str">
        <x:v>eHSM PKE/驱动接口可用；RSA密钥、位数和padding已按批准配置准备</x:v>
      </x:c>
      <x:c r="H9" s="16" t="str">
        <x:v>RSA公钥、明文、padding参数和标准/参考向量</x:v>
      </x:c>
      <x:c r="I9" s="16" t="str">
        <x:v>RSA密文和返回状态</x:v>
      </x:c>
      <x:c r="J9" s="16" t="str">
        <x:v>验证RSA加密及参数边界</x:v>
      </x:c>
      <x:c r="K9" s="16" t="str">
        <x:v>结果与参考实现/标准向量一致；错误key、padding、长度或越界参数被拒绝且不返回未初始化数据</x:v>
      </x:c>
      <x:c r="L9" s="5" t="s">
        <x:v>32</x:v>
      </x:c>
      <x:c r="M9" s="9" t="s">
        <x:v>33</x:v>
      </x:c>
      <x:c r="N9" s="14"/>
      <x:c r="O9" s="14"/>
      <x:c r="P9" s="14"/>
      <x:c r="Q9" s="14"/>
      <x:c r="R9" s="14"/>
      <x:c r="S9" s="14"/>
      <x:c r="T9" s="14"/>
      <x:c r="U9" s="14"/>
      <x:c r="V9" s="14"/>
      <x:c r="W9" s="14"/>
    </x:row>
    <x:row r="10">
      <x:c r="A10" s="5" t="s">
        <x:v>23</x:v>
      </x:c>
      <x:c r="B10" s="5"/>
      <x:c r="C10" s="6" t="s">
        <x:v>61</x:v>
      </x:c>
      <x:c r="D10" s="5" t="s">
        <x:v>62</x:v>
      </x:c>
      <x:c r="E10" s="7" t="s">
        <x:v>27</x:v>
      </x:c>
      <x:c r="F10" s="7" t="s">
        <x:v>28</x:v>
      </x:c>
      <x:c r="G10" s="16" t="str">
        <x:v>eHSM PKE/驱动接口可用；RSA密钥、位数和padding已按批准配置准备</x:v>
      </x:c>
      <x:c r="H10" s="16" t="str">
        <x:v>RSA私钥、密文、padding参数和标准/参考向量</x:v>
      </x:c>
      <x:c r="I10" s="16" t="str">
        <x:v>解密明文和返回状态</x:v>
      </x:c>
      <x:c r="J10" s="16" t="str">
        <x:v>验证RSA解密及参数边界</x:v>
      </x:c>
      <x:c r="K10" s="16" t="str">
        <x:v>结果与参考实现/标准向量一致；错误key、padding、长度或越界参数被拒绝且不返回未初始化数据</x:v>
      </x:c>
      <x:c r="L10" s="5" t="s">
        <x:v>32</x:v>
      </x:c>
      <x:c r="M10" s="9" t="s">
        <x:v>33</x:v>
      </x:c>
      <x:c r="N10" s="14"/>
      <x:c r="O10" s="14"/>
      <x:c r="P10" s="14"/>
      <x:c r="Q10" s="14"/>
      <x:c r="R10" s="14"/>
      <x:c r="S10" s="14"/>
      <x:c r="T10" s="14"/>
      <x:c r="U10" s="14"/>
      <x:c r="V10" s="14"/>
      <x:c r="W10" s="14"/>
    </x:row>
    <x:row r="11">
      <x:c r="A11" s="5" t="s">
        <x:v>23</x:v>
      </x:c>
      <x:c r="B11" s="5"/>
      <x:c r="C11" s="6" t="s">
        <x:v>63</x:v>
      </x:c>
      <x:c r="D11" s="5" t="s">
        <x:v>64</x:v>
      </x:c>
      <x:c r="E11" s="7" t="s">
        <x:v>27</x:v>
      </x:c>
      <x:c r="F11" s="7" t="s">
        <x:v>28</x:v>
      </x:c>
      <x:c r="G11" s="8"/>
      <x:c r="H11" s="6" t="s">
        <x:v>65</x:v>
      </x:c>
      <x:c r="I11" s="6" t="s">
        <x:v>66</x:v>
      </x:c>
      <x:c r="J11" s="6" t="s">
        <x:v>67</x:v>
      </x:c>
      <x:c r="K11" s="6" t="s">
        <x:v>68</x:v>
      </x:c>
      <x:c r="L11" s="5" t="s">
        <x:v>32</x:v>
      </x:c>
      <x:c r="M11" s="9" t="s">
        <x:v>33</x:v>
      </x:c>
      <x:c r="N11" s="14"/>
      <x:c r="O11" s="14"/>
      <x:c r="P11" s="14"/>
      <x:c r="Q11" s="14"/>
      <x:c r="R11" s="14"/>
      <x:c r="S11" s="14"/>
      <x:c r="T11" s="14"/>
      <x:c r="U11" s="14"/>
      <x:c r="V11" s="14"/>
      <x:c r="W11" s="14"/>
    </x:row>
    <x:row r="12">
      <x:c r="A12" s="5" t="s">
        <x:v>23</x:v>
      </x:c>
      <x:c r="B12" s="5"/>
      <x:c r="C12" s="6" t="s">
        <x:v>69</x:v>
      </x:c>
      <x:c r="D12" s="5" t="s">
        <x:v>70</x:v>
      </x:c>
      <x:c r="E12" s="7" t="s">
        <x:v>27</x:v>
      </x:c>
      <x:c r="F12" s="7" t="s">
        <x:v>28</x:v>
      </x:c>
      <x:c r="G12" s="8"/>
      <x:c r="H12" s="6" t="s">
        <x:v>71</x:v>
      </x:c>
      <x:c r="I12" s="6" t="s">
        <x:v>72</x:v>
      </x:c>
      <x:c r="J12" s="6" t="s">
        <x:v>73</x:v>
      </x:c>
      <x:c r="K12" s="6" t="s">
        <x:v>74</x:v>
      </x:c>
      <x:c r="L12" s="5" t="s">
        <x:v>32</x:v>
      </x:c>
      <x:c r="M12" s="9" t="s">
        <x:v>33</x:v>
      </x:c>
      <x:c r="N12" s="14"/>
      <x:c r="O12" s="14"/>
      <x:c r="P12" s="14"/>
      <x:c r="Q12" s="14"/>
      <x:c r="R12" s="14"/>
      <x:c r="S12" s="14"/>
      <x:c r="T12" s="14"/>
      <x:c r="U12" s="14"/>
      <x:c r="V12" s="14"/>
      <x:c r="W12" s="14"/>
    </x:row>
    <x:row r="13" customHeight="1">
      <x:c r="A13" s="5" t="s">
        <x:v>23</x:v>
      </x:c>
      <x:c r="B13" s="5" t="s">
        <x:v>24</x:v>
      </x:c>
      <x:c r="C13" s="8" t="s">
        <x:v>75</x:v>
      </x:c>
      <x:c r="D13" s="5" t="s">
        <x:v>76</x:v>
      </x:c>
      <x:c r="E13" s="7" t="s">
        <x:v>27</x:v>
      </x:c>
      <x:c r="F13" s="7" t="s">
        <x:v>28</x:v>
      </x:c>
      <x:c r="G13" s="16" t="str">
        <x:v>eHSM SKE/MAC接口可用；测试密钥和KAT向量已准备</x:v>
      </x:c>
      <x:c r="H13" s="16" t="str">
        <x:v>密钥、消息、分段方式和标准/参考KAT向量</x:v>
      </x:c>
      <x:c r="I13" s="16" t="str">
        <x:v>MAC Tag和返回状态</x:v>
      </x:c>
      <x:c r="J13" s="16" t="str">
        <x:v>验证MAC单次/分段计算正确性与边界处理</x:v>
      </x:c>
      <x:c r="K13" s="16" t="str">
        <x:v>Tag与KAT/参考实现一致；空消息、非法长度、错误key类型等按接口约束处理且不得误报成功</x:v>
      </x:c>
      <x:c r="L13" s="5" t="s">
        <x:v>32</x:v>
      </x:c>
      <x:c r="M13" s="9" t="s">
        <x:v>33</x:v>
      </x:c>
      <x:c r="N13" s="14"/>
      <x:c r="O13" s="14"/>
      <x:c r="P13" s="14"/>
      <x:c r="Q13" s="14"/>
      <x:c r="R13" s="14"/>
      <x:c r="S13" s="14"/>
      <x:c r="T13" s="14"/>
      <x:c r="U13" s="14"/>
      <x:c r="V13" s="14"/>
      <x:c r="W13" s="14"/>
    </x:row>
    <x:row r="14">
      <x:c r="A14" s="5" t="s">
        <x:v>23</x:v>
      </x:c>
      <x:c r="B14" s="5"/>
      <x:c r="C14" s="8" t="s">
        <x:v>77</x:v>
      </x:c>
      <x:c r="D14" s="5" t="s">
        <x:v>78</x:v>
      </x:c>
      <x:c r="E14" s="7" t="s">
        <x:v>27</x:v>
      </x:c>
      <x:c r="F14" s="7" t="s">
        <x:v>28</x:v>
      </x:c>
      <x:c r="G14" s="16" t="str">
        <x:v>eHSM SKE/MAC接口可用；测试密钥和KAT向量已准备</x:v>
      </x:c>
      <x:c r="H14" s="16" t="str">
        <x:v>密钥、消息、分段方式和标准/参考KAT向量</x:v>
      </x:c>
      <x:c r="I14" s="16" t="str">
        <x:v>MAC Tag和返回状态</x:v>
      </x:c>
      <x:c r="J14" s="16" t="str">
        <x:v>验证MAC单次/分段计算正确性与边界处理</x:v>
      </x:c>
      <x:c r="K14" s="16" t="str">
        <x:v>Tag与KAT/参考实现一致；空消息、非法长度、错误key类型等按接口约束处理且不得误报成功</x:v>
      </x:c>
      <x:c r="L14" s="5" t="s">
        <x:v>32</x:v>
      </x:c>
      <x:c r="M14" s="9" t="s">
        <x:v>33</x:v>
      </x:c>
      <x:c r="N14" s="14"/>
      <x:c r="O14" s="14"/>
      <x:c r="P14" s="14"/>
      <x:c r="Q14" s="14"/>
      <x:c r="R14" s="14"/>
      <x:c r="S14" s="14"/>
      <x:c r="T14" s="14"/>
      <x:c r="U14" s="14"/>
      <x:c r="V14" s="14"/>
      <x:c r="W14" s="14"/>
    </x:row>
    <x:row r="15">
      <x:c r="A15" s="5" t="s">
        <x:v>23</x:v>
      </x:c>
      <x:c r="B15" s="5"/>
      <x:c r="C15" s="8" t="s">
        <x:v>79</x:v>
      </x:c>
      <x:c r="D15" s="5" t="s">
        <x:v>80</x:v>
      </x:c>
      <x:c r="E15" s="7" t="s">
        <x:v>27</x:v>
      </x:c>
      <x:c r="F15" s="7" t="s">
        <x:v>28</x:v>
      </x:c>
      <x:c r="G15" s="16" t="str">
        <x:v>eHSM SKE/MAC接口可用；测试密钥和KAT向量已准备</x:v>
      </x:c>
      <x:c r="H15" s="16" t="str">
        <x:v>密钥、消息、分段方式和标准/参考KAT向量</x:v>
      </x:c>
      <x:c r="I15" s="16" t="str">
        <x:v>MAC Tag和返回状态</x:v>
      </x:c>
      <x:c r="J15" s="16" t="str">
        <x:v>验证MAC单次/分段计算正确性与边界处理</x:v>
      </x:c>
      <x:c r="K15" s="16" t="str">
        <x:v>Tag与KAT/参考实现一致；空消息、非法长度、错误key类型等按接口约束处理且不得误报成功</x:v>
      </x:c>
      <x:c r="L15" s="5" t="s">
        <x:v>32</x:v>
      </x:c>
      <x:c r="M15" s="9" t="s">
        <x:v>33</x:v>
      </x:c>
      <x:c r="N15" s="14"/>
      <x:c r="O15" s="14"/>
      <x:c r="P15" s="14"/>
      <x:c r="Q15" s="14"/>
      <x:c r="R15" s="14"/>
      <x:c r="S15" s="14"/>
      <x:c r="T15" s="14"/>
      <x:c r="U15" s="14"/>
      <x:c r="V15" s="14"/>
      <x:c r="W15" s="14"/>
    </x:row>
    <x:row r="16">
      <x:c r="A16" s="5" t="s">
        <x:v>23</x:v>
      </x:c>
      <x:c r="B16" s="5"/>
      <x:c r="C16" s="8" t="s">
        <x:v>81</x:v>
      </x:c>
      <x:c r="D16" s="5" t="s">
        <x:v>82</x:v>
      </x:c>
      <x:c r="E16" s="7" t="s">
        <x:v>27</x:v>
      </x:c>
      <x:c r="F16" s="7" t="s">
        <x:v>28</x:v>
      </x:c>
      <x:c r="G16" s="16" t="str">
        <x:v>eHSM SKE/MAC接口可用；测试密钥和KAT向量已准备</x:v>
      </x:c>
      <x:c r="H16" s="16" t="str">
        <x:v>密钥、消息、分段方式和标准/参考KAT向量</x:v>
      </x:c>
      <x:c r="I16" s="16" t="str">
        <x:v>MAC Tag和返回状态</x:v>
      </x:c>
      <x:c r="J16" s="16" t="str">
        <x:v>验证MAC单次/分段计算正确性与边界处理</x:v>
      </x:c>
      <x:c r="K16" s="16" t="str">
        <x:v>Tag与KAT/参考实现一致；空消息、非法长度、错误key类型等按接口约束处理且不得误报成功</x:v>
      </x:c>
      <x:c r="L16" s="5" t="s">
        <x:v>32</x:v>
      </x:c>
      <x:c r="M16" s="9" t="s">
        <x:v>33</x:v>
      </x:c>
      <x:c r="N16" s="14"/>
      <x:c r="O16" s="14"/>
      <x:c r="P16" s="14"/>
      <x:c r="Q16" s="14"/>
      <x:c r="R16" s="14"/>
      <x:c r="S16" s="14"/>
      <x:c r="T16" s="14"/>
      <x:c r="U16" s="14"/>
      <x:c r="V16" s="14"/>
      <x:c r="W16" s="14"/>
    </x:row>
    <x:row r="17">
      <x:c r="A17" s="5" t="s">
        <x:v>23</x:v>
      </x:c>
      <x:c r="B17" s="5"/>
      <x:c r="C17" s="8" t="s">
        <x:v>83</x:v>
      </x:c>
      <x:c r="D17" s="5" t="s">
        <x:v>84</x:v>
      </x:c>
      <x:c r="E17" s="7" t="s">
        <x:v>27</x:v>
      </x:c>
      <x:c r="F17" s="7" t="s">
        <x:v>28</x:v>
      </x:c>
      <x:c r="G17" s="16" t="str">
        <x:v>eHSM SKE/MAC接口可用；测试密钥和KAT向量已准备</x:v>
      </x:c>
      <x:c r="H17" s="16" t="str">
        <x:v>密钥、消息、分段方式和标准/参考KAT向量</x:v>
      </x:c>
      <x:c r="I17" s="16" t="str">
        <x:v>MAC Tag和返回状态</x:v>
      </x:c>
      <x:c r="J17" s="16" t="str">
        <x:v>验证MAC单次/分段计算正确性与边界处理</x:v>
      </x:c>
      <x:c r="K17" s="16" t="str">
        <x:v>Tag与KAT/参考实现一致；空消息、非法长度、错误key类型等按接口约束处理且不得误报成功</x:v>
      </x:c>
      <x:c r="L17" s="5" t="s">
        <x:v>32</x:v>
      </x:c>
      <x:c r="M17" s="9" t="s">
        <x:v>33</x:v>
      </x:c>
      <x:c r="N17" s="14"/>
      <x:c r="O17" s="14"/>
      <x:c r="P17" s="14"/>
      <x:c r="Q17" s="14"/>
      <x:c r="R17" s="14"/>
      <x:c r="S17" s="14"/>
      <x:c r="T17" s="14"/>
      <x:c r="U17" s="14"/>
      <x:c r="V17" s="14"/>
      <x:c r="W17" s="14"/>
    </x:row>
    <x:row r="18">
      <x:c r="A18" s="5" t="s">
        <x:v>23</x:v>
      </x:c>
      <x:c r="B18" s="5"/>
      <x:c r="C18" s="8" t="s">
        <x:v>85</x:v>
      </x:c>
      <x:c r="D18" s="5" t="s">
        <x:v>86</x:v>
      </x:c>
      <x:c r="E18" s="7" t="s">
        <x:v>27</x:v>
      </x:c>
      <x:c r="F18" s="7" t="s">
        <x:v>28</x:v>
      </x:c>
      <x:c r="G18" s="16" t="str">
        <x:v>eHSM SKE/MAC接口可用；测试密钥和KAT向量已准备</x:v>
      </x:c>
      <x:c r="H18" s="16" t="str">
        <x:v>密钥、消息、分段方式和标准/参考KAT向量</x:v>
      </x:c>
      <x:c r="I18" s="16" t="str">
        <x:v>MAC Tag和返回状态</x:v>
      </x:c>
      <x:c r="J18" s="16" t="str">
        <x:v>验证MAC单次/分段计算正确性与边界处理</x:v>
      </x:c>
      <x:c r="K18" s="16" t="str">
        <x:v>Tag与KAT/参考实现一致；空消息、非法长度、错误key类型等按接口约束处理且不得误报成功</x:v>
      </x:c>
      <x:c r="L18" s="5" t="s">
        <x:v>32</x:v>
      </x:c>
      <x:c r="M18" s="9" t="s">
        <x:v>33</x:v>
      </x:c>
      <x:c r="N18" s="14"/>
      <x:c r="O18" s="14"/>
      <x:c r="P18" s="14"/>
      <x:c r="Q18" s="14"/>
      <x:c r="R18" s="14"/>
      <x:c r="S18" s="14"/>
      <x:c r="T18" s="14"/>
      <x:c r="U18" s="14"/>
      <x:c r="V18" s="14"/>
      <x:c r="W18" s="14"/>
    </x:row>
    <x:row r="19">
      <x:c r="A19" s="5" t="s">
        <x:v>23</x:v>
      </x:c>
      <x:c r="B19" s="5"/>
      <x:c r="C19" s="8" t="s">
        <x:v>87</x:v>
      </x:c>
      <x:c r="D19" s="5" t="s">
        <x:v>88</x:v>
      </x:c>
      <x:c r="E19" s="7" t="s">
        <x:v>27</x:v>
      </x:c>
      <x:c r="F19" s="7" t="s">
        <x:v>28</x:v>
      </x:c>
      <x:c r="G19" s="16" t="str">
        <x:v>eHSM AEAD接口可用；测试密钥和KAT向量已准备</x:v>
      </x:c>
      <x:c r="H19" s="16" t="str">
        <x:v>密钥、nonce、AAD、明文/密文、Tag及边界长度向量</x:v>
      </x:c>
      <x:c r="I19" s="16" t="str">
        <x:v>密文/明文、Tag和返回状态</x:v>
      </x:c>
      <x:c r="J19" s="16" t="str">
        <x:v>验证AEAD加解密、认证和参数边界</x:v>
      </x:c>
      <x:c r="K19" s="16" t="str">
        <x:v>结果与KAT/参考实现一致；篡改密文/AAD/Tag或非法nonce/Tag长度必须失败且不释放未认证明文</x:v>
      </x:c>
      <x:c r="L19" s="5" t="s">
        <x:v>32</x:v>
      </x:c>
      <x:c r="M19" s="9" t="s">
        <x:v>33</x:v>
      </x:c>
      <x:c r="N19" s="14"/>
      <x:c r="O19" s="14"/>
      <x:c r="P19" s="14"/>
      <x:c r="Q19" s="14"/>
      <x:c r="R19" s="14"/>
      <x:c r="S19" s="14"/>
      <x:c r="T19" s="14"/>
      <x:c r="U19" s="14"/>
      <x:c r="V19" s="14"/>
      <x:c r="W19" s="14"/>
    </x:row>
    <x:row r="20">
      <x:c r="A20" s="5" t="s">
        <x:v>23</x:v>
      </x:c>
      <x:c r="B20" s="5"/>
      <x:c r="C20" s="8" t="s">
        <x:v>89</x:v>
      </x:c>
      <x:c r="D20" s="5" t="s">
        <x:v>90</x:v>
      </x:c>
      <x:c r="E20" s="7" t="s">
        <x:v>27</x:v>
      </x:c>
      <x:c r="F20" s="7" t="s">
        <x:v>28</x:v>
      </x:c>
      <x:c r="G20" s="16" t="str">
        <x:v>eHSM AEAD接口可用；测试密钥和KAT向量已准备</x:v>
      </x:c>
      <x:c r="H20" s="16" t="str">
        <x:v>密钥、nonce、AAD、明文/密文、Tag及边界长度向量</x:v>
      </x:c>
      <x:c r="I20" s="16" t="str">
        <x:v>密文/明文、Tag和返回状态</x:v>
      </x:c>
      <x:c r="J20" s="16" t="str">
        <x:v>验证AEAD加解密、认证和参数边界</x:v>
      </x:c>
      <x:c r="K20" s="16" t="str">
        <x:v>结果与KAT/参考实现一致；篡改密文/AAD/Tag或非法nonce/Tag长度必须失败且不释放未认证明文</x:v>
      </x:c>
      <x:c r="L20" s="5" t="s">
        <x:v>32</x:v>
      </x:c>
      <x:c r="M20" s="9" t="s">
        <x:v>33</x:v>
      </x:c>
      <x:c r="N20" s="14"/>
      <x:c r="O20" s="14"/>
      <x:c r="P20" s="14"/>
      <x:c r="Q20" s="14"/>
      <x:c r="R20" s="14"/>
      <x:c r="S20" s="14"/>
      <x:c r="T20" s="14"/>
      <x:c r="U20" s="14"/>
      <x:c r="V20" s="14"/>
      <x:c r="W20" s="14"/>
    </x:row>
    <x:row r="21">
      <x:c r="A21" s="5" t="s">
        <x:v>23</x:v>
      </x:c>
      <x:c r="B21" s="5"/>
      <x:c r="C21" s="8" t="s">
        <x:v>91</x:v>
      </x:c>
      <x:c r="D21" s="5" t="s">
        <x:v>92</x:v>
      </x:c>
      <x:c r="E21" s="7" t="s">
        <x:v>27</x:v>
      </x:c>
      <x:c r="F21" s="7" t="s">
        <x:v>28</x:v>
      </x:c>
      <x:c r="G21" s="16" t="str">
        <x:v>eHSM AEAD接口可用；测试密钥和KAT向量已准备</x:v>
      </x:c>
      <x:c r="H21" s="16" t="str">
        <x:v>密钥、nonce、AAD、明文/密文、Tag及边界长度向量</x:v>
      </x:c>
      <x:c r="I21" s="16" t="str">
        <x:v>密文/明文、Tag和返回状态</x:v>
      </x:c>
      <x:c r="J21" s="16" t="str">
        <x:v>验证AEAD加解密、认证和参数边界</x:v>
      </x:c>
      <x:c r="K21" s="16" t="str">
        <x:v>结果与KAT/参考实现一致；篡改密文/AAD/Tag或非法nonce/Tag长度必须失败且不释放未认证明文</x:v>
      </x:c>
      <x:c r="L21" s="5" t="s">
        <x:v>32</x:v>
      </x:c>
      <x:c r="M21" s="9" t="s">
        <x:v>33</x:v>
      </x:c>
      <x:c r="N21" s="14"/>
      <x:c r="O21" s="14"/>
      <x:c r="P21" s="14"/>
      <x:c r="Q21" s="14"/>
      <x:c r="R21" s="14"/>
      <x:c r="S21" s="14"/>
      <x:c r="T21" s="14"/>
      <x:c r="U21" s="14"/>
      <x:c r="V21" s="14"/>
      <x:c r="W21" s="14"/>
    </x:row>
    <x:row r="22">
      <x:c r="A22" s="5" t="s">
        <x:v>23</x:v>
      </x:c>
      <x:c r="B22" s="5"/>
      <x:c r="C22" s="8" t="s">
        <x:v>93</x:v>
      </x:c>
      <x:c r="D22" s="5" t="s">
        <x:v>94</x:v>
      </x:c>
      <x:c r="E22" s="7" t="s">
        <x:v>27</x:v>
      </x:c>
      <x:c r="F22" s="7" t="s">
        <x:v>28</x:v>
      </x:c>
      <x:c r="G22" s="16" t="str">
        <x:v>eHSM AEAD接口可用；测试密钥和KAT向量已准备</x:v>
      </x:c>
      <x:c r="H22" s="16" t="str">
        <x:v>密钥、nonce、AAD、明文/密文、Tag及边界长度向量</x:v>
      </x:c>
      <x:c r="I22" s="16" t="str">
        <x:v>密文/明文、Tag和返回状态</x:v>
      </x:c>
      <x:c r="J22" s="16" t="str">
        <x:v>验证AEAD加解密、认证和参数边界</x:v>
      </x:c>
      <x:c r="K22" s="16" t="str">
        <x:v>结果与KAT/参考实现一致；篡改密文/AAD/Tag或非法nonce/Tag长度必须失败且不释放未认证明文</x:v>
      </x:c>
      <x:c r="L22" s="5" t="s">
        <x:v>32</x:v>
      </x:c>
      <x:c r="M22" s="9" t="s">
        <x:v>33</x:v>
      </x:c>
      <x:c r="N22" s="14"/>
      <x:c r="O22" s="14"/>
      <x:c r="P22" s="14"/>
      <x:c r="Q22" s="14"/>
      <x:c r="R22" s="14"/>
      <x:c r="S22" s="14"/>
      <x:c r="T22" s="14"/>
      <x:c r="U22" s="14"/>
      <x:c r="V22" s="14"/>
      <x:c r="W22" s="14"/>
    </x:row>
    <x:row r="23">
      <x:c r="A23" s="5" t="s">
        <x:v>23</x:v>
      </x:c>
      <x:c r="B23" s="5"/>
      <x:c r="C23" s="8" t="s">
        <x:v>95</x:v>
      </x:c>
      <x:c r="D23" s="5" t="s">
        <x:v>96</x:v>
      </x:c>
      <x:c r="E23" s="7" t="s">
        <x:v>27</x:v>
      </x:c>
      <x:c r="F23" s="7" t="s">
        <x:v>28</x:v>
      </x:c>
      <x:c r="G23" s="16" t="str">
        <x:v>eHSM AEAD接口可用；测试密钥和KAT向量已准备</x:v>
      </x:c>
      <x:c r="H23" s="16" t="str">
        <x:v>密钥、nonce、AAD、明文/密文、Tag及边界长度向量</x:v>
      </x:c>
      <x:c r="I23" s="16" t="str">
        <x:v>密文/明文、Tag和返回状态</x:v>
      </x:c>
      <x:c r="J23" s="16" t="str">
        <x:v>验证AEAD加解密、认证和参数边界</x:v>
      </x:c>
      <x:c r="K23" s="16" t="str">
        <x:v>结果与KAT/参考实现一致；篡改密文/AAD/Tag或非法nonce/Tag长度必须失败且不释放未认证明文</x:v>
      </x:c>
      <x:c r="L23" s="5" t="s">
        <x:v>32</x:v>
      </x:c>
      <x:c r="M23" s="9" t="s">
        <x:v>33</x:v>
      </x:c>
      <x:c r="N23" s="14"/>
      <x:c r="O23" s="14"/>
      <x:c r="P23" s="14"/>
      <x:c r="Q23" s="14"/>
      <x:c r="R23" s="14"/>
      <x:c r="S23" s="14"/>
      <x:c r="T23" s="14"/>
      <x:c r="U23" s="14"/>
      <x:c r="V23" s="14"/>
      <x:c r="W23" s="14"/>
    </x:row>
    <x:row r="24">
      <x:c r="A24" s="5" t="s">
        <x:v>23</x:v>
      </x:c>
      <x:c r="B24" s="5"/>
      <x:c r="C24" s="8" t="s">
        <x:v>97</x:v>
      </x:c>
      <x:c r="D24" s="5" t="s">
        <x:v>98</x:v>
      </x:c>
      <x:c r="E24" s="7" t="s">
        <x:v>27</x:v>
      </x:c>
      <x:c r="F24" s="7" t="s">
        <x:v>28</x:v>
      </x:c>
      <x:c r="G24" s="16" t="str">
        <x:v>eHSM AEAD接口可用；测试密钥和KAT向量已准备</x:v>
      </x:c>
      <x:c r="H24" s="16" t="str">
        <x:v>密钥、nonce、AAD、明文/密文、Tag及边界长度向量</x:v>
      </x:c>
      <x:c r="I24" s="16" t="str">
        <x:v>密文/明文、Tag和返回状态</x:v>
      </x:c>
      <x:c r="J24" s="16" t="str">
        <x:v>验证AEAD加解密、认证和参数边界</x:v>
      </x:c>
      <x:c r="K24" s="16" t="str">
        <x:v>结果与KAT/参考实现一致；篡改密文/AAD/Tag或非法nonce/Tag长度必须失败且不释放未认证明文</x:v>
      </x:c>
      <x:c r="L24" s="5" t="s">
        <x:v>32</x:v>
      </x:c>
      <x:c r="M24" s="9" t="s">
        <x:v>33</x:v>
      </x:c>
      <x:c r="N24" s="14"/>
      <x:c r="O24" s="14"/>
      <x:c r="P24" s="14"/>
      <x:c r="Q24" s="14"/>
      <x:c r="R24" s="14"/>
      <x:c r="S24" s="14"/>
      <x:c r="T24" s="14"/>
      <x:c r="U24" s="14"/>
      <x:c r="V24" s="14"/>
      <x:c r="W24" s="14"/>
    </x:row>
    <x:row r="25">
      <x:c r="A25" s="5" t="s">
        <x:v>23</x:v>
      </x:c>
      <x:c r="B25" s="5"/>
      <x:c r="C25" s="8" t="s">
        <x:v>99</x:v>
      </x:c>
      <x:c r="D25" s="5" t="s">
        <x:v>100</x:v>
      </x:c>
      <x:c r="E25" s="7" t="s">
        <x:v>27</x:v>
      </x:c>
      <x:c r="F25" s="7" t="s">
        <x:v>28</x:v>
      </x:c>
      <x:c r="G25" s="16" t="str">
        <x:v>eHSM XTS接口可用；双密钥、tweak和KAT向量已准备</x:v>
      </x:c>
      <x:c r="H25" s="16" t="str">
        <x:v>XTS双密钥、tweak/sector号、不同块长明文及KAT向量</x:v>
      </x:c>
      <x:c r="I25" s="16" t="str">
        <x:v>XTS密文/解密明文和返回状态</x:v>
      </x:c>
      <x:c r="J25" s="16" t="str">
        <x:v>验证XTS数据单元加解密、tweak和长度边界</x:v>
      </x:c>
      <x:c r="K25" s="16" t="str">
        <x:v>结果与KAT/参考向量一致；单次/分段结果一致；不满足接口最小保留块/长度约束时明确失败</x:v>
      </x:c>
      <x:c r="L25" s="5" t="s">
        <x:v>32</x:v>
      </x:c>
      <x:c r="M25" s="9" t="s">
        <x:v>33</x:v>
      </x:c>
      <x:c r="N25" s="14"/>
      <x:c r="O25" s="14"/>
      <x:c r="P25" s="14"/>
      <x:c r="Q25" s="14"/>
      <x:c r="R25" s="14"/>
      <x:c r="S25" s="14"/>
      <x:c r="T25" s="14"/>
      <x:c r="U25" s="14"/>
      <x:c r="V25" s="14"/>
      <x:c r="W25" s="14"/>
    </x:row>
    <x:row r="26">
      <x:c r="A26" s="5" t="s">
        <x:v>23</x:v>
      </x:c>
      <x:c r="B26" s="5"/>
      <x:c r="C26" s="8" t="s">
        <x:v>101</x:v>
      </x:c>
      <x:c r="D26" s="5" t="s">
        <x:v>102</x:v>
      </x:c>
      <x:c r="E26" s="7" t="s">
        <x:v>27</x:v>
      </x:c>
      <x:c r="F26" s="7" t="s">
        <x:v>28</x:v>
      </x:c>
      <x:c r="G26" s="16" t="str">
        <x:v>eHSM XTS接口可用；双密钥、tweak和KAT向量已准备</x:v>
      </x:c>
      <x:c r="H26" s="16" t="str">
        <x:v>XTS双密钥、tweak/sector号、不同块长明文及KAT向量</x:v>
      </x:c>
      <x:c r="I26" s="16" t="str">
        <x:v>XTS密文/解密明文和返回状态</x:v>
      </x:c>
      <x:c r="J26" s="16" t="str">
        <x:v>验证XTS数据单元加解密、tweak和长度边界</x:v>
      </x:c>
      <x:c r="K26" s="16" t="str">
        <x:v>结果与KAT/参考向量一致；单次/分段结果一致；不满足接口最小保留块/长度约束时明确失败</x:v>
      </x:c>
      <x:c r="L26" s="5" t="s">
        <x:v>32</x:v>
      </x:c>
      <x:c r="M26" s="9" t="s">
        <x:v>33</x:v>
      </x:c>
      <x:c r="N26" s="14"/>
      <x:c r="O26" s="14"/>
      <x:c r="P26" s="14"/>
      <x:c r="Q26" s="14"/>
      <x:c r="R26" s="14"/>
      <x:c r="S26" s="14"/>
      <x:c r="T26" s="14"/>
      <x:c r="U26" s="14"/>
      <x:c r="V26" s="14"/>
      <x:c r="W26" s="18" t="str">
        <x:v>待确认：SRC-0018实现包含AES-192-XTS，但Vendor测试代码注明其不是NIST标准算法；需明确合规与发布门禁定位。</x:v>
      </x:c>
    </x:row>
    <x:row r="27">
      <x:c r="A27" s="5" t="s">
        <x:v>23</x:v>
      </x:c>
      <x:c r="B27" s="5"/>
      <x:c r="C27" s="8" t="s">
        <x:v>103</x:v>
      </x:c>
      <x:c r="D27" s="5" t="s">
        <x:v>104</x:v>
      </x:c>
      <x:c r="E27" s="7" t="s">
        <x:v>27</x:v>
      </x:c>
      <x:c r="F27" s="7" t="s">
        <x:v>28</x:v>
      </x:c>
      <x:c r="G27" s="16" t="str">
        <x:v>eHSM XTS接口可用；双密钥、tweak和KAT向量已准备</x:v>
      </x:c>
      <x:c r="H27" s="16" t="str">
        <x:v>XTS双密钥、tweak/sector号、不同块长明文及KAT向量</x:v>
      </x:c>
      <x:c r="I27" s="16" t="str">
        <x:v>XTS密文/解密明文和返回状态</x:v>
      </x:c>
      <x:c r="J27" s="16" t="str">
        <x:v>验证XTS数据单元加解密、tweak和长度边界</x:v>
      </x:c>
      <x:c r="K27" s="16" t="str">
        <x:v>结果与KAT/参考向量一致；单次/分段结果一致；不满足接口最小保留块/长度约束时明确失败</x:v>
      </x:c>
      <x:c r="L27" s="5" t="s">
        <x:v>32</x:v>
      </x:c>
      <x:c r="M27" s="9" t="s">
        <x:v>33</x:v>
      </x:c>
      <x:c r="N27" s="14"/>
      <x:c r="O27" s="14"/>
      <x:c r="P27" s="14"/>
      <x:c r="Q27" s="14"/>
      <x:c r="R27" s="14"/>
      <x:c r="S27" s="14"/>
      <x:c r="T27" s="14"/>
      <x:c r="U27" s="14"/>
      <x:c r="V27" s="14"/>
      <x:c r="W27" s="14"/>
    </x:row>
    <x:row r="28">
      <x:c r="A28" s="5" t="s">
        <x:v>23</x:v>
      </x:c>
      <x:c r="B28" s="5"/>
      <x:c r="C28" s="16" t="str">
        <x:v>AES-128 ECB/CBC/CFB/OFB/CTR/XTS：单次调用、分段输入（单块/随机块长）一致性</x:v>
      </x:c>
      <x:c r="D28" s="5" t="s">
        <x:v>105</x:v>
      </x:c>
      <x:c r="E28" s="7" t="s">
        <x:v>27</x:v>
      </x:c>
      <x:c r="F28" s="7" t="s">
        <x:v>28</x:v>
      </x:c>
      <x:c r="G28" s="16" t="str">
        <x:v>eHSM SKE接口可用；各模式密钥、IV/tweak和参考向量已准备</x:v>
      </x:c>
      <x:c r="H28" s="16" t="str">
        <x:v>不同长度明文、密钥、IV/tweak；单次调用与多种分段序列</x:v>
      </x:c>
      <x:c r="I28" s="16" t="str">
        <x:v>各模式密文/解密明文、返回状态和分段一致性结果</x:v>
      </x:c>
      <x:c r="J28" s="16" t="str">
        <x:v>验证各模式单次与流式接口一致性及边界</x:v>
      </x:c>
      <x:c r="K28" s="16" t="str">
        <x:v>单次/分段结果与参考实现一致且解密回原文；非法长度、IV/tweak或状态顺序被拒绝</x:v>
      </x:c>
      <x:c r="L28" s="5" t="s">
        <x:v>32</x:v>
      </x:c>
      <x:c r="M28" s="9" t="s">
        <x:v>33</x:v>
      </x:c>
      <x:c r="N28" s="14"/>
      <x:c r="O28" s="14"/>
      <x:c r="P28" s="14"/>
      <x:c r="Q28" s="14"/>
      <x:c r="R28" s="14"/>
      <x:c r="S28" s="14"/>
      <x:c r="T28" s="14"/>
      <x:c r="U28" s="14"/>
      <x:c r="V28" s="14"/>
      <x:c r="W28" s="14"/>
    </x:row>
    <x:row r="29">
      <x:c r="A29" s="5" t="s">
        <x:v>23</x:v>
      </x:c>
      <x:c r="B29" s="5"/>
      <x:c r="C29" s="16" t="str">
        <x:v>AES-192 ECB/CBC/CFB/OFB/CTR/XTS：单次调用、分段输入（单块/随机块长）一致性</x:v>
      </x:c>
      <x:c r="D29" s="5" t="s">
        <x:v>106</x:v>
      </x:c>
      <x:c r="E29" s="7" t="s">
        <x:v>27</x:v>
      </x:c>
      <x:c r="F29" s="7" t="s">
        <x:v>28</x:v>
      </x:c>
      <x:c r="G29" s="16" t="str">
        <x:v>eHSM SKE接口可用；各模式密钥、IV/tweak和参考向量已准备</x:v>
      </x:c>
      <x:c r="H29" s="16" t="str">
        <x:v>不同长度明文、密钥、IV/tweak；单次调用与多种分段序列</x:v>
      </x:c>
      <x:c r="I29" s="16" t="str">
        <x:v>各模式密文/解密明文、返回状态和分段一致性结果</x:v>
      </x:c>
      <x:c r="J29" s="16" t="str">
        <x:v>验证各模式单次与流式接口一致性及边界</x:v>
      </x:c>
      <x:c r="K29" s="16" t="str">
        <x:v>单次/分段结果与参考实现一致且解密回原文；非法长度、IV/tweak或状态顺序被拒绝</x:v>
      </x:c>
      <x:c r="L29" s="5" t="s">
        <x:v>32</x:v>
      </x:c>
      <x:c r="M29" s="9" t="s">
        <x:v>33</x:v>
      </x:c>
      <x:c r="N29" s="14"/>
      <x:c r="O29" s="14"/>
      <x:c r="P29" s="14"/>
      <x:c r="Q29" s="14"/>
      <x:c r="R29" s="14"/>
      <x:c r="S29" s="14"/>
      <x:c r="T29" s="14"/>
      <x:c r="U29" s="14"/>
      <x:c r="V29" s="14"/>
      <x:c r="W29" s="14"/>
    </x:row>
    <x:row r="30">
      <x:c r="A30" s="5" t="s">
        <x:v>23</x:v>
      </x:c>
      <x:c r="B30" s="5"/>
      <x:c r="C30" s="16" t="str">
        <x:v>AES-256 ECB/CBC/CFB/OFB/CTR/XTS：单次调用、分段输入（单块/随机块长）一致性</x:v>
      </x:c>
      <x:c r="D30" s="5" t="s">
        <x:v>107</x:v>
      </x:c>
      <x:c r="E30" s="7" t="s">
        <x:v>27</x:v>
      </x:c>
      <x:c r="F30" s="7" t="s">
        <x:v>28</x:v>
      </x:c>
      <x:c r="G30" s="16" t="str">
        <x:v>eHSM SKE接口可用；各模式密钥、IV/tweak和参考向量已准备</x:v>
      </x:c>
      <x:c r="H30" s="16" t="str">
        <x:v>不同长度明文、密钥、IV/tweak；单次调用与多种分段序列</x:v>
      </x:c>
      <x:c r="I30" s="16" t="str">
        <x:v>各模式密文/解密明文、返回状态和分段一致性结果</x:v>
      </x:c>
      <x:c r="J30" s="16" t="str">
        <x:v>验证各模式单次与流式接口一致性及边界</x:v>
      </x:c>
      <x:c r="K30" s="16" t="str">
        <x:v>单次/分段结果与参考实现一致且解密回原文；非法长度、IV/tweak或状态顺序被拒绝</x:v>
      </x:c>
      <x:c r="L30" s="5" t="s">
        <x:v>32</x:v>
      </x:c>
      <x:c r="M30" s="9" t="s">
        <x:v>33</x:v>
      </x:c>
      <x:c r="N30" s="14"/>
      <x:c r="O30" s="14"/>
      <x:c r="P30" s="14"/>
      <x:c r="Q30" s="14"/>
      <x:c r="R30" s="14"/>
      <x:c r="S30" s="14"/>
      <x:c r="T30" s="14"/>
      <x:c r="U30" s="14"/>
      <x:c r="V30" s="14"/>
      <x:c r="W30" s="14"/>
    </x:row>
    <x:row r="31">
      <x:c r="A31" s="5" t="s">
        <x:v>23</x:v>
      </x:c>
      <x:c r="B31" s="5"/>
      <x:c r="C31" s="8" t="s">
        <x:v>108</x:v>
      </x:c>
      <x:c r="D31" s="5" t="s">
        <x:v>109</x:v>
      </x:c>
      <x:c r="E31" s="7" t="s">
        <x:v>27</x:v>
      </x:c>
      <x:c r="F31" s="7" t="s">
        <x:v>28</x:v>
      </x:c>
      <x:c r="G31" s="16" t="str">
        <x:v>eHSM SKE/MAC接口可用；测试密钥和KAT向量已准备</x:v>
      </x:c>
      <x:c r="H31" s="16" t="str">
        <x:v>密钥、消息、分段方式和标准/参考KAT向量</x:v>
      </x:c>
      <x:c r="I31" s="16" t="str">
        <x:v>MAC Tag和返回状态</x:v>
      </x:c>
      <x:c r="J31" s="16" t="str">
        <x:v>验证MAC单次/分段计算正确性与边界处理</x:v>
      </x:c>
      <x:c r="K31" s="16" t="str">
        <x:v>Tag与KAT/参考实现一致；空消息、非法长度、错误key类型等按接口约束处理且不得误报成功</x:v>
      </x:c>
      <x:c r="L31" s="5" t="s">
        <x:v>32</x:v>
      </x:c>
      <x:c r="M31" s="9" t="s">
        <x:v>33</x:v>
      </x:c>
      <x:c r="N31" s="14"/>
      <x:c r="O31" s="14"/>
      <x:c r="P31" s="14"/>
      <x:c r="Q31" s="14"/>
      <x:c r="R31" s="14"/>
      <x:c r="S31" s="14"/>
      <x:c r="T31" s="14"/>
      <x:c r="U31" s="14"/>
      <x:c r="V31" s="14"/>
      <x:c r="W31" s="14"/>
    </x:row>
    <x:row r="32">
      <x:c r="A32" s="5" t="s">
        <x:v>23</x:v>
      </x:c>
      <x:c r="B32" s="5"/>
      <x:c r="C32" s="8" t="s">
        <x:v>110</x:v>
      </x:c>
      <x:c r="D32" s="5" t="s">
        <x:v>111</x:v>
      </x:c>
      <x:c r="E32" s="7" t="s">
        <x:v>27</x:v>
      </x:c>
      <x:c r="F32" s="7" t="s">
        <x:v>28</x:v>
      </x:c>
      <x:c r="G32" s="16" t="str">
        <x:v>eHSM SKE/MAC接口可用；测试密钥和KAT向量已准备</x:v>
      </x:c>
      <x:c r="H32" s="16" t="str">
        <x:v>密钥、消息、分段方式和标准/参考KAT向量</x:v>
      </x:c>
      <x:c r="I32" s="16" t="str">
        <x:v>MAC Tag和返回状态</x:v>
      </x:c>
      <x:c r="J32" s="16" t="str">
        <x:v>验证MAC单次/分段计算正确性与边界处理</x:v>
      </x:c>
      <x:c r="K32" s="16" t="str">
        <x:v>Tag与KAT/参考实现一致；空消息、非法长度、错误key类型等按接口约束处理且不得误报成功</x:v>
      </x:c>
      <x:c r="L32" s="5" t="s">
        <x:v>32</x:v>
      </x:c>
      <x:c r="M32" s="9" t="s">
        <x:v>33</x:v>
      </x:c>
      <x:c r="N32" s="14"/>
      <x:c r="O32" s="14"/>
      <x:c r="P32" s="14"/>
      <x:c r="Q32" s="14"/>
      <x:c r="R32" s="14"/>
      <x:c r="S32" s="14"/>
      <x:c r="T32" s="14"/>
      <x:c r="U32" s="14"/>
      <x:c r="V32" s="14"/>
      <x:c r="W32" s="14"/>
    </x:row>
    <x:row r="33">
      <x:c r="A33" s="5" t="s">
        <x:v>23</x:v>
      </x:c>
      <x:c r="B33" s="5"/>
      <x:c r="C33" s="8" t="s">
        <x:v>112</x:v>
      </x:c>
      <x:c r="D33" s="5" t="s">
        <x:v>113</x:v>
      </x:c>
      <x:c r="E33" s="7" t="s">
        <x:v>27</x:v>
      </x:c>
      <x:c r="F33" s="7" t="s">
        <x:v>28</x:v>
      </x:c>
      <x:c r="G33" s="16" t="str">
        <x:v>eHSM AEAD接口可用；测试密钥和KAT向量已准备</x:v>
      </x:c>
      <x:c r="H33" s="16" t="str">
        <x:v>密钥、nonce、AAD、明文/密文、Tag及边界长度向量</x:v>
      </x:c>
      <x:c r="I33" s="16" t="str">
        <x:v>密文/明文、Tag和返回状态</x:v>
      </x:c>
      <x:c r="J33" s="16" t="str">
        <x:v>验证AEAD加解密、认证和参数边界</x:v>
      </x:c>
      <x:c r="K33" s="16" t="str">
        <x:v>结果与KAT/参考实现一致；篡改密文/AAD/Tag或非法nonce/Tag长度必须失败且不释放未认证明文</x:v>
      </x:c>
      <x:c r="L33" s="5" t="s">
        <x:v>32</x:v>
      </x:c>
      <x:c r="M33" s="9" t="s">
        <x:v>33</x:v>
      </x:c>
      <x:c r="N33" s="14"/>
      <x:c r="O33" s="14"/>
      <x:c r="P33" s="14"/>
      <x:c r="Q33" s="14"/>
      <x:c r="R33" s="14"/>
      <x:c r="S33" s="14"/>
      <x:c r="T33" s="14"/>
      <x:c r="U33" s="14"/>
      <x:c r="V33" s="14"/>
      <x:c r="W33" s="14"/>
    </x:row>
    <x:row r="34">
      <x:c r="A34" s="5" t="s">
        <x:v>23</x:v>
      </x:c>
      <x:c r="B34" s="5"/>
      <x:c r="C34" s="8" t="s">
        <x:v>114</x:v>
      </x:c>
      <x:c r="D34" s="5" t="s">
        <x:v>115</x:v>
      </x:c>
      <x:c r="E34" s="7" t="s">
        <x:v>27</x:v>
      </x:c>
      <x:c r="F34" s="7" t="s">
        <x:v>28</x:v>
      </x:c>
      <x:c r="G34" s="16" t="str">
        <x:v>eHSM XTS接口可用；双密钥、tweak和KAT向量已准备</x:v>
      </x:c>
      <x:c r="H34" s="16" t="str">
        <x:v>XTS双密钥、tweak/sector号、不同块长明文及KAT向量</x:v>
      </x:c>
      <x:c r="I34" s="16" t="str">
        <x:v>XTS密文/解密明文和返回状态</x:v>
      </x:c>
      <x:c r="J34" s="16" t="str">
        <x:v>验证XTS数据单元加解密、tweak和长度边界</x:v>
      </x:c>
      <x:c r="K34" s="16" t="str">
        <x:v>结果与KAT/参考向量一致；单次/分段结果一致；不满足接口最小保留块/长度约束时明确失败</x:v>
      </x:c>
      <x:c r="L34" s="5" t="s">
        <x:v>32</x:v>
      </x:c>
      <x:c r="M34" s="9" t="s">
        <x:v>33</x:v>
      </x:c>
      <x:c r="N34" s="14"/>
      <x:c r="O34" s="14"/>
      <x:c r="P34" s="14"/>
      <x:c r="Q34" s="14"/>
      <x:c r="R34" s="14"/>
      <x:c r="S34" s="14"/>
      <x:c r="T34" s="14"/>
      <x:c r="U34" s="14"/>
      <x:c r="V34" s="14"/>
      <x:c r="W34" s="14"/>
    </x:row>
    <x:row r="35">
      <x:c r="A35" s="5" t="s">
        <x:v>23</x:v>
      </x:c>
      <x:c r="B35" s="5"/>
      <x:c r="C35" s="16" t="str">
        <x:v>SM4 ECB/CBC/CFB/OFB/CTR/XTS：单次调用、分段输入（单块/随机块长）一致性</x:v>
      </x:c>
      <x:c r="D35" s="5" t="s">
        <x:v>116</x:v>
      </x:c>
      <x:c r="E35" s="7" t="s">
        <x:v>27</x:v>
      </x:c>
      <x:c r="F35" s="7" t="s">
        <x:v>28</x:v>
      </x:c>
      <x:c r="G35" s="16" t="str">
        <x:v>eHSM SKE接口可用；各模式密钥、IV/tweak和参考向量已准备</x:v>
      </x:c>
      <x:c r="H35" s="16" t="str">
        <x:v>不同长度明文、密钥、IV/tweak；单次调用与多种分段序列</x:v>
      </x:c>
      <x:c r="I35" s="16" t="str">
        <x:v>各模式密文/解密明文、返回状态和分段一致性结果</x:v>
      </x:c>
      <x:c r="J35" s="16" t="str">
        <x:v>验证各模式单次与流式接口一致性及边界</x:v>
      </x:c>
      <x:c r="K35" s="16" t="str">
        <x:v>单次/分段结果与参考实现一致且解密回原文；非法长度、IV/tweak或状态顺序被拒绝</x:v>
      </x:c>
      <x:c r="L35" s="5" t="s">
        <x:v>32</x:v>
      </x:c>
      <x:c r="M35" s="9" t="s">
        <x:v>33</x:v>
      </x:c>
      <x:c r="N35" s="14"/>
      <x:c r="O35" s="14"/>
      <x:c r="P35" s="14"/>
      <x:c r="Q35" s="14"/>
      <x:c r="R35" s="14"/>
      <x:c r="S35" s="14"/>
      <x:c r="T35" s="14"/>
      <x:c r="U35" s="14"/>
      <x:c r="V35" s="14"/>
      <x:c r="W35" s="14"/>
    </x:row>
    <x:row r="36">
      <x:c r="A36" s="5" t="s">
        <x:v>23</x:v>
      </x:c>
      <x:c r="B36" s="5"/>
      <x:c r="C36" s="8" t="s">
        <x:v>117</x:v>
      </x:c>
      <x:c r="D36" s="5" t="s">
        <x:v>118</x:v>
      </x:c>
      <x:c r="E36" s="7" t="s">
        <x:v>27</x:v>
      </x:c>
      <x:c r="F36" s="7" t="s">
        <x:v>28</x:v>
      </x:c>
      <x:c r="G36" s="8"/>
      <x:c r="H36" s="16" t="str">
        <x:v>AES密钥和一段二进制文件数据。</x:v>
      </x:c>
      <x:c r="I36" s="8" t="s">
        <x:v>119</x:v>
      </x:c>
      <x:c r="J36" s="8" t="s">
        <x:v>120</x:v>
      </x:c>
      <x:c r="K36" s="16" t="str">
        <x:v>PC上使用密钥对加密文件解密，和原文对比一致则通过。</x:v>
      </x:c>
      <x:c r="L36" s="5" t="s">
        <x:v>32</x:v>
      </x:c>
      <x:c r="M36" s="9" t="s">
        <x:v>33</x:v>
      </x:c>
      <x:c r="N36" s="14"/>
      <x:c r="O36" s="14"/>
      <x:c r="P36" s="14"/>
      <x:c r="Q36" s="14"/>
      <x:c r="R36" s="14"/>
      <x:c r="S36" s="14"/>
      <x:c r="T36" s="14"/>
      <x:c r="U36" s="14"/>
      <x:c r="V36" s="14"/>
      <x:c r="W36" s="14"/>
    </x:row>
    <x:row r="37">
      <x:c r="A37" s="5" t="s">
        <x:v>23</x:v>
      </x:c>
      <x:c r="B37" s="5"/>
      <x:c r="C37" s="8" t="s">
        <x:v>121</x:v>
      </x:c>
      <x:c r="D37" s="5" t="s">
        <x:v>122</x:v>
      </x:c>
      <x:c r="E37" s="7" t="s">
        <x:v>27</x:v>
      </x:c>
      <x:c r="F37" s="7" t="s">
        <x:v>28</x:v>
      </x:c>
      <x:c r="G37" s="8"/>
      <x:c r="H37" s="16" t="str">
        <x:v>AES密钥和加密文件。</x:v>
      </x:c>
      <x:c r="I37" s="8" t="s">
        <x:v>123</x:v>
      </x:c>
      <x:c r="J37" s="8" t="s">
        <x:v>124</x:v>
      </x:c>
      <x:c r="K37" s="8" t="s">
        <x:v>125</x:v>
      </x:c>
      <x:c r="L37" s="5" t="s">
        <x:v>32</x:v>
      </x:c>
      <x:c r="M37" s="9" t="s">
        <x:v>33</x:v>
      </x:c>
      <x:c r="N37" s="14"/>
      <x:c r="O37" s="14"/>
      <x:c r="P37" s="14"/>
      <x:c r="Q37" s="14"/>
      <x:c r="R37" s="14"/>
      <x:c r="S37" s="14"/>
      <x:c r="T37" s="14"/>
      <x:c r="U37" s="14"/>
      <x:c r="V37" s="14"/>
      <x:c r="W37" s="14"/>
    </x:row>
    <x:row r="38">
      <x:c r="A38" s="5" t="s">
        <x:v>23</x:v>
      </x:c>
      <x:c r="B38" s="5" t="s">
        <x:v>24</x:v>
      </x:c>
      <x:c r="C38" s="8" t="s">
        <x:v>126</x:v>
      </x:c>
      <x:c r="D38" s="5" t="s">
        <x:v>127</x:v>
      </x:c>
      <x:c r="E38" s="7" t="s">
        <x:v>27</x:v>
      </x:c>
      <x:c r="F38" s="7" t="s">
        <x:v>28</x:v>
      </x:c>
      <x:c r="G38" s="16" t="str">
        <x:v>eHSM/TRNG已初始化且健康状态可读</x:v>
      </x:c>
      <x:c r="H38" s="8" t="s">
        <x:v>128</x:v>
      </x:c>
      <x:c r="I38" s="8" t="s">
        <x:v>129</x:v>
      </x:c>
      <x:c r="J38" s="16" t="str">
        <x:v>验证随机数接口基本功能和失败门禁</x:v>
      </x:c>
      <x:c r="K38" s="16" t="str">
        <x:v>合法请求返回规定长度数据且非固定/非全0；健康检测失败、非法长度或超时不得返回可用随机数</x:v>
      </x:c>
      <x:c r="L38" s="5" t="s">
        <x:v>32</x:v>
      </x:c>
      <x:c r="M38" s="9" t="s">
        <x:v>33</x:v>
      </x:c>
      <x:c r="N38" s="14"/>
      <x:c r="O38" s="14"/>
      <x:c r="P38" s="14"/>
      <x:c r="Q38" s="14"/>
      <x:c r="R38" s="14"/>
      <x:c r="S38" s="14"/>
      <x:c r="T38" s="14"/>
      <x:c r="U38" s="14"/>
      <x:c r="V38" s="14"/>
      <x:c r="W38" s="14"/>
    </x:row>
    <x:row r="39">
      <x:c r="A39" s="5" t="s">
        <x:v>23</x:v>
      </x:c>
      <x:c r="B39" s="5" t="s">
        <x:v>24</x:v>
      </x:c>
      <x:c r="C39" s="8" t="s">
        <x:v>130</x:v>
      </x:c>
      <x:c r="D39" s="5" t="s">
        <x:v>131</x:v>
      </x:c>
      <x:c r="E39" s="7" t="s">
        <x:v>27</x:v>
      </x:c>
      <x:c r="F39" s="7" t="s">
        <x:v>28</x:v>
      </x:c>
      <x:c r="G39" s="8" t="s">
        <x:v>132</x:v>
      </x:c>
      <x:c r="H39" s="8" t="s">
        <x:v>133</x:v>
      </x:c>
      <x:c r="I39" s="8" t="s">
        <x:v>134</x:v>
      </x:c>
      <x:c r="J39" s="8" t="s">
        <x:v>135</x:v>
      </x:c>
      <x:c r="K39" s="16" t="str">
        <x:v>ready=1、bootloader_err=0且版本/整体自检状态可读；bit18/bit19不得作为SHA256/TRNG单项判据，等待OPEN-CONFLICT-001裁决</x:v>
      </x:c>
      <x:c r="L39" s="5" t="s">
        <x:v>32</x:v>
      </x:c>
      <x:c r="M39" s="9" t="s">
        <x:v>33</x:v>
      </x:c>
      <x:c r="N39" s="14"/>
      <x:c r="O39" s="14"/>
      <x:c r="P39" s="14"/>
      <x:c r="Q39" s="14"/>
      <x:c r="R39" s="14"/>
      <x:c r="S39" s="14"/>
      <x:c r="T39" s="14"/>
      <x:c r="U39" s="14"/>
      <x:c r="V39" s="14"/>
      <x:c r="W39" s="18" t="str">
        <x:v>CONFLICTING：BL与Host对自检bit18/bit19定义不一致；本版仅允许整体验证，详见OPEN-CONFLICT-001。</x:v>
      </x:c>
    </x:row>
    <x:row r="40">
      <x:c r="A40" s="5" t="s">
        <x:v>23</x:v>
      </x:c>
      <x:c r="B40" s="5" t="s">
        <x:v>24</x:v>
      </x:c>
      <x:c r="C40" s="8" t="s">
        <x:v>136</x:v>
      </x:c>
      <x:c r="D40" s="5" t="s">
        <x:v>137</x:v>
      </x:c>
      <x:c r="E40" s="7" t="s">
        <x:v>27</x:v>
      </x:c>
      <x:c r="F40" s="7" t="s">
        <x:v>28</x:v>
      </x:c>
      <x:c r="G40" s="8" t="s">
        <x:v>138</x:v>
      </x:c>
      <x:c r="H40" s="8" t="s">
        <x:v>139</x:v>
      </x:c>
      <x:c r="I40" s="8" t="s">
        <x:v>140</x:v>
      </x:c>
      <x:c r="J40" s="8" t="s">
        <x:v>141</x:v>
      </x:c>
      <x:c r="K40" s="16" t="str">
        <x:v>所有合法命令返回成功；H2S/S2H NOTE与中断置位、响应、清除顺序符合接口，重复执行无残留状态</x:v>
      </x:c>
      <x:c r="L40" s="5" t="s">
        <x:v>32</x:v>
      </x:c>
      <x:c r="M40" s="9" t="s">
        <x:v>33</x:v>
      </x:c>
      <x:c r="N40" s="14"/>
      <x:c r="O40" s="14"/>
      <x:c r="P40" s="14"/>
      <x:c r="Q40" s="14"/>
      <x:c r="R40" s="14"/>
      <x:c r="S40" s="14"/>
      <x:c r="T40" s="14"/>
      <x:c r="U40" s="14"/>
      <x:c r="V40" s="14"/>
      <x:c r="W40" s="14"/>
    </x:row>
    <x:row r="41">
      <x:c r="A41" s="5" t="s">
        <x:v>23</x:v>
      </x:c>
      <x:c r="B41" s="5" t="s">
        <x:v>24</x:v>
      </x:c>
      <x:c r="C41" s="8" t="s">
        <x:v>142</x:v>
      </x:c>
      <x:c r="D41" s="5" t="s">
        <x:v>143</x:v>
      </x:c>
      <x:c r="E41" s="7" t="s">
        <x:v>27</x:v>
      </x:c>
      <x:c r="F41" s="7" t="s">
        <x:v>28</x:v>
      </x:c>
      <x:c r="G41" s="8" t="s">
        <x:v>144</x:v>
      </x:c>
      <x:c r="H41" s="8" t="s">
        <x:v>145</x:v>
      </x:c>
      <x:c r="I41" s="8" t="s">
        <x:v>146</x:v>
      </x:c>
      <x:c r="J41" s="8" t="s">
        <x:v>147</x:v>
      </x:c>
      <x:c r="K41" s="16" t="str">
        <x:v>每种非法输入返回明确错误/busy/timeout；无越界读写、死锁、重复完成或误返回PASS；复位后可恢复通信</x:v>
      </x:c>
      <x:c r="L41" s="5" t="s">
        <x:v>32</x:v>
      </x:c>
      <x:c r="M41" s="9" t="s">
        <x:v>33</x:v>
      </x:c>
      <x:c r="N41" s="14"/>
      <x:c r="O41" s="14"/>
      <x:c r="P41" s="14"/>
      <x:c r="Q41" s="14"/>
      <x:c r="R41" s="14"/>
      <x:c r="S41" s="14"/>
      <x:c r="T41" s="14"/>
      <x:c r="U41" s="14"/>
      <x:c r="V41" s="14"/>
      <x:c r="W41" s="14"/>
    </x:row>
    <x:row r="42">
      <x:c r="A42" s="5" t="s">
        <x:v>23</x:v>
      </x:c>
      <x:c r="B42" s="5" t="s">
        <x:v>24</x:v>
      </x:c>
      <x:c r="C42" s="8" t="s">
        <x:v>148</x:v>
      </x:c>
      <x:c r="D42" s="5" t="s">
        <x:v>149</x:v>
      </x:c>
      <x:c r="E42" s="7" t="s">
        <x:v>27</x:v>
      </x:c>
      <x:c r="F42" s="7" t="s">
        <x:v>28</x:v>
      </x:c>
      <x:c r="G42" s="8" t="s">
        <x:v>150</x:v>
      </x:c>
      <x:c r="H42" s="8" t="s">
        <x:v>151</x:v>
      </x:c>
      <x:c r="I42" s="8" t="s">
        <x:v>152</x:v>
      </x:c>
      <x:c r="J42" s="8" t="s">
        <x:v>153</x:v>
      </x:c>
      <x:c r="K42" s="16" t="str">
        <x:v>只读/受限寄存器权限符合方案；局部复位后eHSM重新ready，状态和错误标志按定义恢复且不泄露旧敏感状态</x:v>
      </x:c>
      <x:c r="L42" s="5" t="s">
        <x:v>32</x:v>
      </x:c>
      <x:c r="M42" s="9" t="s">
        <x:v>33</x:v>
      </x:c>
      <x:c r="N42" s="14"/>
      <x:c r="O42" s="14"/>
      <x:c r="P42" s="14"/>
      <x:c r="Q42" s="14"/>
      <x:c r="R42" s="14"/>
      <x:c r="S42" s="14"/>
      <x:c r="T42" s="14"/>
      <x:c r="U42" s="14"/>
      <x:c r="V42" s="14"/>
      <x:c r="W42" s="14"/>
    </x:row>
    <x:row r="43">
      <x:c r="A43" s="5" t="s">
        <x:v>23</x:v>
      </x:c>
      <x:c r="B43" s="5" t="s">
        <x:v>24</x:v>
      </x:c>
      <x:c r="C43" s="8" t="s">
        <x:v>154</x:v>
      </x:c>
      <x:c r="D43" s="5" t="s">
        <x:v>155</x:v>
      </x:c>
      <x:c r="E43" s="7" t="s">
        <x:v>27</x:v>
      </x:c>
      <x:c r="F43" s="7" t="s">
        <x:v>28</x:v>
      </x:c>
      <x:c r="G43" s="8" t="s">
        <x:v>156</x:v>
      </x:c>
      <x:c r="H43" s="8" t="s">
        <x:v>157</x:v>
      </x:c>
      <x:c r="I43" s="8" t="s">
        <x:v>158</x:v>
      </x:c>
      <x:c r="J43" s="8" t="s">
        <x:v>159</x:v>
      </x:c>
      <x:c r="K43" s="19" t="str">
        <x:v>读值与预置一致；写入仅发生在允许生命周期/slot且满足eFuse 0→1单向规则；越界/重复写被拒绝</x:v>
      </x:c>
      <x:c r="L43" s="5" t="s">
        <x:v>32</x:v>
      </x:c>
      <x:c r="M43" s="9" t="s">
        <x:v>33</x:v>
      </x:c>
      <x:c r="N43" s="14"/>
      <x:c r="O43" s="14"/>
      <x:c r="P43" s="14"/>
      <x:c r="Q43" s="14"/>
      <x:c r="R43" s="14"/>
      <x:c r="S43" s="14"/>
      <x:c r="T43" s="14"/>
      <x:c r="U43" s="14"/>
      <x:c r="V43" s="14"/>
      <x:c r="W43" s="14"/>
    </x:row>
    <x:row r="44">
      <x:c r="A44" s="5" t="s">
        <x:v>23</x:v>
      </x:c>
      <x:c r="B44" s="5" t="s">
        <x:v>24</x:v>
      </x:c>
      <x:c r="C44" s="8" t="s">
        <x:v>160</x:v>
      </x:c>
      <x:c r="D44" s="5" t="s">
        <x:v>161</x:v>
      </x:c>
      <x:c r="E44" s="7" t="s">
        <x:v>27</x:v>
      </x:c>
      <x:c r="F44" s="7" t="s">
        <x:v>28</x:v>
      </x:c>
      <x:c r="G44" s="8" t="s">
        <x:v>162</x:v>
      </x:c>
      <x:c r="H44" s="8" t="s">
        <x:v>163</x:v>
      </x:c>
      <x:c r="I44" s="8" t="s">
        <x:v>164</x:v>
      </x:c>
      <x:c r="J44" s="8" t="s">
        <x:v>165</x:v>
      </x:c>
      <x:c r="K44" s="16" t="str">
        <x:v>USER下所有未授权eFuse写、测试slot/测试能力和启动key重装均失败，内容与控制位保持不变并留下可审计错误</x:v>
      </x:c>
      <x:c r="L44" s="5" t="s">
        <x:v>32</x:v>
      </x:c>
      <x:c r="M44" s="9" t="s">
        <x:v>33</x:v>
      </x:c>
      <x:c r="N44" s="14"/>
      <x:c r="O44" s="14"/>
      <x:c r="P44" s="14"/>
      <x:c r="Q44" s="14"/>
      <x:c r="R44" s="14"/>
      <x:c r="S44" s="14"/>
      <x:c r="T44" s="14"/>
      <x:c r="U44" s="14"/>
      <x:c r="V44" s="14"/>
      <x:c r="W44" s="14"/>
    </x:row>
    <x:row r="45">
      <x:c r="A45" s="5" t="s">
        <x:v>23</x:v>
      </x:c>
      <x:c r="B45" s="5" t="s">
        <x:v>24</x:v>
      </x:c>
      <x:c r="C45" s="8" t="s">
        <x:v>166</x:v>
      </x:c>
      <x:c r="D45" s="5" t="s">
        <x:v>167</x:v>
      </x:c>
      <x:c r="E45" s="7" t="s">
        <x:v>27</x:v>
      </x:c>
      <x:c r="F45" s="7" t="s">
        <x:v>28</x:v>
      </x:c>
      <x:c r="G45" s="8" t="s">
        <x:v>168</x:v>
      </x:c>
      <x:c r="H45" s="8" t="s">
        <x:v>169</x:v>
      </x:c>
      <x:c r="I45" s="8" t="s">
        <x:v>170</x:v>
      </x:c>
      <x:c r="J45" s="8" t="s">
        <x:v>171</x:v>
      </x:c>
      <x:c r="K45" s="16" t="str">
        <x:v>矩阵中每个生命周期的允许项成功、禁止项失败；生命周期不可逆约束成立且复位后权限不回退</x:v>
      </x:c>
      <x:c r="L45" s="5" t="s">
        <x:v>32</x:v>
      </x:c>
      <x:c r="M45" s="9" t="s">
        <x:v>33</x:v>
      </x:c>
      <x:c r="N45" s="14"/>
      <x:c r="O45" s="14"/>
      <x:c r="P45" s="14"/>
      <x:c r="Q45" s="14"/>
      <x:c r="R45" s="14"/>
      <x:c r="S45" s="14"/>
      <x:c r="T45" s="14"/>
      <x:c r="U45" s="14"/>
      <x:c r="V45" s="14"/>
      <x:c r="W45" s="14"/>
    </x:row>
    <x:row r="46">
      <x:c r="A46" s="5" t="s">
        <x:v>23</x:v>
      </x:c>
      <x:c r="B46" s="5" t="s">
        <x:v>24</x:v>
      </x:c>
      <x:c r="C46" s="8" t="s">
        <x:v>172</x:v>
      </x:c>
      <x:c r="D46" s="5" t="s">
        <x:v>173</x:v>
      </x:c>
      <x:c r="E46" s="7" t="s">
        <x:v>27</x:v>
      </x:c>
      <x:c r="F46" s="7" t="s">
        <x:v>28</x:v>
      </x:c>
      <x:c r="G46" s="8" t="s">
        <x:v>174</x:v>
      </x:c>
      <x:c r="H46" s="8" t="s">
        <x:v>175</x:v>
      </x:c>
      <x:c r="I46" s="8" t="s">
        <x:v>176</x:v>
      </x:c>
      <x:c r="J46" s="8" t="s">
        <x:v>177</x:v>
      </x:c>
      <x:c r="K46" s="16" t="str">
        <x:v>合法blob安装并可按策略使用；CRC、slot、key_type、生命周期或重复安装错误均被拒绝且目标slot不被部分写入</x:v>
      </x:c>
      <x:c r="L46" s="5" t="s">
        <x:v>32</x:v>
      </x:c>
      <x:c r="M46" s="9" t="s">
        <x:v>33</x:v>
      </x:c>
      <x:c r="N46" s="14"/>
      <x:c r="O46" s="14"/>
      <x:c r="P46" s="14"/>
      <x:c r="Q46" s="14"/>
      <x:c r="R46" s="14"/>
      <x:c r="S46" s="14"/>
      <x:c r="T46" s="14"/>
      <x:c r="U46" s="14"/>
      <x:c r="V46" s="14"/>
      <x:c r="W46" s="14"/>
    </x:row>
    <x:row r="47">
      <x:c r="A47" s="5" t="s">
        <x:v>23</x:v>
      </x:c>
      <x:c r="B47" s="5" t="s">
        <x:v>24</x:v>
      </x:c>
      <x:c r="C47" s="8" t="s">
        <x:v>178</x:v>
      </x:c>
      <x:c r="D47" s="5" t="s">
        <x:v>179</x:v>
      </x:c>
      <x:c r="E47" s="7" t="s">
        <x:v>27</x:v>
      </x:c>
      <x:c r="F47" s="7" t="s">
        <x:v>28</x:v>
      </x:c>
      <x:c r="G47" s="8" t="s">
        <x:v>180</x:v>
      </x:c>
      <x:c r="H47" s="8" t="s">
        <x:v>181</x:v>
      </x:c>
      <x:c r="I47" s="8" t="s">
        <x:v>182</x:v>
      </x:c>
      <x:c r="J47" s="8" t="s">
        <x:v>183</x:v>
      </x:c>
      <x:c r="K47" s="16" t="str">
        <x:v>有效key按属性/level装载到KMU或形成受控handle；明文不可导出，跨域/越权/无效slot访问失败</x:v>
      </x:c>
      <x:c r="L47" s="5" t="s">
        <x:v>32</x:v>
      </x:c>
      <x:c r="M47" s="9" t="s">
        <x:v>33</x:v>
      </x:c>
      <x:c r="N47" s="14"/>
      <x:c r="O47" s="14"/>
      <x:c r="P47" s="14"/>
      <x:c r="Q47" s="14"/>
      <x:c r="R47" s="14"/>
      <x:c r="S47" s="14"/>
      <x:c r="T47" s="14"/>
      <x:c r="U47" s="14"/>
      <x:c r="V47" s="14"/>
      <x:c r="W47" s="14"/>
    </x:row>
    <x:row r="48">
      <x:c r="A48" s="5" t="s">
        <x:v>23</x:v>
      </x:c>
      <x:c r="B48" s="5" t="s">
        <x:v>24</x:v>
      </x:c>
      <x:c r="C48" s="8" t="s">
        <x:v>184</x:v>
      </x:c>
      <x:c r="D48" s="5" t="s">
        <x:v>185</x:v>
      </x:c>
      <x:c r="E48" s="7" t="s">
        <x:v>27</x:v>
      </x:c>
      <x:c r="F48" s="7" t="s">
        <x:v>28</x:v>
      </x:c>
      <x:c r="G48" s="8" t="s">
        <x:v>186</x:v>
      </x:c>
      <x:c r="H48" s="8" t="s">
        <x:v>187</x:v>
      </x:c>
      <x:c r="I48" s="8" t="s">
        <x:v>188</x:v>
      </x:c>
      <x:c r="J48" s="8" t="s">
        <x:v>189</x:v>
      </x:c>
      <x:c r="K48" s="16" t="str">
        <x:v>所有跨用途调用在执行密码操作前被策略拒绝；原用途操作保持正常且审计记录能区分key用途</x:v>
      </x:c>
      <x:c r="L48" s="5" t="s">
        <x:v>32</x:v>
      </x:c>
      <x:c r="M48" s="9" t="s">
        <x:v>33</x:v>
      </x:c>
      <x:c r="N48" s="14"/>
      <x:c r="O48" s="14"/>
      <x:c r="P48" s="14"/>
      <x:c r="Q48" s="14"/>
      <x:c r="R48" s="14"/>
      <x:c r="S48" s="14"/>
      <x:c r="T48" s="14"/>
      <x:c r="U48" s="14"/>
      <x:c r="V48" s="14"/>
      <x:c r="W48" s="14"/>
    </x:row>
    <x:row r="49">
      <x:c r="A49" s="5" t="s">
        <x:v>23</x:v>
      </x:c>
      <x:c r="B49" s="5" t="s">
        <x:v>24</x:v>
      </x:c>
      <x:c r="C49" s="8" t="s">
        <x:v>190</x:v>
      </x:c>
      <x:c r="D49" s="5" t="s">
        <x:v>191</x:v>
      </x:c>
      <x:c r="E49" s="7" t="s">
        <x:v>27</x:v>
      </x:c>
      <x:c r="F49" s="7" t="s">
        <x:v>28</x:v>
      </x:c>
      <x:c r="G49" s="8" t="s">
        <x:v>192</x:v>
      </x:c>
      <x:c r="H49" s="8" t="s">
        <x:v>193</x:v>
      </x:c>
      <x:c r="I49" s="8" t="s">
        <x:v>194</x:v>
      </x:c>
      <x:c r="J49" s="8" t="s">
        <x:v>195</x:v>
      </x:c>
      <x:c r="K49" s="16" t="str">
        <x:v>等于/高于当前计数器的镜像按批准策略处理，低版本确定拒绝；任何失败都不release镜像、不回退counter</x:v>
      </x:c>
      <x:c r="L49" s="5" t="s">
        <x:v>32</x:v>
      </x:c>
      <x:c r="M49" s="9" t="s">
        <x:v>33</x:v>
      </x:c>
      <x:c r="N49" s="14"/>
      <x:c r="O49" s="14"/>
      <x:c r="P49" s="14"/>
      <x:c r="Q49" s="14"/>
      <x:c r="R49" s="14"/>
      <x:c r="S49" s="14"/>
      <x:c r="T49" s="14"/>
      <x:c r="U49" s="14"/>
      <x:c r="V49" s="14"/>
      <x:c r="W49" s="18" t="str">
        <x:v>待确认：高版本通过时stored_global_counter的更新时点/原子性需由软件方案或实现接口明确。</x:v>
      </x:c>
    </x:row>
    <x:row r="50">
      <x:c r="A50" s="5" t="s">
        <x:v>23</x:v>
      </x:c>
      <x:c r="B50" s="5" t="s">
        <x:v>24</x:v>
      </x:c>
      <x:c r="C50" s="16" t="str">
        <x:v>SoC Key轮换综合：新slot写入/校验、Active Bitmap切换、复位生效与旧slot不自动回退</x:v>
      </x:c>
      <x:c r="D50" s="5" t="s">
        <x:v>196</x:v>
      </x:c>
      <x:c r="E50" s="7" t="s">
        <x:v>27</x:v>
      </x:c>
      <x:c r="F50" s="7" t="s">
        <x:v>28</x:v>
      </x:c>
      <x:c r="G50" s="16" t="str">
        <x:v>已准备old/new FW Verify、FW Encrypt或Debug key；可控制授权、eFuse写与复位</x:v>
      </x:c>
      <x:c r="H50" s="16" t="str">
        <x:v>执行鉴权、写新slot、校验Key Type/Slot/CRC、更新Active Bitmap并复位</x:v>
      </x:c>
      <x:c r="I50" s="16" t="str">
        <x:v>新slot成为唯一active；eHSM ROM复位后选取新key；旧slot不自动回退</x:v>
      </x:c>
      <x:c r="J50" s="16" t="str">
        <x:v>验证已批准密钥轮换的正向闭环与单向状态</x:v>
      </x:c>
      <x:c r="K50" s="16" t="str">
        <x:v>新slot写入和校验完成后才更新Active Bitmap；复位后仅新slot生效，旧slot不自动回退；任一步失败不形成双active或不可判定状态</x:v>
      </x:c>
      <x:c r="L50" s="5" t="s">
        <x:v>32</x:v>
      </x:c>
      <x:c r="M50" s="9" t="s">
        <x:v>33</x:v>
      </x:c>
      <x:c r="N50" s="14"/>
      <x:c r="O50" s="14"/>
      <x:c r="P50" s="14"/>
      <x:c r="Q50" s="14"/>
      <x:c r="R50" s="14"/>
      <x:c r="S50" s="14"/>
      <x:c r="T50" s="14"/>
      <x:c r="U50" s="14"/>
      <x:c r="V50" s="14"/>
      <x:c r="W50" s="20" t="str">
        <x:v>依据：SRC-0016 §7.1～§7.3；Vendor实现只作eHSM侧验证输入。</x:v>
      </x:c>
    </x:row>
    <x:row r="51">
      <x:c r="A51" s="5" t="s">
        <x:v>23</x:v>
      </x:c>
      <x:c r="B51" s="5" t="s">
        <x:v>24</x:v>
      </x:c>
      <x:c r="C51" s="8" t="s">
        <x:v>197</x:v>
      </x:c>
      <x:c r="D51" s="5" t="s">
        <x:v>198</x:v>
      </x:c>
      <x:c r="E51" s="7" t="s">
        <x:v>27</x:v>
      </x:c>
      <x:c r="F51" s="7" t="s">
        <x:v>28</x:v>
      </x:c>
      <x:c r="G51" s="8" t="s">
        <x:v>199</x:v>
      </x:c>
      <x:c r="H51" s="8" t="s">
        <x:v>200</x:v>
      </x:c>
      <x:c r="I51" s="8" t="s">
        <x:v>201</x:v>
      </x:c>
      <x:c r="J51" s="8" t="s">
        <x:v>202</x:v>
      </x:c>
      <x:c r="K51" s="16" t="str">
        <x:v>eHSM ready后FMC验签、解密、rollback与manifest最小检查全部PASS，BootROM仅在PASS后跳转FMC并记录measurement</x:v>
      </x:c>
      <x:c r="L51" s="5" t="s">
        <x:v>32</x:v>
      </x:c>
      <x:c r="M51" s="9" t="s">
        <x:v>33</x:v>
      </x:c>
      <x:c r="N51" s="14"/>
      <x:c r="O51" s="14"/>
      <x:c r="P51" s="14"/>
      <x:c r="Q51" s="14"/>
      <x:c r="R51" s="14"/>
      <x:c r="S51" s="14"/>
      <x:c r="T51" s="14"/>
      <x:c r="U51" s="14"/>
      <x:c r="V51" s="14"/>
      <x:c r="W51" s="14"/>
    </x:row>
    <x:row r="52">
      <x:c r="A52" s="5" t="s">
        <x:v>23</x:v>
      </x:c>
      <x:c r="B52" s="5" t="s">
        <x:v>24</x:v>
      </x:c>
      <x:c r="C52" s="8" t="s">
        <x:v>203</x:v>
      </x:c>
      <x:c r="D52" s="5" t="s">
        <x:v>204</x:v>
      </x:c>
      <x:c r="E52" s="7" t="s">
        <x:v>27</x:v>
      </x:c>
      <x:c r="F52" s="7" t="s">
        <x:v>28</x:v>
      </x:c>
      <x:c r="G52" s="8" t="s">
        <x:v>205</x:v>
      </x:c>
      <x:c r="H52" s="8" t="s">
        <x:v>206</x:v>
      </x:c>
      <x:c r="I52" s="8" t="s">
        <x:v>207</x:v>
      </x:c>
      <x:c r="J52" s="8" t="s">
        <x:v>208</x:v>
      </x:c>
      <x:c r="K52" s="8" t="s">
        <x:v>209</x:v>
      </x:c>
      <x:c r="L52" s="5" t="s">
        <x:v>32</x:v>
      </x:c>
      <x:c r="M52" s="9" t="s">
        <x:v>33</x:v>
      </x:c>
      <x:c r="N52" s="14"/>
      <x:c r="O52" s="14"/>
      <x:c r="P52" s="14"/>
      <x:c r="Q52" s="14"/>
      <x:c r="R52" s="14"/>
      <x:c r="S52" s="14"/>
      <x:c r="T52" s="14"/>
      <x:c r="U52" s="14"/>
      <x:c r="V52" s="14"/>
      <x:c r="W52" s="14"/>
    </x:row>
    <x:row r="53">
      <x:c r="A53" s="5" t="s">
        <x:v>23</x:v>
      </x:c>
      <x:c r="B53" s="5" t="s">
        <x:v>24</x:v>
      </x:c>
      <x:c r="C53" s="8" t="s">
        <x:v>210</x:v>
      </x:c>
      <x:c r="D53" s="5" t="s">
        <x:v>211</x:v>
      </x:c>
      <x:c r="E53" s="7" t="s">
        <x:v>27</x:v>
      </x:c>
      <x:c r="F53" s="7" t="s">
        <x:v>28</x:v>
      </x:c>
      <x:c r="G53" s="8" t="s">
        <x:v>212</x:v>
      </x:c>
      <x:c r="H53" s="8" t="s">
        <x:v>213</x:v>
      </x:c>
      <x:c r="I53" s="8" t="s">
        <x:v>214</x:v>
      </x:c>
      <x:c r="J53" s="8" t="s">
        <x:v>215</x:v>
      </x:c>
      <x:c r="K53" s="16" t="str">
        <x:v>合法manifest所有策略检查PASS，load/entry落在批准范围，measurement记录完整且仅随后跳转FMC</x:v>
      </x:c>
      <x:c r="L53" s="5" t="s">
        <x:v>32</x:v>
      </x:c>
      <x:c r="M53" s="9" t="s">
        <x:v>33</x:v>
      </x:c>
      <x:c r="N53" s="14"/>
      <x:c r="O53" s="14"/>
      <x:c r="P53" s="14"/>
      <x:c r="Q53" s="14"/>
      <x:c r="R53" s="14"/>
      <x:c r="S53" s="14"/>
      <x:c r="T53" s="14"/>
      <x:c r="U53" s="14"/>
      <x:c r="V53" s="14"/>
      <x:c r="W53" s="14"/>
    </x:row>
    <x:row r="54">
      <x:c r="A54" s="5" t="s">
        <x:v>23</x:v>
      </x:c>
      <x:c r="B54" s="5" t="s">
        <x:v>24</x:v>
      </x:c>
      <x:c r="C54" s="8" t="s">
        <x:v>216</x:v>
      </x:c>
      <x:c r="D54" s="5" t="s">
        <x:v>217</x:v>
      </x:c>
      <x:c r="E54" s="7" t="s">
        <x:v>27</x:v>
      </x:c>
      <x:c r="F54" s="7" t="s">
        <x:v>28</x:v>
      </x:c>
      <x:c r="G54" s="8" t="s">
        <x:v>218</x:v>
      </x:c>
      <x:c r="H54" s="8" t="s">
        <x:v>219</x:v>
      </x:c>
      <x:c r="I54" s="8" t="s">
        <x:v>220</x:v>
      </x:c>
      <x:c r="J54" s="8" t="s">
        <x:v>221</x:v>
      </x:c>
      <x:c r="K54" s="16" t="str">
        <x:v>任一非法字段均导致manifest policy FAIL；BootROM不跳转、不release，记录明确失败原因并进入受控等待/恢复路径</x:v>
      </x:c>
      <x:c r="L54" s="5" t="s">
        <x:v>32</x:v>
      </x:c>
      <x:c r="M54" s="9" t="s">
        <x:v>33</x:v>
      </x:c>
      <x:c r="N54" s="14"/>
      <x:c r="O54" s="14"/>
      <x:c r="P54" s="14"/>
      <x:c r="Q54" s="14"/>
      <x:c r="R54" s="14"/>
      <x:c r="S54" s="14"/>
      <x:c r="T54" s="14"/>
      <x:c r="U54" s="14"/>
      <x:c r="V54" s="14"/>
      <x:c r="W54" s="14"/>
    </x:row>
    <x:row r="55">
      <x:c r="A55" s="5" t="s">
        <x:v>23</x:v>
      </x:c>
      <x:c r="B55" s="5" t="s">
        <x:v>24</x:v>
      </x:c>
      <x:c r="C55" s="8" t="s">
        <x:v>222</x:v>
      </x:c>
      <x:c r="D55" s="5" t="s">
        <x:v>223</x:v>
      </x:c>
      <x:c r="E55" s="7" t="s">
        <x:v>27</x:v>
      </x:c>
      <x:c r="F55" s="7" t="s">
        <x:v>28</x:v>
      </x:c>
      <x:c r="G55" s="8" t="s">
        <x:v>224</x:v>
      </x:c>
      <x:c r="H55" s="8" t="s">
        <x:v>225</x:v>
      </x:c>
      <x:c r="I55" s="8" t="s">
        <x:v>226</x:v>
      </x:c>
      <x:c r="J55" s="8" t="s">
        <x:v>227</x:v>
      </x:c>
      <x:c r="K55" s="16" t="str">
        <x:v>合法升级包验签、解密、版本和类型检查PASS；写入目标slot后读回一致，切换/安装过程有可审计结果</x:v>
      </x:c>
      <x:c r="L55" s="5" t="s">
        <x:v>32</x:v>
      </x:c>
      <x:c r="M55" s="9" t="s">
        <x:v>33</x:v>
      </x:c>
      <x:c r="N55" s="14"/>
      <x:c r="O55" s="14"/>
      <x:c r="P55" s="14"/>
      <x:c r="Q55" s="14"/>
      <x:c r="R55" s="14"/>
      <x:c r="S55" s="14"/>
      <x:c r="T55" s="14"/>
      <x:c r="U55" s="14"/>
      <x:c r="V55" s="14"/>
      <x:c r="W55" s="14"/>
    </x:row>
    <x:row r="56">
      <x:c r="A56" s="5" t="s">
        <x:v>23</x:v>
      </x:c>
      <x:c r="B56" s="5" t="s">
        <x:v>24</x:v>
      </x:c>
      <x:c r="C56" s="8" t="s">
        <x:v>228</x:v>
      </x:c>
      <x:c r="D56" s="5" t="s">
        <x:v>229</x:v>
      </x:c>
      <x:c r="E56" s="7" t="s">
        <x:v>27</x:v>
      </x:c>
      <x:c r="F56" s="7" t="s">
        <x:v>28</x:v>
      </x:c>
      <x:c r="G56" s="8" t="s">
        <x:v>230</x:v>
      </x:c>
      <x:c r="H56" s="8" t="s">
        <x:v>231</x:v>
      </x:c>
      <x:c r="I56" s="8" t="s">
        <x:v>232</x:v>
      </x:c>
      <x:c r="J56" s="8" t="s">
        <x:v>233</x:v>
      </x:c>
      <x:c r="K56" s="16" t="str">
        <x:v>每种非法升级包均失败；active镜像/slot/计数器不被部分改写，重启后仍从原有效版本安全启动</x:v>
      </x:c>
      <x:c r="L56" s="5" t="s">
        <x:v>32</x:v>
      </x:c>
      <x:c r="M56" s="9" t="s">
        <x:v>33</x:v>
      </x:c>
      <x:c r="N56" s="14"/>
      <x:c r="O56" s="14"/>
      <x:c r="P56" s="14"/>
      <x:c r="Q56" s="14"/>
      <x:c r="R56" s="14"/>
      <x:c r="S56" s="14"/>
      <x:c r="T56" s="14"/>
      <x:c r="U56" s="14"/>
      <x:c r="V56" s="14"/>
      <x:c r="W56" s="14"/>
    </x:row>
    <x:row r="57">
      <x:c r="A57" s="5" t="s">
        <x:v>23</x:v>
      </x:c>
      <x:c r="B57" s="5" t="s">
        <x:v>24</x:v>
      </x:c>
      <x:c r="C57" s="8" t="s">
        <x:v>234</x:v>
      </x:c>
      <x:c r="D57" s="5" t="s">
        <x:v>235</x:v>
      </x:c>
      <x:c r="E57" s="7" t="s">
        <x:v>27</x:v>
      </x:c>
      <x:c r="F57" s="7" t="s">
        <x:v>28</x:v>
      </x:c>
      <x:c r="G57" s="8" t="s">
        <x:v>236</x:v>
      </x:c>
      <x:c r="H57" s="8" t="s">
        <x:v>237</x:v>
      </x:c>
      <x:c r="I57" s="8" t="s">
        <x:v>238</x:v>
      </x:c>
      <x:c r="J57" s="8" t="s">
        <x:v>239</x:v>
      </x:c>
      <x:c r="K57" s="16" t="str">
        <x:v>OOB仅写固定FMC分区；读回一致；复位后BootROM+eHSM重新verify/decrypt PASS才启动新FMC</x:v>
      </x:c>
      <x:c r="L57" s="5" t="s">
        <x:v>32</x:v>
      </x:c>
      <x:c r="M57" s="9" t="s">
        <x:v>33</x:v>
      </x:c>
      <x:c r="N57" s="14"/>
      <x:c r="O57" s="14"/>
      <x:c r="P57" s="14"/>
      <x:c r="Q57" s="14"/>
      <x:c r="R57" s="14"/>
      <x:c r="S57" s="14"/>
      <x:c r="T57" s="14"/>
      <x:c r="U57" s="14"/>
      <x:c r="V57" s="14"/>
      <x:c r="W57" s="14"/>
    </x:row>
    <x:row r="58">
      <x:c r="A58" s="5" t="s">
        <x:v>23</x:v>
      </x:c>
      <x:c r="B58" s="5" t="s">
        <x:v>24</x:v>
      </x:c>
      <x:c r="C58" s="8" t="s">
        <x:v>240</x:v>
      </x:c>
      <x:c r="D58" s="5" t="s">
        <x:v>241</x:v>
      </x:c>
      <x:c r="E58" s="7" t="s">
        <x:v>27</x:v>
      </x:c>
      <x:c r="F58" s="7" t="s">
        <x:v>28</x:v>
      </x:c>
      <x:c r="G58" s="8" t="s">
        <x:v>242</x:v>
      </x:c>
      <x:c r="H58" s="8" t="s">
        <x:v>243</x:v>
      </x:c>
      <x:c r="I58" s="8" t="s">
        <x:v>244</x:v>
      </x:c>
      <x:c r="J58" s="8" t="s">
        <x:v>245</x:v>
      </x:c>
      <x:c r="K58" s="16" t="str">
        <x:v>未授权命令、非法包、越权地址或刷后验证失败均不得执行FMC；OOB不访问SoC根密钥、不替代eHSM裁决</x:v>
      </x:c>
      <x:c r="L58" s="5" t="s">
        <x:v>32</x:v>
      </x:c>
      <x:c r="M58" s="9" t="s">
        <x:v>33</x:v>
      </x:c>
      <x:c r="N58" s="14"/>
      <x:c r="O58" s="14"/>
      <x:c r="P58" s="14"/>
      <x:c r="Q58" s="14"/>
      <x:c r="R58" s="14"/>
      <x:c r="S58" s="14"/>
      <x:c r="T58" s="14"/>
      <x:c r="U58" s="14"/>
      <x:c r="V58" s="14"/>
      <x:c r="W58" s="14"/>
    </x:row>
    <x:row r="59">
      <x:c r="A59" s="5" t="s">
        <x:v>23</x:v>
      </x:c>
      <x:c r="B59" s="5" t="s">
        <x:v>24</x:v>
      </x:c>
      <x:c r="C59" s="8" t="s">
        <x:v>246</x:v>
      </x:c>
      <x:c r="D59" s="5" t="s">
        <x:v>247</x:v>
      </x:c>
      <x:c r="E59" s="7" t="s">
        <x:v>27</x:v>
      </x:c>
      <x:c r="F59" s="7" t="s">
        <x:v>28</x:v>
      </x:c>
      <x:c r="G59" s="8" t="s">
        <x:v>248</x:v>
      </x:c>
      <x:c r="H59" s="8" t="s">
        <x:v>249</x:v>
      </x:c>
      <x:c r="I59" s="8" t="s">
        <x:v>250</x:v>
      </x:c>
      <x:c r="J59" s="8" t="s">
        <x:v>251</x:v>
      </x:c>
      <x:c r="K59" s="16" t="str">
        <x:v>active slot元数据、证书链长度/Hash/DER可读且一致；证书链可由受信任根验证并匹配设备证明公钥</x:v>
      </x:c>
      <x:c r="L59" s="5" t="s">
        <x:v>32</x:v>
      </x:c>
      <x:c r="M59" s="9" t="s">
        <x:v>33</x:v>
      </x:c>
      <x:c r="N59" s="14"/>
      <x:c r="O59" s="14"/>
      <x:c r="P59" s="14"/>
      <x:c r="Q59" s="14"/>
      <x:c r="R59" s="14"/>
      <x:c r="S59" s="14"/>
      <x:c r="T59" s="14"/>
      <x:c r="U59" s="14"/>
      <x:c r="V59" s="14"/>
      <x:c r="W59" s="14"/>
    </x:row>
    <x:row r="60">
      <x:c r="A60" s="5" t="s">
        <x:v>23</x:v>
      </x:c>
      <x:c r="B60" s="5" t="s">
        <x:v>24</x:v>
      </x:c>
      <x:c r="C60" s="8" t="s">
        <x:v>252</x:v>
      </x:c>
      <x:c r="D60" s="5" t="s">
        <x:v>253</x:v>
      </x:c>
      <x:c r="E60" s="7" t="s">
        <x:v>27</x:v>
      </x:c>
      <x:c r="F60" s="7" t="s">
        <x:v>28</x:v>
      </x:c>
      <x:c r="G60" s="8" t="s">
        <x:v>254</x:v>
      </x:c>
      <x:c r="H60" s="8" t="s">
        <x:v>255</x:v>
      </x:c>
      <x:c r="I60" s="8" t="s">
        <x:v>256</x:v>
      </x:c>
      <x:c r="J60" s="8" t="s">
        <x:v>257</x:v>
      </x:c>
      <x:c r="K60" s="16" t="str">
        <x:v>仅完整、合法且版本策略允许的staging证书链可切为active；篡改、回滚或中断更新不影响原active链</x:v>
      </x:c>
      <x:c r="L60" s="5" t="s">
        <x:v>32</x:v>
      </x:c>
      <x:c r="M60" s="9" t="s">
        <x:v>33</x:v>
      </x:c>
      <x:c r="N60" s="14"/>
      <x:c r="O60" s="14"/>
      <x:c r="P60" s="14"/>
      <x:c r="Q60" s="14"/>
      <x:c r="R60" s="14"/>
      <x:c r="S60" s="14"/>
      <x:c r="T60" s="14"/>
      <x:c r="U60" s="14"/>
      <x:c r="V60" s="14"/>
      <x:c r="W60" s="14"/>
    </x:row>
    <x:row r="61">
      <x:c r="A61" s="5" t="s">
        <x:v>23</x:v>
      </x:c>
      <x:c r="B61" s="5" t="s">
        <x:v>24</x:v>
      </x:c>
      <x:c r="C61" s="8" t="s">
        <x:v>258</x:v>
      </x:c>
      <x:c r="D61" s="5" t="s">
        <x:v>259</x:v>
      </x:c>
      <x:c r="E61" s="7" t="s">
        <x:v>27</x:v>
      </x:c>
      <x:c r="F61" s="7" t="s">
        <x:v>28</x:v>
      </x:c>
      <x:c r="G61" s="8" t="s">
        <x:v>260</x:v>
      </x:c>
      <x:c r="H61" s="8" t="s">
        <x:v>261</x:v>
      </x:c>
      <x:c r="I61" s="8" t="s">
        <x:v>262</x:v>
      </x:c>
      <x:c r="J61" s="8" t="s">
        <x:v>263</x:v>
      </x:c>
      <x:c r="K61" s="16" t="str">
        <x:v>所有批准灌装步骤成功，readback/status/attested validation一致；生成可追踪审计记录且无明文密钥落盘/输出</x:v>
      </x:c>
      <x:c r="L61" s="5" t="s">
        <x:v>32</x:v>
      </x:c>
      <x:c r="M61" s="9" t="s">
        <x:v>33</x:v>
      </x:c>
      <x:c r="N61" s="14"/>
      <x:c r="O61" s="14"/>
      <x:c r="P61" s="14"/>
      <x:c r="Q61" s="14"/>
      <x:c r="R61" s="14"/>
      <x:c r="S61" s="14"/>
      <x:c r="T61" s="14"/>
      <x:c r="U61" s="14"/>
      <x:c r="V61" s="14"/>
      <x:c r="W61" s="14"/>
    </x:row>
    <x:row r="62">
      <x:c r="A62" s="5" t="s">
        <x:v>23</x:v>
      </x:c>
      <x:c r="B62" s="5" t="s">
        <x:v>24</x:v>
      </x:c>
      <x:c r="C62" s="8" t="s">
        <x:v>264</x:v>
      </x:c>
      <x:c r="D62" s="5" t="s">
        <x:v>265</x:v>
      </x:c>
      <x:c r="E62" s="7" t="s">
        <x:v>27</x:v>
      </x:c>
      <x:c r="F62" s="7" t="s">
        <x:v>28</x:v>
      </x:c>
      <x:c r="G62" s="8" t="s">
        <x:v>266</x:v>
      </x:c>
      <x:c r="H62" s="8" t="s">
        <x:v>267</x:v>
      </x:c>
      <x:c r="I62" s="8" t="s">
        <x:v>268</x:v>
      </x:c>
      <x:c r="J62" s="8" t="s">
        <x:v>269</x:v>
      </x:c>
      <x:c r="K62" s="16" t="str">
        <x:v>measurement table字段、条目数量、hash/counter/key_id/verify/release状态与实际启动链一致，失败镜像不标记为RELEASED</x:v>
      </x:c>
      <x:c r="L62" s="5" t="s">
        <x:v>32</x:v>
      </x:c>
      <x:c r="M62" s="9" t="s">
        <x:v>33</x:v>
      </x:c>
      <x:c r="N62" s="14"/>
      <x:c r="O62" s="14"/>
      <x:c r="P62" s="14"/>
      <x:c r="Q62" s="14"/>
      <x:c r="R62" s="14"/>
      <x:c r="S62" s="14"/>
      <x:c r="T62" s="14"/>
      <x:c r="U62" s="14"/>
      <x:c r="V62" s="14"/>
      <x:c r="W62" s="14"/>
    </x:row>
    <x:row r="63">
      <x:c r="A63" s="5" t="s">
        <x:v>23</x:v>
      </x:c>
      <x:c r="B63" s="5" t="s">
        <x:v>24</x:v>
      </x:c>
      <x:c r="C63" s="8" t="s">
        <x:v>270</x:v>
      </x:c>
      <x:c r="D63" s="5" t="s">
        <x:v>271</x:v>
      </x:c>
      <x:c r="E63" s="7" t="s">
        <x:v>27</x:v>
      </x:c>
      <x:c r="F63" s="7" t="s">
        <x:v>28</x:v>
      </x:c>
      <x:c r="G63" s="8" t="s">
        <x:v>272</x:v>
      </x:c>
      <x:c r="H63" s="8" t="s">
        <x:v>273</x:v>
      </x:c>
      <x:c r="I63" s="8" t="s">
        <x:v>274</x:v>
      </x:c>
      <x:c r="J63" s="8" t="s">
        <x:v>275</x:v>
      </x:c>
      <x:c r="K63" s="16" t="str">
        <x:v>签名、nonce、证书链和设备公钥一致；Verifier可验证报告且报告状态来自本次启动/当前设备</x:v>
      </x:c>
      <x:c r="L63" s="5" t="s">
        <x:v>32</x:v>
      </x:c>
      <x:c r="M63" s="9" t="s">
        <x:v>33</x:v>
      </x:c>
      <x:c r="N63" s="14"/>
      <x:c r="O63" s="14"/>
      <x:c r="P63" s="14"/>
      <x:c r="Q63" s="14"/>
      <x:c r="R63" s="14"/>
      <x:c r="S63" s="14"/>
      <x:c r="T63" s="14"/>
      <x:c r="U63" s="14"/>
      <x:c r="V63" s="14"/>
      <x:c r="W63" s="14"/>
    </x:row>
    <x:row r="64">
      <x:c r="A64" s="5" t="s">
        <x:v>23</x:v>
      </x:c>
      <x:c r="B64" s="5" t="s">
        <x:v>24</x:v>
      </x:c>
      <x:c r="C64" s="8" t="s">
        <x:v>276</x:v>
      </x:c>
      <x:c r="D64" s="5" t="s">
        <x:v>277</x:v>
      </x:c>
      <x:c r="E64" s="7" t="s">
        <x:v>27</x:v>
      </x:c>
      <x:c r="F64" s="7" t="s">
        <x:v>28</x:v>
      </x:c>
      <x:c r="G64" s="8" t="s">
        <x:v>278</x:v>
      </x:c>
      <x:c r="H64" s="8" t="s">
        <x:v>279</x:v>
      </x:c>
      <x:c r="I64" s="8" t="s">
        <x:v>280</x:v>
      </x:c>
      <x:c r="J64" s="8" t="s">
        <x:v>281</x:v>
      </x:c>
      <x:c r="K64" s="16" t="str">
        <x:v>修改任一受签名字段或重放旧nonce报告均被Verifier拒绝；设备侧不复用旧challenge响应</x:v>
      </x:c>
      <x:c r="L64" s="5" t="s">
        <x:v>32</x:v>
      </x:c>
      <x:c r="M64" s="9" t="s">
        <x:v>33</x:v>
      </x:c>
      <x:c r="N64" s="14"/>
      <x:c r="O64" s="14"/>
      <x:c r="P64" s="14"/>
      <x:c r="Q64" s="14"/>
      <x:c r="R64" s="14"/>
      <x:c r="S64" s="14"/>
      <x:c r="T64" s="14"/>
      <x:c r="U64" s="14"/>
      <x:c r="V64" s="14"/>
      <x:c r="W64" s="14"/>
    </x:row>
    <x:row r="65">
      <x:c r="A65" s="5" t="s">
        <x:v>23</x:v>
      </x:c>
      <x:c r="B65" s="5" t="s">
        <x:v>24</x:v>
      </x:c>
      <x:c r="C65" s="8" t="s">
        <x:v>282</x:v>
      </x:c>
      <x:c r="D65" s="5" t="s">
        <x:v>283</x:v>
      </x:c>
      <x:c r="E65" s="7" t="s">
        <x:v>27</x:v>
      </x:c>
      <x:c r="F65" s="7" t="s">
        <x:v>28</x:v>
      </x:c>
      <x:c r="G65" s="8" t="s">
        <x:v>284</x:v>
      </x:c>
      <x:c r="H65" s="8" t="s">
        <x:v>285</x:v>
      </x:c>
      <x:c r="I65" s="8" t="s">
        <x:v>286</x:v>
      </x:c>
      <x:c r="J65" s="8" t="s">
        <x:v>287</x:v>
      </x:c>
      <x:c r="K65" s="16" t="str">
        <x:v>只协商双方共同且项目允许的版本/能力/算法；不支持组合返回规范错误且不进入已认证状态</x:v>
      </x:c>
      <x:c r="L65" s="5" t="s">
        <x:v>32</x:v>
      </x:c>
      <x:c r="M65" s="9" t="s">
        <x:v>33</x:v>
      </x:c>
      <x:c r="N65" s="14"/>
      <x:c r="O65" s="14"/>
      <x:c r="P65" s="14"/>
      <x:c r="Q65" s="14"/>
      <x:c r="R65" s="14"/>
      <x:c r="S65" s="14"/>
      <x:c r="T65" s="14"/>
      <x:c r="U65" s="14"/>
      <x:c r="V65" s="14"/>
      <x:c r="W65" s="14"/>
    </x:row>
    <x:row r="66">
      <x:c r="A66" s="5" t="s">
        <x:v>23</x:v>
      </x:c>
      <x:c r="B66" s="5" t="s">
        <x:v>24</x:v>
      </x:c>
      <x:c r="C66" s="8" t="s">
        <x:v>288</x:v>
      </x:c>
      <x:c r="D66" s="5" t="s">
        <x:v>289</x:v>
      </x:c>
      <x:c r="E66" s="7" t="s">
        <x:v>27</x:v>
      </x:c>
      <x:c r="F66" s="7" t="s">
        <x:v>28</x:v>
      </x:c>
      <x:c r="G66" s="8" t="s">
        <x:v>290</x:v>
      </x:c>
      <x:c r="H66" s="8" t="s">
        <x:v>291</x:v>
      </x:c>
      <x:c r="I66" s="8" t="s">
        <x:v>292</x:v>
      </x:c>
      <x:c r="J66" s="8" t="s">
        <x:v>293</x:v>
      </x:c>
      <x:c r="K66" s="16" t="str">
        <x:v>digest与active证书链一致；分片offset/length完整无重叠/越界，重组后证书链Hash和DER校验通过</x:v>
      </x:c>
      <x:c r="L66" s="5" t="s">
        <x:v>32</x:v>
      </x:c>
      <x:c r="M66" s="9" t="s">
        <x:v>33</x:v>
      </x:c>
      <x:c r="N66" s="14"/>
      <x:c r="O66" s="14"/>
      <x:c r="P66" s="14"/>
      <x:c r="Q66" s="14"/>
      <x:c r="R66" s="14"/>
      <x:c r="S66" s="14"/>
      <x:c r="T66" s="14"/>
      <x:c r="U66" s="14"/>
      <x:c r="V66" s="14"/>
      <x:c r="W66" s="14"/>
    </x:row>
    <x:row r="67">
      <x:c r="A67" s="5" t="s">
        <x:v>23</x:v>
      </x:c>
      <x:c r="B67" s="5" t="s">
        <x:v>24</x:v>
      </x:c>
      <x:c r="C67" s="8" t="s">
        <x:v>294</x:v>
      </x:c>
      <x:c r="D67" s="5" t="s">
        <x:v>295</x:v>
      </x:c>
      <x:c r="E67" s="7" t="s">
        <x:v>27</x:v>
      </x:c>
      <x:c r="F67" s="7" t="s">
        <x:v>28</x:v>
      </x:c>
      <x:c r="G67" s="8" t="s">
        <x:v>296</x:v>
      </x:c>
      <x:c r="H67" s="8" t="s">
        <x:v>297</x:v>
      </x:c>
      <x:c r="I67" s="8" t="s">
        <x:v>298</x:v>
      </x:c>
      <x:c r="J67" s="8" t="s">
        <x:v>299</x:v>
      </x:c>
      <x:c r="K67" s="16" t="str">
        <x:v>challenge nonce绑定、签名和measurement block均可验证；未协商/非法请求不得返回可被接受的证明</x:v>
      </x:c>
      <x:c r="L67" s="5" t="s">
        <x:v>32</x:v>
      </x:c>
      <x:c r="M67" s="9" t="s">
        <x:v>33</x:v>
      </x:c>
      <x:c r="N67" s="14"/>
      <x:c r="O67" s="14"/>
      <x:c r="P67" s="14"/>
      <x:c r="Q67" s="14"/>
      <x:c r="R67" s="14"/>
      <x:c r="S67" s="14"/>
      <x:c r="T67" s="14"/>
      <x:c r="U67" s="14"/>
      <x:c r="V67" s="14"/>
      <x:c r="W67" s="14"/>
    </x:row>
    <x:row r="68">
      <x:c r="A68" s="5" t="s">
        <x:v>23</x:v>
      </x:c>
      <x:c r="B68" s="5" t="s">
        <x:v>24</x:v>
      </x:c>
      <x:c r="C68" s="8" t="s">
        <x:v>300</x:v>
      </x:c>
      <x:c r="D68" s="5" t="s">
        <x:v>301</x:v>
      </x:c>
      <x:c r="E68" s="7" t="s">
        <x:v>27</x:v>
      </x:c>
      <x:c r="F68" s="7" t="s">
        <x:v>28</x:v>
      </x:c>
      <x:c r="G68" s="8" t="s">
        <x:v>302</x:v>
      </x:c>
      <x:c r="H68" s="8" t="s">
        <x:v>303</x:v>
      </x:c>
      <x:c r="I68" s="8" t="s">
        <x:v>304</x:v>
      </x:c>
      <x:c r="J68" s="8" t="s">
        <x:v>305</x:v>
      </x:c>
      <x:c r="K68" s="16" t="str">
        <x:v>报告中的lifecycle/debug/secure boot/rollback/OOB状态与寄存器、启动Evidence和实际操作一致，复位/状态变化后及时更新</x:v>
      </x:c>
      <x:c r="L68" s="5" t="s">
        <x:v>32</x:v>
      </x:c>
      <x:c r="M68" s="9" t="s">
        <x:v>33</x:v>
      </x:c>
      <x:c r="N68" s="14"/>
      <x:c r="O68" s="14"/>
      <x:c r="P68" s="14"/>
      <x:c r="Q68" s="14"/>
      <x:c r="R68" s="14"/>
      <x:c r="S68" s="14"/>
      <x:c r="T68" s="14"/>
      <x:c r="U68" s="14"/>
      <x:c r="V68" s="14"/>
      <x:c r="W68" s="14"/>
    </x:row>
    <x:row r="69">
      <x:c r="A69" s="5" t="s">
        <x:v>23</x:v>
      </x:c>
      <x:c r="B69" s="5" t="s">
        <x:v>24</x:v>
      </x:c>
      <x:c r="C69" s="8" t="s">
        <x:v>306</x:v>
      </x:c>
      <x:c r="D69" s="5" t="s">
        <x:v>307</x:v>
      </x:c>
      <x:c r="E69" s="7" t="s">
        <x:v>27</x:v>
      </x:c>
      <x:c r="F69" s="7" t="s">
        <x:v>28</x:v>
      </x:c>
      <x:c r="G69" s="8" t="s">
        <x:v>308</x:v>
      </x:c>
      <x:c r="H69" s="8" t="s">
        <x:v>309</x:v>
      </x:c>
      <x:c r="I69" s="8" t="s">
        <x:v>310</x:v>
      </x:c>
      <x:c r="J69" s="8" t="s">
        <x:v>311</x:v>
      </x:c>
      <x:c r="K69" s="16" t="str">
        <x:v>USER未授权时所有JTAG/trace/debug访问失败，debug enable保持关闭；复位后仍关闭且无旁路端口可用</x:v>
      </x:c>
      <x:c r="L69" s="5" t="s">
        <x:v>32</x:v>
      </x:c>
      <x:c r="M69" s="9" t="s">
        <x:v>33</x:v>
      </x:c>
      <x:c r="N69" s="14"/>
      <x:c r="O69" s="14"/>
      <x:c r="P69" s="14"/>
      <x:c r="Q69" s="14"/>
      <x:c r="R69" s="14"/>
      <x:c r="S69" s="14"/>
      <x:c r="T69" s="14"/>
      <x:c r="U69" s="14"/>
      <x:c r="V69" s="14"/>
      <x:c r="W69" s="14"/>
    </x:row>
    <x:row r="70">
      <x:c r="A70" s="5" t="s">
        <x:v>23</x:v>
      </x:c>
      <x:c r="B70" s="5" t="s">
        <x:v>24</x:v>
      </x:c>
      <x:c r="C70" s="8" t="s">
        <x:v>312</x:v>
      </x:c>
      <x:c r="D70" s="5" t="s">
        <x:v>313</x:v>
      </x:c>
      <x:c r="E70" s="7" t="s">
        <x:v>27</x:v>
      </x:c>
      <x:c r="F70" s="7" t="s">
        <x:v>28</x:v>
      </x:c>
      <x:c r="G70" s="8" t="s">
        <x:v>314</x:v>
      </x:c>
      <x:c r="H70" s="8" t="s">
        <x:v>315</x:v>
      </x:c>
      <x:c r="I70" s="8" t="s">
        <x:v>316</x:v>
      </x:c>
      <x:c r="J70" s="8" t="s">
        <x:v>317</x:v>
      </x:c>
      <x:c r="K70" s="16" t="str">
        <x:v>合法token仅打开指定scope并绑定UID/challenge/expiry；未授权scope保持关闭，状态/审计含授权ID与期限</x:v>
      </x:c>
      <x:c r="L70" s="5" t="s">
        <x:v>32</x:v>
      </x:c>
      <x:c r="M70" s="9" t="s">
        <x:v>33</x:v>
      </x:c>
      <x:c r="N70" s="14"/>
      <x:c r="O70" s="14"/>
      <x:c r="P70" s="14"/>
      <x:c r="Q70" s="14"/>
      <x:c r="R70" s="14"/>
      <x:c r="S70" s="14"/>
      <x:c r="T70" s="14"/>
      <x:c r="U70" s="14"/>
      <x:c r="V70" s="14"/>
      <x:c r="W70" s="14"/>
    </x:row>
    <x:row r="71">
      <x:c r="A71" s="5" t="s">
        <x:v>23</x:v>
      </x:c>
      <x:c r="B71" s="5" t="s">
        <x:v>24</x:v>
      </x:c>
      <x:c r="C71" s="8" t="s">
        <x:v>318</x:v>
      </x:c>
      <x:c r="D71" s="5" t="s">
        <x:v>319</x:v>
      </x:c>
      <x:c r="E71" s="7" t="s">
        <x:v>27</x:v>
      </x:c>
      <x:c r="F71" s="7" t="s">
        <x:v>28</x:v>
      </x:c>
      <x:c r="G71" s="8" t="s">
        <x:v>320</x:v>
      </x:c>
      <x:c r="H71" s="8" t="s">
        <x:v>321</x:v>
      </x:c>
      <x:c r="I71" s="8" t="s">
        <x:v>322</x:v>
      </x:c>
      <x:c r="J71" s="8" t="s">
        <x:v>323</x:v>
      </x:c>
      <x:c r="K71" s="16" t="str">
        <x:v>每种非法token均失败且任何debug端口不打开；失败状态不可被重放或后续请求继承</x:v>
      </x:c>
      <x:c r="L71" s="5" t="s">
        <x:v>32</x:v>
      </x:c>
      <x:c r="M71" s="9" t="s">
        <x:v>33</x:v>
      </x:c>
      <x:c r="N71" s="14"/>
      <x:c r="O71" s="14"/>
      <x:c r="P71" s="14"/>
      <x:c r="Q71" s="14"/>
      <x:c r="R71" s="14"/>
      <x:c r="S71" s="14"/>
      <x:c r="T71" s="14"/>
      <x:c r="U71" s="14"/>
      <x:c r="V71" s="14"/>
      <x:c r="W71" s="14"/>
    </x:row>
    <x:row r="72">
      <x:c r="A72" s="5" t="s">
        <x:v>23</x:v>
      </x:c>
      <x:c r="B72" s="5" t="s">
        <x:v>24</x:v>
      </x:c>
      <x:c r="C72" s="8" t="s">
        <x:v>324</x:v>
      </x:c>
      <x:c r="D72" s="5" t="s">
        <x:v>325</x:v>
      </x:c>
      <x:c r="E72" s="7" t="s">
        <x:v>27</x:v>
      </x:c>
      <x:c r="F72" s="7" t="s">
        <x:v>28</x:v>
      </x:c>
      <x:c r="G72" s="8" t="s">
        <x:v>326</x:v>
      </x:c>
      <x:c r="H72" s="8" t="s">
        <x:v>327</x:v>
      </x:c>
      <x:c r="I72" s="8" t="s">
        <x:v>328</x:v>
      </x:c>
      <x:c r="J72" s="8" t="s">
        <x:v>329</x:v>
      </x:c>
      <x:c r="K72" s="16" t="str">
        <x:v>close、到期、复位、生命周期切换或安全错误任一发生即关闭debug；状态/审计更新且复位后不自动恢复</x:v>
      </x:c>
      <x:c r="L72" s="5" t="s">
        <x:v>32</x:v>
      </x:c>
      <x:c r="M72" s="9" t="s">
        <x:v>33</x:v>
      </x:c>
      <x:c r="N72" s="14"/>
      <x:c r="O72" s="14"/>
      <x:c r="P72" s="14"/>
      <x:c r="Q72" s="14"/>
      <x:c r="R72" s="14"/>
      <x:c r="S72" s="14"/>
      <x:c r="T72" s="14"/>
      <x:c r="U72" s="14"/>
      <x:c r="V72" s="14"/>
      <x:c r="W72" s="14"/>
    </x:row>
    <x:row r="73">
      <x:c r="A73" s="5" t="s">
        <x:v>23</x:v>
      </x:c>
      <x:c r="B73" s="5" t="s">
        <x:v>24</x:v>
      </x:c>
      <x:c r="C73" s="8" t="s">
        <x:v>330</x:v>
      </x:c>
      <x:c r="D73" s="5" t="s">
        <x:v>331</x:v>
      </x:c>
      <x:c r="E73" s="7" t="s">
        <x:v>27</x:v>
      </x:c>
      <x:c r="F73" s="7" t="s">
        <x:v>28</x:v>
      </x:c>
      <x:c r="G73" s="8" t="s">
        <x:v>332</x:v>
      </x:c>
      <x:c r="H73" s="8" t="s">
        <x:v>333</x:v>
      </x:c>
      <x:c r="I73" s="8" t="s">
        <x:v>334</x:v>
      </x:c>
      <x:c r="J73" s="8" t="s">
        <x:v>335</x:v>
      </x:c>
      <x:c r="K73" s="16" t="str">
        <x:v>仅合法、未过期、设备/范围匹配的RMA授权进入受控维修状态；非法请求失败且生命周期/审计不可伪造或回退</x:v>
      </x:c>
      <x:c r="L73" s="5" t="s">
        <x:v>32</x:v>
      </x:c>
      <x:c r="M73" s="9" t="s">
        <x:v>33</x:v>
      </x:c>
      <x:c r="N73" s="14"/>
      <x:c r="O73" s="14"/>
      <x:c r="P73" s="14"/>
      <x:c r="Q73" s="14"/>
      <x:c r="R73" s="14"/>
      <x:c r="S73" s="14"/>
      <x:c r="T73" s="14"/>
      <x:c r="U73" s="14"/>
      <x:c r="V73" s="14"/>
      <x:c r="W73" s="14"/>
    </x:row>
    <x:row r="74">
      <x:c r="A74" s="5" t="s">
        <x:v>23</x:v>
      </x:c>
      <x:c r="B74" s="5" t="s">
        <x:v>24</x:v>
      </x:c>
      <x:c r="C74" s="8" t="s">
        <x:v>336</x:v>
      </x:c>
      <x:c r="D74" s="5" t="s">
        <x:v>337</x:v>
      </x:c>
      <x:c r="E74" s="7" t="s">
        <x:v>27</x:v>
      </x:c>
      <x:c r="F74" s="7" t="s">
        <x:v>28</x:v>
      </x:c>
      <x:c r="G74" s="8" t="s">
        <x:v>338</x:v>
      </x:c>
      <x:c r="H74" s="8" t="s">
        <x:v>339</x:v>
      </x:c>
      <x:c r="I74" s="8" t="s">
        <x:v>340</x:v>
      </x:c>
      <x:c r="J74" s="8" t="s">
        <x:v>341</x:v>
      </x:c>
      <x:c r="K74" s="16" t="str">
        <x:v>普通白名单访问按职责可用；release/debug/lifecycle/key/counter等高危控制面均拒绝非授权实体，访问日志可追踪</x:v>
      </x:c>
      <x:c r="L74" s="5" t="s">
        <x:v>32</x:v>
      </x:c>
      <x:c r="M74" s="9" t="s">
        <x:v>33</x:v>
      </x:c>
      <x:c r="N74" s="14"/>
      <x:c r="O74" s="14"/>
      <x:c r="P74" s="14"/>
      <x:c r="Q74" s="14"/>
      <x:c r="R74" s="14"/>
      <x:c r="S74" s="14"/>
      <x:c r="T74" s="14"/>
      <x:c r="U74" s="14"/>
      <x:c r="V74" s="14"/>
      <x:c r="W74" s="14"/>
    </x:row>
    <x:row r="75">
      <x:c r="A75" s="5" t="s">
        <x:v>23</x:v>
      </x:c>
      <x:c r="B75" s="5" t="s">
        <x:v>24</x:v>
      </x:c>
      <x:c r="C75" s="8" t="s">
        <x:v>342</x:v>
      </x:c>
      <x:c r="D75" s="5" t="s">
        <x:v>343</x:v>
      </x:c>
      <x:c r="E75" s="7" t="s">
        <x:v>27</x:v>
      </x:c>
      <x:c r="F75" s="7" t="s">
        <x:v>28</x:v>
      </x:c>
      <x:c r="G75" s="8" t="s">
        <x:v>344</x:v>
      </x:c>
      <x:c r="H75" s="8" t="s">
        <x:v>345</x:v>
      </x:c>
      <x:c r="I75" s="8" t="s">
        <x:v>346</x:v>
      </x:c>
      <x:c r="J75" s="8" t="s">
        <x:v>347</x:v>
      </x:c>
      <x:c r="K75" s="16" t="str">
        <x:v>各批准RSA/ECDSA/SM2向量结果与参考实现一致；错误签名/key/曲线/长度失败；报告签名可由设备证书公钥验证</x:v>
      </x:c>
      <x:c r="L75" s="5" t="s">
        <x:v>32</x:v>
      </x:c>
      <x:c r="M75" s="9" t="s">
        <x:v>33</x:v>
      </x:c>
      <x:c r="N75" s="14"/>
      <x:c r="O75" s="14"/>
      <x:c r="P75" s="14"/>
      <x:c r="Q75" s="14"/>
      <x:c r="R75" s="14"/>
      <x:c r="S75" s="14"/>
      <x:c r="T75" s="14"/>
      <x:c r="U75" s="14"/>
      <x:c r="V75" s="14"/>
      <x:c r="W75" s="14"/>
    </x:row>
    <x:row r="76">
      <x:c r="A76" s="5" t="s">
        <x:v>23</x:v>
      </x:c>
      <x:c r="B76" s="5" t="s">
        <x:v>24</x:v>
      </x:c>
      <x:c r="C76" s="8" t="s">
        <x:v>348</x:v>
      </x:c>
      <x:c r="D76" s="5" t="s">
        <x:v>349</x:v>
      </x:c>
      <x:c r="E76" s="7" t="s">
        <x:v>27</x:v>
      </x:c>
      <x:c r="F76" s="7" t="s">
        <x:v>28</x:v>
      </x:c>
      <x:c r="G76" s="8" t="s">
        <x:v>350</x:v>
      </x:c>
      <x:c r="H76" s="8" t="s">
        <x:v>351</x:v>
      </x:c>
      <x:c r="I76" s="8" t="s">
        <x:v>352</x:v>
      </x:c>
      <x:c r="J76" s="8" t="s">
        <x:v>353</x:v>
      </x:c>
      <x:c r="K76" s="16" t="str">
        <x:v>WDT、随机时钟和USER日志开关均按批准配置生效；停喂狗可诊断；任何日志不含密钥、明文、token或内部安全材料</x:v>
      </x:c>
      <x:c r="L76" s="5" t="s">
        <x:v>32</x:v>
      </x:c>
      <x:c r="M76" s="9" t="s">
        <x:v>33</x:v>
      </x:c>
      <x:c r="N76" s="14"/>
      <x:c r="O76" s="14"/>
      <x:c r="P76" s="14"/>
      <x:c r="Q76" s="14"/>
      <x:c r="R76" s="14"/>
      <x:c r="S76" s="14"/>
      <x:c r="T76" s="14"/>
      <x:c r="U76" s="14"/>
      <x:c r="V76" s="14"/>
      <x:c r="W76" s="18" t="str">
        <x:v>待确认：WDT超时、随机时钟档位和日志级别的具体参数需绑定RTL/软件版本。</x:v>
      </x:c>
    </x:row>
    <x:row r="77">
      <x:c r="A77" s="21" t="str">
        <x:v>芯片底层软件(不含gpu)</x:v>
      </x:c>
      <x:c r="B77" s="21" t="str">
        <x:v>Security</x:v>
      </x:c>
      <x:c r="C77" s="20" t="str">
        <x:v>eHSM ROM Patch综合：全局/行使能、单行/多行替换、生命周期与禁用路径</x:v>
      </x:c>
      <x:c r="D77" s="20" t="str">
        <x:v>NGU800P-D0-SECURITY-092</x:v>
      </x:c>
      <x:c r="E77" s="20" t="str">
        <x:v>功能正确性</x:v>
      </x:c>
      <x:c r="F77" s="20" t="str">
        <x:v>P0</x:v>
      </x:c>
      <x:c r="G77" s="20" t="str">
        <x:v>SRC-0018 4019 BL与匹配patch配置/探针可用；仅在允许生命周期和测试环境执行OTP配置</x:v>
      </x:c>
      <x:c r="H77" s="20" t="str">
        <x:v>分别配置全局使能/禁用、行使能组合、有效/无效地址和单行/多行patch数据；复位eHSM</x:v>
      </x:c>
      <x:c r="I77" s="20" t="str">
        <x:v>探针返回值/共享内存marker、patch状态和原函数行为</x:v>
      </x:c>
      <x:c r="J77" s="20" t="str">
        <x:v>验证ROM Patch仅在授权配置下命中，禁用或非法配置不生效，且不影响未命中功能</x:v>
      </x:c>
      <x:c r="K77" s="20" t="str">
        <x:v>有效配置仅替换指定指令并得到预期marker；禁用/无效地址/未使能行保持原行为；复位后状态与OTP配置一致</x:v>
      </x:c>
      <x:c r="L77" s="20" t="str">
        <x:v>软件平台部_BSP</x:v>
      </x:c>
      <x:c r="M77" s="20" t="str">
        <x:v>@梅庆枭</x:v>
      </x:c>
      <x:c r="N77" s="20" t="str">
        <x:v>RTL仿真/FPGA/样片（按阶段）</x:v>
      </x:c>
      <x:c r="O77" s="20"/>
      <x:c r="P77" s="20"/>
      <x:c r="Q77" s="20" t="str">
        <x:v>裸驱/Vendor 4019 BL测试环境</x:v>
      </x:c>
      <x:c r="R77" s="20" t="str">
        <x:v>未开始</x:v>
      </x:c>
      <x:c r="S77" s="20" t="str">
        <x:v>可复用Vendor自动化</x:v>
      </x:c>
      <x:c r="T77" s="20"/>
      <x:c r="U77" s="20"/>
      <x:c r="V77" s="20"/>
      <x:c r="W77" s="20" t="str">
        <x:v>依据：SRC-0011、SRC-0018 test_rompatch.py与bl_patch_test.c；产品生命周期和OTP配置须按软件方案约束。</x:v>
      </x:c>
    </x:row>
    <x:row r="78" ht="42" customHeight="1">
      <x:c r="A78" s="24" t="str">
        <x:v>芯片底层软件(不含gpu)</x:v>
      </x:c>
      <x:c r="B78" s="24" t="str">
        <x:v>Security</x:v>
      </x:c>
      <x:c r="C78" s="24" t="str">
        <x:v>eHSM自检结果位图协议一致性：BL/Host对SHA256与TRNG位定义（待裁决）</x:v>
      </x:c>
      <x:c r="D78" s="24" t="str">
        <x:v>NGU800P-D0-SECURITY-093</x:v>
      </x:c>
      <x:c r="E78" s="24" t="str">
        <x:v>协议一致性</x:v>
      </x:c>
      <x:c r="F78" s="24" t="str">
        <x:v>P0</x:v>
      </x:c>
      <x:c r="G78" s="24" t="str">
        <x:v>取得Vendor正式协议定义或项目负责人裁决</x:v>
      </x:c>
      <x:c r="H78" s="24" t="str">
        <x:v>同一自检结果分别由BL与Host解码</x:v>
      </x:c>
      <x:c r="I78" s="24" t="str">
        <x:v>两侧算法位语义和整体PASS/FAIL一致</x:v>
      </x:c>
      <x:c r="J78" s="24" t="str">
        <x:v>防止Host错误解释TRNG/SHA256健康状态</x:v>
      </x:c>
      <x:c r="K78" s="24" t="str">
        <x:v>裁决后的bit定义在BL、Host、文档和测试中完全一致；裁决前不得以bit18/bit19判定单项结果</x:v>
      </x:c>
      <x:c r="L78" s="24" t="str">
        <x:v>安全方案/SoC验证/BSP联合</x:v>
      </x:c>
      <x:c r="M78" s="24" t="str">
        <x:v>待指定</x:v>
      </x:c>
      <x:c r="N78" s="24" t="str">
        <x:v>RTL仿真/FPGA/样片（按阶段）</x:v>
      </x:c>
      <x:c r="O78" s="24"/>
      <x:c r="P78" s="24"/>
      <x:c r="Q78" s="24" t="str">
        <x:v>BootROM/FMC/GSP/eHSM测试环境（按用例）</x:v>
      </x:c>
      <x:c r="R78" s="24" t="str">
        <x:v>阻塞/待裁决</x:v>
      </x:c>
      <x:c r="S78" s="24" t="str">
        <x:v>待评估</x:v>
      </x:c>
      <x:c r="T78" s="24"/>
      <x:c r="U78" s="24"/>
      <x:c r="V78" s="24"/>
      <x:c r="W78" s="24" t="str">
        <x:v>CONFLICTING：OPEN-CONFLICT-001；依据SRC-0012/SRC-0014/SRC-0018。</x:v>
      </x:c>
    </x:row>
    <x:row r="79" ht="42" customHeight="1">
      <x:c r="A79" s="23" t="str">
        <x:v>芯片底层软件(不含gpu)</x:v>
      </x:c>
      <x:c r="B79" s="23" t="str">
        <x:v>Security</x:v>
      </x:c>
      <x:c r="C79" s="23" t="str">
        <x:v>BootROM等待eHSM异常：未ready、自检失败、mailbox超时均fail-close</x:v>
      </x:c>
      <x:c r="D79" s="23" t="str">
        <x:v>NGU800P-D0-SECURITY-094</x:v>
      </x:c>
      <x:c r="E79" s="23" t="str">
        <x:v>异常测试</x:v>
      </x:c>
      <x:c r="F79" s="23" t="str">
        <x:v>P0</x:v>
      </x:c>
      <x:c r="G79" s="23" t="str">
        <x:v>可控制eHSM ready/self-test/mailbox响应</x:v>
      </x:c>
      <x:c r="H79" s="23" t="str">
        <x:v>分别保持未ready、注入自检失败、丢弃mailbox响应</x:v>
      </x:c>
      <x:c r="I79" s="23" t="str">
        <x:v>BootROM受控失败状态、错误原因与恢复入口</x:v>
      </x:c>
      <x:c r="J79" s="23" t="str">
        <x:v>验证eHSM不可被绕过</x:v>
      </x:c>
      <x:c r="K79" s="23" t="str">
        <x:v>任何异常都不读取/跳转FMC、不降级到非安全启动；记录明确原因并只允许复位或授权OOB恢复</x:v>
      </x:c>
      <x:c r="L79" s="24" t="str">
        <x:v>安全方案/SoC验证/BSP联合</x:v>
      </x:c>
      <x:c r="M79" s="24" t="str">
        <x:v>待指定</x:v>
      </x:c>
      <x:c r="N79" s="23" t="str">
        <x:v>RTL仿真/FPGA/样片（按阶段）</x:v>
      </x:c>
      <x:c r="O79" s="23"/>
      <x:c r="P79" s="23"/>
      <x:c r="Q79" s="23" t="str">
        <x:v>BootROM/FMC/GSP/eHSM测试环境（按用例）</x:v>
      </x:c>
      <x:c r="R79" s="23" t="str">
        <x:v>未开始</x:v>
      </x:c>
      <x:c r="S79" s="23" t="str">
        <x:v>待评估</x:v>
      </x:c>
      <x:c r="T79" s="23"/>
      <x:c r="U79" s="23"/>
      <x:c r="V79" s="23"/>
      <x:c r="W79" s="23" t="str">
        <x:v>依据：SRC-0016 §2.2。</x:v>
      </x:c>
    </x:row>
    <x:row r="80" ht="42" customHeight="1">
      <x:c r="A80" s="23" t="str">
        <x:v>芯片底层软件(不含gpu)</x:v>
      </x:c>
      <x:c r="B80" s="23" t="str">
        <x:v>Security</x:v>
      </x:c>
      <x:c r="C80" s="23" t="str">
        <x:v>FMC验证GSP、GSP验证Runtime的release链正向/失败综合</x:v>
      </x:c>
      <x:c r="D80" s="23" t="str">
        <x:v>NGU800P-D0-SECURITY-095</x:v>
      </x:c>
      <x:c r="E80" s="23" t="str">
        <x:v>功能正确性</x:v>
      </x:c>
      <x:c r="F80" s="23" t="str">
        <x:v>P0</x:v>
      </x:c>
      <x:c r="G80" s="23" t="str">
        <x:v>FMC/GSP/eHSM接口和各类合法/非法固件包可用</x:v>
      </x:c>
      <x:c r="H80" s="23" t="str">
        <x:v>依次下发合法与篡改的GSP、PM/RAS/Codec/Other Runtime包</x:v>
      </x:c>
      <x:c r="I80" s="23" t="str">
        <x:v>verify/measurement/release状态和Host错误</x:v>
      </x:c>
      <x:c r="J80" s="23" t="str">
        <x:v>验证BootROM之后的全链安全发布</x:v>
      </x:c>
      <x:c r="K80" s="23" t="str">
        <x:v>合法包仅在verify/decrypt/rollback/policy PASS后release；任一失败仅阻断对应固件且不可降级继续执行</x:v>
      </x:c>
      <x:c r="L80" s="24" t="str">
        <x:v>安全方案/SoC验证/BSP联合</x:v>
      </x:c>
      <x:c r="M80" s="24" t="str">
        <x:v>待指定</x:v>
      </x:c>
      <x:c r="N80" s="23" t="str">
        <x:v>RTL仿真/FPGA/样片（按阶段）</x:v>
      </x:c>
      <x:c r="O80" s="23"/>
      <x:c r="P80" s="23"/>
      <x:c r="Q80" s="23" t="str">
        <x:v>BootROM/FMC/GSP/eHSM测试环境（按用例）</x:v>
      </x:c>
      <x:c r="R80" s="23" t="str">
        <x:v>未开始</x:v>
      </x:c>
      <x:c r="S80" s="23" t="str">
        <x:v>待评估</x:v>
      </x:c>
      <x:c r="T80" s="23"/>
      <x:c r="U80" s="23"/>
      <x:c r="V80" s="23"/>
      <x:c r="W80" s="23" t="str">
        <x:v>依据：SRC-0016 §2.1～§2.2。</x:v>
      </x:c>
    </x:row>
    <x:row r="81" ht="42" customHeight="1">
      <x:c r="A81" s="23" t="str">
        <x:v>芯片底层软件(不含gpu)</x:v>
      </x:c>
      <x:c r="B81" s="23" t="str">
        <x:v>Security</x:v>
      </x:c>
      <x:c r="C81" s="23" t="str">
        <x:v>USER密钥轮换鉴权失败与eFuse写窗口关闭</x:v>
      </x:c>
      <x:c r="D81" s="23" t="str">
        <x:v>NGU800P-D0-SECURITY-096</x:v>
      </x:c>
      <x:c r="E81" s="23" t="str">
        <x:v>安全性</x:v>
      </x:c>
      <x:c r="F81" s="23" t="str">
        <x:v>P0</x:v>
      </x:c>
      <x:c r="G81" s="23" t="str">
        <x:v>USER生命周期；可生成合法/非法轮换授权并观察eFuse写使能</x:v>
      </x:c>
      <x:c r="H81" s="23" t="str">
        <x:v>错误签名/UID/scope/expiry授权；操作超时、失败和复位</x:v>
      </x:c>
      <x:c r="I81" s="23" t="str">
        <x:v>授权状态、eFuse写使能、slot/bitmap内容和审计</x:v>
      </x:c>
      <x:c r="J81" s="23" t="str">
        <x:v>验证未授权轮换不能打开写通路</x:v>
      </x:c>
      <x:c r="K81" s="23" t="str">
        <x:v>鉴权失败不打开写权限、不写slot/bitmap；完成、失败、超时或复位后写使能与临时授权均立即关闭</x:v>
      </x:c>
      <x:c r="L81" s="24" t="str">
        <x:v>安全方案/SoC验证/BSP联合</x:v>
      </x:c>
      <x:c r="M81" s="24" t="str">
        <x:v>待指定</x:v>
      </x:c>
      <x:c r="N81" s="23" t="str">
        <x:v>RTL仿真/FPGA/样片（按阶段）</x:v>
      </x:c>
      <x:c r="O81" s="23"/>
      <x:c r="P81" s="23"/>
      <x:c r="Q81" s="23" t="str">
        <x:v>BootROM/FMC/GSP/eHSM测试环境（按用例）</x:v>
      </x:c>
      <x:c r="R81" s="23" t="str">
        <x:v>未开始</x:v>
      </x:c>
      <x:c r="S81" s="23" t="str">
        <x:v>待评估</x:v>
      </x:c>
      <x:c r="T81" s="23"/>
      <x:c r="U81" s="23"/>
      <x:c r="V81" s="23"/>
      <x:c r="W81" s="23" t="str">
        <x:v>依据：SRC-0016 §7.2～§7.3。</x:v>
      </x:c>
    </x:row>
    <x:row r="82" ht="42" customHeight="1">
      <x:c r="A82" s="23" t="str">
        <x:v>芯片底层软件(不含gpu)</x:v>
      </x:c>
      <x:c r="B82" s="23" t="str">
        <x:v>Security</x:v>
      </x:c>
      <x:c r="C82" s="23" t="str">
        <x:v>USER密钥轮换正向：新slot、Active Bitmap、复位后新key生效</x:v>
      </x:c>
      <x:c r="D82" s="23" t="str">
        <x:v>NGU800P-D0-SECURITY-097</x:v>
      </x:c>
      <x:c r="E82" s="23" t="str">
        <x:v>功能正确性</x:v>
      </x:c>
      <x:c r="F82" s="23" t="str">
        <x:v>P0</x:v>
      </x:c>
      <x:c r="G82" s="23" t="str">
        <x:v>old/new key和合法授权已准备；可复位并验证FMC</x:v>
      </x:c>
      <x:c r="H82" s="23" t="str">
        <x:v>轮换FW Verify/FW Encrypt/Debug key中的每一类</x:v>
      </x:c>
      <x:c r="I82" s="23" t="str">
        <x:v>新slot/bitmap、复位后选择结果及FMC验证结果</x:v>
      </x:c>
      <x:c r="J82" s="23" t="str">
        <x:v>验证批准的三类SoC Key轮换闭环</x:v>
      </x:c>
      <x:c r="K82" s="23" t="str">
        <x:v>新slot校验完成后才更新bitmap；复位后新key生效，旧key镜像失败且不得自动回退旧Key Set</x:v>
      </x:c>
      <x:c r="L82" s="24" t="str">
        <x:v>安全方案/SoC验证/BSP联合</x:v>
      </x:c>
      <x:c r="M82" s="24" t="str">
        <x:v>待指定</x:v>
      </x:c>
      <x:c r="N82" s="23" t="str">
        <x:v>RTL仿真/FPGA/样片（按阶段）</x:v>
      </x:c>
      <x:c r="O82" s="23"/>
      <x:c r="P82" s="23"/>
      <x:c r="Q82" s="23" t="str">
        <x:v>BootROM/FMC/GSP/eHSM测试环境（按用例）</x:v>
      </x:c>
      <x:c r="R82" s="23" t="str">
        <x:v>未开始</x:v>
      </x:c>
      <x:c r="S82" s="23" t="str">
        <x:v>待评估</x:v>
      </x:c>
      <x:c r="T82" s="23"/>
      <x:c r="U82" s="23"/>
      <x:c r="V82" s="23"/>
      <x:c r="W82" s="23" t="str">
        <x:v>依据：SRC-0016 §7.1～§7.3。</x:v>
      </x:c>
    </x:row>
    <x:row r="83" ht="42" customHeight="1">
      <x:c r="A83" s="23" t="str">
        <x:v>芯片底层软件(不含gpu)</x:v>
      </x:c>
      <x:c r="B83" s="23" t="str">
        <x:v>Security</x:v>
      </x:c>
      <x:c r="C83" s="23" t="str">
        <x:v>密钥轮换掉电/复位故障注入：slot写入与Active Bitmap更新原子性</x:v>
      </x:c>
      <x:c r="D83" s="23" t="str">
        <x:v>NGU800P-D0-SECURITY-098</x:v>
      </x:c>
      <x:c r="E83" s="23" t="str">
        <x:v>故障注入</x:v>
      </x:c>
      <x:c r="F83" s="23" t="str">
        <x:v>P0</x:v>
      </x:c>
      <x:c r="G83" s="23" t="str">
        <x:v>可在写slot、校验、写bitmap和清授权各阶段注入复位/掉电</x:v>
      </x:c>
      <x:c r="H83" s="23" t="str">
        <x:v>逐阶段中断轮换并重新上电</x:v>
      </x:c>
      <x:c r="I83" s="23" t="str">
        <x:v>ROM解析结果、active slot、eFuse状态和启动结果</x:v>
      </x:c>
      <x:c r="J83" s="23" t="str">
        <x:v>验证单向eFuse轮换在中断下无双active/不可恢复状态</x:v>
      </x:c>
      <x:c r="K83" s="23" t="str">
        <x:v>复位后bitmap必须合法且唯一确定active slot；不完整新slot不得生效；无法安全解析时fail-close且不得回退未授权key</x:v>
      </x:c>
      <x:c r="L83" s="24" t="str">
        <x:v>安全方案/SoC验证/BSP联合</x:v>
      </x:c>
      <x:c r="M83" s="24" t="str">
        <x:v>待指定</x:v>
      </x:c>
      <x:c r="N83" s="23" t="str">
        <x:v>RTL仿真/FPGA/样片（按阶段）</x:v>
      </x:c>
      <x:c r="O83" s="23"/>
      <x:c r="P83" s="23"/>
      <x:c r="Q83" s="23" t="str">
        <x:v>BootROM/FMC/GSP/eHSM测试环境（按用例）</x:v>
      </x:c>
      <x:c r="R83" s="23" t="str">
        <x:v>未开始</x:v>
      </x:c>
      <x:c r="S83" s="23" t="str">
        <x:v>待评估</x:v>
      </x:c>
      <x:c r="T83" s="23"/>
      <x:c r="U83" s="23"/>
      <x:c r="V83" s="23"/>
      <x:c r="W83" s="23" t="str">
        <x:v>依据：SRC-0016 §7；具体故障点需与eFuse/RTL负责人确认。</x:v>
      </x:c>
    </x:row>
    <x:row r="84" ht="42" customHeight="1">
      <x:c r="A84" s="23" t="str">
        <x:v>芯片底层软件(不含gpu)</x:v>
      </x:c>
      <x:c r="B84" s="23" t="str">
        <x:v>Security</x:v>
      </x:c>
      <x:c r="C84" s="23" t="str">
        <x:v>固件更新写Flash掉电/复位原子性与active镜像保护</x:v>
      </x:c>
      <x:c r="D84" s="23" t="str">
        <x:v>NGU800P-D0-SECURITY-099</x:v>
      </x:c>
      <x:c r="E84" s="23" t="str">
        <x:v>故障注入</x:v>
      </x:c>
      <x:c r="F84" s="23" t="str">
        <x:v>P0</x:v>
      </x:c>
      <x:c r="G84" s="23" t="str">
        <x:v>active/staging分区和可控SPI/Flash写流程可用</x:v>
      </x:c>
      <x:c r="H84" s="23" t="str">
        <x:v>在擦除、写入、读回校验、切换各阶段注入掉电/复位</x:v>
      </x:c>
      <x:c r="I84" s="23" t="str">
        <x:v>分区状态、启动选择、错误和恢复记录</x:v>
      </x:c>
      <x:c r="J84" s="23" t="str">
        <x:v>验证更新异常不破坏当前可启动安全基线</x:v>
      </x:c>
      <x:c r="K84" s="23" t="str">
        <x:v>任何中断均不得把未完整/未验证镜像设为active；重启后原active仍可安全启动或进入受控OOB恢复</x:v>
      </x:c>
      <x:c r="L84" s="24" t="str">
        <x:v>安全方案/SoC验证/BSP联合</x:v>
      </x:c>
      <x:c r="M84" s="24" t="str">
        <x:v>待指定</x:v>
      </x:c>
      <x:c r="N84" s="23" t="str">
        <x:v>RTL仿真/FPGA/样片（按阶段）</x:v>
      </x:c>
      <x:c r="O84" s="23"/>
      <x:c r="P84" s="23"/>
      <x:c r="Q84" s="23" t="str">
        <x:v>BootROM/FMC/GSP/eHSM测试环境（按用例）</x:v>
      </x:c>
      <x:c r="R84" s="23" t="str">
        <x:v>未开始</x:v>
      </x:c>
      <x:c r="S84" s="23" t="str">
        <x:v>待评估</x:v>
      </x:c>
      <x:c r="T84" s="23"/>
      <x:c r="U84" s="23"/>
      <x:c r="V84" s="23"/>
      <x:c r="W84" s="23" t="str">
        <x:v>依据：SRC-0016 §2.5、§6.6、§8。</x:v>
      </x:c>
    </x:row>
    <x:row r="85" ht="42" customHeight="1">
      <x:c r="A85" s="23" t="str">
        <x:v>芯片底层软件(不含gpu)</x:v>
      </x:c>
      <x:c r="B85" s="23" t="str">
        <x:v>Security</x:v>
      </x:c>
      <x:c r="C85" s="23" t="str">
        <x:v>TRNG健康检测与连续监控：启动自检、在线故障和随机输出门禁</x:v>
      </x:c>
      <x:c r="D85" s="23" t="str">
        <x:v>NGU800P-D0-SECURITY-100</x:v>
      </x:c>
      <x:c r="E85" s="23" t="str">
        <x:v>安全性</x:v>
      </x:c>
      <x:c r="F85" s="23" t="str">
        <x:v>P0</x:v>
      </x:c>
      <x:c r="G85" s="23" t="str">
        <x:v>TRNG原始/调理输出、健康状态和故障注入可观测</x:v>
      </x:c>
      <x:c r="H85" s="23" t="str">
        <x:v>正常样本；重复/偏置/停振等故障模式；连续随机请求</x:v>
      </x:c>
      <x:c r="I85" s="23" t="str">
        <x:v>健康检测结果、错误/中断和随机输出状态</x:v>
      </x:c>
      <x:c r="J85" s="23" t="str">
        <x:v>验证随机源故障被检测且不继续输出可用随机数</x:v>
      </x:c>
      <x:c r="K85" s="23" t="str">
        <x:v>正常样本满足批准统计/健康标准；注入故障在规定窗口内上报并阻断随机输出/密钥生成；恢复策略可审计</x:v>
      </x:c>
      <x:c r="L85" s="24" t="str">
        <x:v>安全方案/SoC验证/BSP联合</x:v>
      </x:c>
      <x:c r="M85" s="24" t="str">
        <x:v>待指定</x:v>
      </x:c>
      <x:c r="N85" s="23" t="str">
        <x:v>RTL仿真/FPGA/样片（按阶段）</x:v>
      </x:c>
      <x:c r="O85" s="23"/>
      <x:c r="P85" s="23"/>
      <x:c r="Q85" s="23" t="str">
        <x:v>BootROM/FMC/GSP/eHSM测试环境（按用例）</x:v>
      </x:c>
      <x:c r="R85" s="23" t="str">
        <x:v>未开始</x:v>
      </x:c>
      <x:c r="S85" s="23" t="str">
        <x:v>待评估</x:v>
      </x:c>
      <x:c r="T85" s="23"/>
      <x:c r="U85" s="23"/>
      <x:c r="V85" s="23"/>
      <x:c r="W85" s="23" t="str">
        <x:v>依据：SRC-0017 §8.8.1、SRC-0006/SRC-0007与SRC-0018 TRNG tests；阈值/标准版本待确认。</x:v>
      </x:c>
    </x:row>
    <x:row r="86" ht="42" customHeight="1">
      <x:c r="A86" s="23" t="str">
        <x:v>芯片底层软件(不含gpu)</x:v>
      </x:c>
      <x:c r="B86" s="23" t="str">
        <x:v>Security</x:v>
      </x:c>
      <x:c r="C86" s="23" t="str">
        <x:v>eHSM访问SoC memory/DMA地址边界与权限隔离</x:v>
      </x:c>
      <x:c r="D86" s="23" t="str">
        <x:v>NGU800P-D0-SECURITY-101</x:v>
      </x:c>
      <x:c r="E86" s="23" t="str">
        <x:v>异常测试</x:v>
      </x:c>
      <x:c r="F86" s="23" t="str">
        <x:v>P0</x:v>
      </x:c>
      <x:c r="G86" s="23" t="str">
        <x:v>eHSM AHB/AXI master、DMA和SoC内存权限模型已集成</x:v>
      </x:c>
      <x:c r="H86" s="23" t="str">
        <x:v>合法buffer；未对齐、溢出、越界、受保护地址和跨域访问</x:v>
      </x:c>
      <x:c r="I86" s="23" t="str">
        <x:v>总线响应、eHSM错误、目标内存和审计</x:v>
      </x:c>
      <x:c r="J86" s="23" t="str">
        <x:v>验证eHSM/Host接口不能形成任意SoC内存访问</x:v>
      </x:c>
      <x:c r="K86" s="23" t="str">
        <x:v>仅白名单范围成功；所有越界/受保护访问失败且无部分写、信息泄露或总线锁死</x:v>
      </x:c>
      <x:c r="L86" s="24" t="str">
        <x:v>安全方案/SoC验证/BSP联合</x:v>
      </x:c>
      <x:c r="M86" s="24" t="str">
        <x:v>待指定</x:v>
      </x:c>
      <x:c r="N86" s="23" t="str">
        <x:v>RTL仿真/FPGA/样片（按阶段）</x:v>
      </x:c>
      <x:c r="O86" s="23"/>
      <x:c r="P86" s="23"/>
      <x:c r="Q86" s="23" t="str">
        <x:v>BootROM/FMC/GSP/eHSM测试环境（按用例）</x:v>
      </x:c>
      <x:c r="R86" s="23" t="str">
        <x:v>未开始</x:v>
      </x:c>
      <x:c r="S86" s="23" t="str">
        <x:v>待评估</x:v>
      </x:c>
      <x:c r="T86" s="23"/>
      <x:c r="U86" s="23"/>
      <x:c r="V86" s="23"/>
      <x:c r="W86" s="23" t="str">
        <x:v>依据：SRC-0017 eHSM memory接口与SRC-0016信任边界。</x:v>
      </x:c>
    </x:row>
    <x:row r="87" ht="42" customHeight="1">
      <x:c r="A87" s="23" t="str">
        <x:v>芯片底层软件(不含gpu)</x:v>
      </x:c>
      <x:c r="B87" s="23" t="str">
        <x:v>Security</x:v>
      </x:c>
      <x:c r="C87" s="23" t="str">
        <x:v>eHSM硬件/软件错误、状态与中断端到端传播和清除</x:v>
      </x:c>
      <x:c r="D87" s="23" t="str">
        <x:v>NGU800P-D0-SECURITY-102</x:v>
      </x:c>
      <x:c r="E87" s="23" t="str">
        <x:v>异常测试</x:v>
      </x:c>
      <x:c r="F87" s="23" t="str">
        <x:v>P0</x:v>
      </x:c>
      <x:c r="G87" s="23" t="str">
        <x:v>sec_cfg、错误寄存器、中断和Host/FMC处理链可用</x:v>
      </x:c>
      <x:c r="H87" s="23" t="str">
        <x:v>注入ECC/总线/算法/OTP/mailbox/WDT等代表性错误</x:v>
      </x:c>
      <x:c r="I87" s="23" t="str">
        <x:v>硬件状态、软件错误码、中断、日志和恢复动作</x:v>
      </x:c>
      <x:c r="J87" s="23" t="str">
        <x:v>验证错误不会丢失、误清或被错误映射</x:v>
      </x:c>
      <x:c r="K87" s="23" t="str">
        <x:v>每类错误产生唯一可追踪状态/中断并被正确处理；清除顺序符合权限；严重错误触发fail-close且无敏感日志</x:v>
      </x:c>
      <x:c r="L87" s="24" t="str">
        <x:v>安全方案/SoC验证/BSP联合</x:v>
      </x:c>
      <x:c r="M87" s="24" t="str">
        <x:v>待指定</x:v>
      </x:c>
      <x:c r="N87" s="23" t="str">
        <x:v>RTL仿真/FPGA/样片（按阶段）</x:v>
      </x:c>
      <x:c r="O87" s="23"/>
      <x:c r="P87" s="23"/>
      <x:c r="Q87" s="23" t="str">
        <x:v>BootROM/FMC/GSP/eHSM测试环境（按用例）</x:v>
      </x:c>
      <x:c r="R87" s="23" t="str">
        <x:v>未开始</x:v>
      </x:c>
      <x:c r="S87" s="23" t="str">
        <x:v>待评估</x:v>
      </x:c>
      <x:c r="T87" s="23"/>
      <x:c r="U87" s="23"/>
      <x:c r="V87" s="23"/>
      <x:c r="W87" s="23" t="str">
        <x:v>依据：SRC-0017 §8.6～§8.7；具体错误矩阵需绑定RTL版本。</x:v>
      </x:c>
    </x:row>
    <x:row r="88" ht="42" customHeight="1">
      <x:c r="A88" s="23" t="str">
        <x:v>芯片底层软件(不含gpu)</x:v>
      </x:c>
      <x:c r="B88" s="23" t="str">
        <x:v>Security</x:v>
      </x:c>
      <x:c r="C88" s="23" t="str">
        <x:v>安全存储数据完整性、机密性、访问控制与回滚</x:v>
      </x:c>
      <x:c r="D88" s="23" t="str">
        <x:v>NGU800P-D0-SECURITY-103</x:v>
      </x:c>
      <x:c r="E88" s="23" t="str">
        <x:v>安全性</x:v>
      </x:c>
      <x:c r="F88" s="23" t="str">
        <x:v>P0</x:v>
      </x:c>
      <x:c r="G88" s="23" t="str">
        <x:v>安全存储分区/key/metadata和生命周期策略已实现</x:v>
      </x:c>
      <x:c r="H88" s="23" t="str">
        <x:v>合法读写；篡改密文/metadata/计数器；越权实体和旧版本数据</x:v>
      </x:c>
      <x:c r="I88" s="23" t="str">
        <x:v>读写结果、完整性错误、访问拒绝和审计</x:v>
      </x:c>
      <x:c r="J88" s="23" t="str">
        <x:v>覆盖系统方案中的安全存储能力</x:v>
      </x:c>
      <x:c r="K88" s="23" t="str">
        <x:v>合法对象可恢复；篡改、回滚或越权访问均失败且不输出明文；删除/更新后旧对象不可重新激活</x:v>
      </x:c>
      <x:c r="L88" s="24" t="str">
        <x:v>安全方案/SoC验证/BSP联合</x:v>
      </x:c>
      <x:c r="M88" s="24" t="str">
        <x:v>待指定</x:v>
      </x:c>
      <x:c r="N88" s="23" t="str">
        <x:v>RTL仿真/FPGA/样片（按阶段）</x:v>
      </x:c>
      <x:c r="O88" s="23"/>
      <x:c r="P88" s="23"/>
      <x:c r="Q88" s="23" t="str">
        <x:v>BootROM/FMC/GSP/eHSM测试环境（按用例）</x:v>
      </x:c>
      <x:c r="R88" s="23" t="str">
        <x:v>未开始</x:v>
      </x:c>
      <x:c r="S88" s="23" t="str">
        <x:v>待评估</x:v>
      </x:c>
      <x:c r="T88" s="23"/>
      <x:c r="U88" s="23"/>
      <x:c r="V88" s="23"/>
      <x:c r="W88" s="23" t="str">
        <x:v>依据：SRC-0017安全存储目标；接口/格式尚需软件方案补充。</x:v>
      </x:c>
    </x:row>
    <x:row r="89" ht="42" customHeight="1">
      <x:c r="A89" s="23" t="str">
        <x:v>芯片底层软件(不含gpu)</x:v>
      </x:c>
      <x:c r="B89" s="23" t="str">
        <x:v>Security</x:v>
      </x:c>
      <x:c r="C89" s="23" t="str">
        <x:v>Die1启动镜像由Die0 eHSM验签解密并受控release</x:v>
      </x:c>
      <x:c r="D89" s="23" t="str">
        <x:v>NGU800P-D0-SECURITY-104</x:v>
      </x:c>
      <x:c r="E89" s="23" t="str">
        <x:v>功能正确性</x:v>
      </x:c>
      <x:c r="F89" s="23" t="str">
        <x:v>P0</x:v>
      </x:c>
      <x:c r="G89" s="23" t="str">
        <x:v>双Die/UCIe/Die1 SRAM和Die0 eHSM路径已集成</x:v>
      </x:c>
      <x:c r="H89" s="23" t="str">
        <x:v>合法、篡改、低版本Die1镜像</x:v>
      </x:c>
      <x:c r="I89" s="23" t="str">
        <x:v>Die0验证/解密/rollback结果、传输和Die1 release状态</x:v>
      </x:c>
      <x:c r="J89" s="23" t="str">
        <x:v>验证Die1不建立独立SoC RoT且不能绕过Die0裁决</x:v>
      </x:c>
      <x:c r="K89" s="23" t="str">
        <x:v>仅合法镜像由Die0验证通过后传输并release；篡改/低版本/超时均不启动Die1目标核</x:v>
      </x:c>
      <x:c r="L89" s="24" t="str">
        <x:v>安全方案/SoC验证/BSP联合</x:v>
      </x:c>
      <x:c r="M89" s="24" t="str">
        <x:v>待指定</x:v>
      </x:c>
      <x:c r="N89" s="23" t="str">
        <x:v>RTL仿真/FPGA/样片（按阶段）</x:v>
      </x:c>
      <x:c r="O89" s="23"/>
      <x:c r="P89" s="23"/>
      <x:c r="Q89" s="23" t="str">
        <x:v>BootROM/FMC/GSP/eHSM测试环境（按用例）</x:v>
      </x:c>
      <x:c r="R89" s="23" t="str">
        <x:v>未开始</x:v>
      </x:c>
      <x:c r="S89" s="23" t="str">
        <x:v>待评估</x:v>
      </x:c>
      <x:c r="T89" s="23"/>
      <x:c r="U89" s="23"/>
      <x:c r="V89" s="23"/>
      <x:c r="W89" s="23" t="str">
        <x:v>依据：SRC-0017多Die方案、SRC-0016 §9.1～§9.2。</x:v>
      </x:c>
    </x:row>
    <x:row r="90" ht="42" customHeight="1">
      <x:c r="A90" s="23" t="str">
        <x:v>芯片底层软件(不含gpu)</x:v>
      </x:c>
      <x:c r="B90" s="23" t="str">
        <x:v>Security</x:v>
      </x:c>
      <x:c r="C90" s="23" t="str">
        <x:v>Die1明文经UCIe传输和SRAM落地的Firewall访问隔离</x:v>
      </x:c>
      <x:c r="D90" s="23" t="str">
        <x:v>NGU800P-D0-SECURITY-105</x:v>
      </x:c>
      <x:c r="E90" s="23" t="str">
        <x:v>安全性</x:v>
      </x:c>
      <x:c r="F90" s="23" t="str">
        <x:v>P0</x:v>
      </x:c>
      <x:c r="G90" s="23" t="str">
        <x:v>Die1 UCIe和受Firewall保护SRAM可配置访问主体</x:v>
      </x:c>
      <x:c r="H90" s="23" t="str">
        <x:v>Die0受控管理通路、Die1启动核/目标核及其他master访问同一明文区</x:v>
      </x:c>
      <x:c r="I90" s="23" t="str">
        <x:v>访问结果、Firewall错误和数据完整性</x:v>
      </x:c>
      <x:c r="J90" s="23" t="str">
        <x:v>验证Die1固件明文只对批准主体可见</x:v>
      </x:c>
      <x:c r="K90" s="23" t="str">
        <x:v>仅批准主体可访问；其他master读写均失败且不能旁路/重映射；配置锁定后非法修改无效</x:v>
      </x:c>
      <x:c r="L90" s="24" t="str">
        <x:v>安全方案/SoC验证/BSP联合</x:v>
      </x:c>
      <x:c r="M90" s="24" t="str">
        <x:v>待指定</x:v>
      </x:c>
      <x:c r="N90" s="23" t="str">
        <x:v>RTL仿真/FPGA/样片（按阶段）</x:v>
      </x:c>
      <x:c r="O90" s="23"/>
      <x:c r="P90" s="23"/>
      <x:c r="Q90" s="23" t="str">
        <x:v>BootROM/FMC/GSP/eHSM测试环境（按用例）</x:v>
      </x:c>
      <x:c r="R90" s="23" t="str">
        <x:v>未开始</x:v>
      </x:c>
      <x:c r="S90" s="23" t="str">
        <x:v>待评估</x:v>
      </x:c>
      <x:c r="T90" s="23"/>
      <x:c r="U90" s="23"/>
      <x:c r="V90" s="23"/>
      <x:c r="W90" s="23" t="str">
        <x:v>依据：SRC-0017多Die/Firewall、SRC-0016 §9.1。</x:v>
      </x:c>
    </x:row>
    <x:row r="91" ht="42" customHeight="1">
      <x:c r="A91" s="23" t="str">
        <x:v>芯片底层软件(不含gpu)</x:v>
      </x:c>
      <x:c r="B91" s="23" t="str">
        <x:v>Security</x:v>
      </x:c>
      <x:c r="C91" s="23" t="str">
        <x:v>Die1 Debug默认关闭、Die0鉴权后scope受控打开</x:v>
      </x:c>
      <x:c r="D91" s="23" t="str">
        <x:v>NGU800P-D0-SECURITY-106</x:v>
      </x:c>
      <x:c r="E91" s="23" t="str">
        <x:v>安全性</x:v>
      </x:c>
      <x:c r="F91" s="23" t="str">
        <x:v>P0</x:v>
      </x:c>
      <x:c r="G91" s="23" t="str">
        <x:v>Die0 Debug Auth与UCIe Debug gating已实现</x:v>
      </x:c>
      <x:c r="H91" s="23" t="str">
        <x:v>Die1本地打开尝试；Die0合法/非法授权；复位/到期</x:v>
      </x:c>
      <x:c r="I91" s="23" t="str">
        <x:v>Die1 debug gating、端口访问和审计</x:v>
      </x:c>
      <x:c r="J91" s="23" t="str">
        <x:v>验证Die1 Debug由Die0统一管控</x:v>
      </x:c>
      <x:c r="K91" s="23" t="str">
        <x:v>Die1本地请求始终失败；仅Die0鉴权成功后打开指定scope；到期/复位/失败立即关闭</x:v>
      </x:c>
      <x:c r="L91" s="24" t="str">
        <x:v>安全方案/SoC验证/BSP联合</x:v>
      </x:c>
      <x:c r="M91" s="24" t="str">
        <x:v>待指定</x:v>
      </x:c>
      <x:c r="N91" s="23" t="str">
        <x:v>RTL仿真/FPGA/样片（按阶段）</x:v>
      </x:c>
      <x:c r="O91" s="23"/>
      <x:c r="P91" s="23"/>
      <x:c r="Q91" s="23" t="str">
        <x:v>BootROM/FMC/GSP/eHSM测试环境（按用例）</x:v>
      </x:c>
      <x:c r="R91" s="23" t="str">
        <x:v>未开始</x:v>
      </x:c>
      <x:c r="S91" s="23" t="str">
        <x:v>待评估</x:v>
      </x:c>
      <x:c r="T91" s="23"/>
      <x:c r="U91" s="23"/>
      <x:c r="V91" s="23"/>
      <x:c r="W91" s="23" t="str">
        <x:v>依据：SRC-0016 §9.3。</x:v>
      </x:c>
    </x:row>
    <x:row r="92" ht="42" customHeight="1">
      <x:c r="A92" s="24" t="str">
        <x:v>芯片底层软件(不含gpu)</x:v>
      </x:c>
      <x:c r="B92" s="24" t="str">
        <x:v>Security</x:v>
      </x:c>
      <x:c r="C92" s="24" t="str">
        <x:v>Die1 measurement是否独立记录及SPDM呈现（待裁决）</x:v>
      </x:c>
      <x:c r="D92" s="24" t="str">
        <x:v>NGU800P-D0-SECURITY-107</x:v>
      </x:c>
      <x:c r="E92" s="24" t="str">
        <x:v>协议一致性</x:v>
      </x:c>
      <x:c r="F92" s="24" t="str">
        <x:v>P0</x:v>
      </x:c>
      <x:c r="G92" s="24" t="str">
        <x:v>项目负责人裁决Die1 measurement策略和表结构</x:v>
      </x:c>
      <x:c r="H92" s="24" t="str">
        <x:v>Die0/Die1同版本与不同版本固件组合，读取measurement table/SPDM</x:v>
      </x:c>
      <x:c r="I92" s="24" t="str">
        <x:v>Die1条目/字段和Verifier判定</x:v>
      </x:c>
      <x:c r="J92" s="24" t="str">
        <x:v>解决软件方案内部Die1 measurement表达不一致</x:v>
      </x:c>
      <x:c r="K92" s="24" t="str">
        <x:v>裁决后的策略在measurement table、SPDM、测试和Verifier中一致；裁决前不建立确定性通过准则</x:v>
      </x:c>
      <x:c r="L92" s="24" t="str">
        <x:v>安全方案/SoC验证/BSP联合</x:v>
      </x:c>
      <x:c r="M92" s="24" t="str">
        <x:v>待指定</x:v>
      </x:c>
      <x:c r="N92" s="24" t="str">
        <x:v>RTL仿真/FPGA/样片（按阶段）</x:v>
      </x:c>
      <x:c r="O92" s="24"/>
      <x:c r="P92" s="24"/>
      <x:c r="Q92" s="24" t="str">
        <x:v>BootROM/FMC/GSP/eHSM测试环境（按用例）</x:v>
      </x:c>
      <x:c r="R92" s="24" t="str">
        <x:v>阻塞/待裁决</x:v>
      </x:c>
      <x:c r="S92" s="24" t="str">
        <x:v>待评估</x:v>
      </x:c>
      <x:c r="T92" s="24"/>
      <x:c r="U92" s="24"/>
      <x:c r="V92" s="24"/>
      <x:c r="W92" s="24" t="str">
        <x:v>CONFLICTING：SRC-0016 §4.3包含DIE1_FW/die_id，§9.4又称不单独记录；详见新冲突报告。</x:v>
      </x:c>
    </x:row>
    <x:row r="93" ht="42" customHeight="1">
      <x:c r="A93" s="23" t="str">
        <x:v>芯片底层软件(不含gpu)</x:v>
      </x:c>
      <x:c r="B93" s="23" t="str">
        <x:v>Security</x:v>
      </x:c>
      <x:c r="C93" s="23" t="str">
        <x:v>Firewall生命周期锁定与USER未授权重配置</x:v>
      </x:c>
      <x:c r="D93" s="23" t="str">
        <x:v>NGU800P-D0-SECURITY-108</x:v>
      </x:c>
      <x:c r="E93" s="23" t="str">
        <x:v>安全性</x:v>
      </x:c>
      <x:c r="F93" s="23" t="str">
        <x:v>P0</x:v>
      </x:c>
      <x:c r="G93" s="23" t="str">
        <x:v>SoC/Die1 Firewall寄存器、LCS lock和鉴权路径可用</x:v>
      </x:c>
      <x:c r="H93" s="23" t="str">
        <x:v>TEST/DEV/MANU/USER下合法配置；USER未授权修改/解锁/复位重试</x:v>
      </x:c>
      <x:c r="I93" s="23" t="str">
        <x:v>配置结果、lock状态、错误和访问行为</x:v>
      </x:c>
      <x:c r="J93" s="23" t="str">
        <x:v>验证Firewall策略不能被不可信软件重配</x:v>
      </x:c>
      <x:c r="K93" s="23" t="str">
        <x:v>允许阶段配置按策略生效；USER未授权修改/解锁均失败，复位不解除锁定，原访问隔离保持不变</x:v>
      </x:c>
      <x:c r="L93" s="24" t="str">
        <x:v>安全方案/SoC验证/BSP联合</x:v>
      </x:c>
      <x:c r="M93" s="24" t="str">
        <x:v>待指定</x:v>
      </x:c>
      <x:c r="N93" s="23" t="str">
        <x:v>RTL仿真/FPGA/样片（按阶段）</x:v>
      </x:c>
      <x:c r="O93" s="23"/>
      <x:c r="P93" s="23"/>
      <x:c r="Q93" s="23" t="str">
        <x:v>BootROM/FMC/GSP/eHSM测试环境（按用例）</x:v>
      </x:c>
      <x:c r="R93" s="23" t="str">
        <x:v>未开始</x:v>
      </x:c>
      <x:c r="S93" s="23" t="str">
        <x:v>待评估</x:v>
      </x:c>
      <x:c r="T93" s="23"/>
      <x:c r="U93" s="23"/>
      <x:c r="V93" s="23"/>
      <x:c r="W93" s="23" t="str">
        <x:v>依据：SRC-0017 §10.3、SRC-0016 §1.3/§9。</x:v>
      </x:c>
    </x:row>
    <x:row r="94" ht="42" customHeight="1">
      <x:c r="A94" s="23" t="str">
        <x:v>芯片底层软件(不含gpu)</x:v>
      </x:c>
      <x:c r="B94" s="23" t="str">
        <x:v>Security</x:v>
      </x:c>
      <x:c r="C94" s="23" t="str">
        <x:v>安全关键路径故障注入：验签/解密/OTP写/LCS裁决均fail-close</x:v>
      </x:c>
      <x:c r="D94" s="23" t="str">
        <x:v>NGU800P-D0-SECURITY-109</x:v>
      </x:c>
      <x:c r="E94" s="23" t="str">
        <x:v>故障注入</x:v>
      </x:c>
      <x:c r="F94" s="23" t="str">
        <x:v>P0</x:v>
      </x:c>
      <x:c r="G94" s="23" t="str">
        <x:v>RTL仿真或FPGA具备注入控制点和可观测错误</x:v>
      </x:c>
      <x:c r="H94" s="23" t="str">
        <x:v>跳过比较、返回值翻转、时钟/复位扰动、关键状态机单点故障</x:v>
      </x:c>
      <x:c r="I94" s="23" t="str">
        <x:v>安全裁决、错误/复位、release/写使能和Evidence</x:v>
      </x:c>
      <x:c r="J94" s="23" t="str">
        <x:v>发现可导致错误放行的单点故障</x:v>
      </x:c>
      <x:c r="K94" s="23" t="str">
        <x:v>任何代表性故障不得产生未授权release、明文输出、OTP写或生命周期回退；检测不到的故障必须登记风险并阻断签核</x:v>
      </x:c>
      <x:c r="L94" s="24" t="str">
        <x:v>安全方案/SoC验证/BSP联合</x:v>
      </x:c>
      <x:c r="M94" s="24" t="str">
        <x:v>待指定</x:v>
      </x:c>
      <x:c r="N94" s="23" t="str">
        <x:v>RTL仿真/FPGA/样片（按阶段）</x:v>
      </x:c>
      <x:c r="O94" s="23"/>
      <x:c r="P94" s="23"/>
      <x:c r="Q94" s="23" t="str">
        <x:v>BootROM/FMC/GSP/eHSM测试环境（按用例）</x:v>
      </x:c>
      <x:c r="R94" s="23" t="str">
        <x:v>未开始</x:v>
      </x:c>
      <x:c r="S94" s="23" t="str">
        <x:v>待评估</x:v>
      </x:c>
      <x:c r="T94" s="23"/>
      <x:c r="U94" s="23"/>
      <x:c r="V94" s="23"/>
      <x:c r="W94" s="23" t="str">
        <x:v>依据：流片前安全风险释放目标；具体注入点需硬件/软件联合评审。</x:v>
      </x:c>
    </x:row>
    <x:row r="95" ht="42" customHeight="1">
      <x:c r="A95" s="23" t="str">
        <x:v>芯片底层软件(不含gpu)</x:v>
      </x:c>
      <x:c r="B95" s="23" t="str">
        <x:v>Security</x:v>
      </x:c>
      <x:c r="C95" s="23" t="str">
        <x:v>密钥/明文/Token等敏感材料在完成、失败、超时和复位后的清零</x:v>
      </x:c>
      <x:c r="D95" s="23" t="str">
        <x:v>NGU800P-D0-SECURITY-110</x:v>
      </x:c>
      <x:c r="E95" s="23" t="str">
        <x:v>安全性</x:v>
      </x:c>
      <x:c r="F95" s="23" t="str">
        <x:v>P0</x:v>
      </x:c>
      <x:c r="G95" s="23" t="str">
        <x:v>可观测KMU/工作SRAM/PKE RAM/消息buffer且不破坏安全边界</x:v>
      </x:c>
      <x:c r="H95" s="23" t="str">
        <x:v>执行密钥安装、解密、签名、Debug Auth后触发正常完成/错误/超时/复位</x:v>
      </x:c>
      <x:c r="I95" s="23" t="str">
        <x:v>敏感buffer残留检查和后续访问结果</x:v>
      </x:c>
      <x:c r="J95" s="23" t="str">
        <x:v>验证临时敏感材料不跨操作或复位泄露</x:v>
      </x:c>
      <x:c r="K95" s="23" t="str">
        <x:v>所有临时明文、派生key、token和中间量在规定事件后不可读；后续操作不能复用旧状态；日志/转储无敏感内容</x:v>
      </x:c>
      <x:c r="L95" s="24" t="str">
        <x:v>安全方案/SoC验证/BSP联合</x:v>
      </x:c>
      <x:c r="M95" s="24" t="str">
        <x:v>待指定</x:v>
      </x:c>
      <x:c r="N95" s="23" t="str">
        <x:v>RTL仿真/FPGA/样片（按阶段）</x:v>
      </x:c>
      <x:c r="O95" s="23"/>
      <x:c r="P95" s="23"/>
      <x:c r="Q95" s="23" t="str">
        <x:v>BootROM/FMC/GSP/eHSM测试环境（按用例）</x:v>
      </x:c>
      <x:c r="R95" s="23" t="str">
        <x:v>未开始</x:v>
      </x:c>
      <x:c r="S95" s="23" t="str">
        <x:v>待评估</x:v>
      </x:c>
      <x:c r="T95" s="23"/>
      <x:c r="U95" s="23"/>
      <x:c r="V95" s="23"/>
      <x:c r="W95" s="23" t="str">
        <x:v>依据：SRC-0017密钥保护目标与SRC-0016安全约束；清零时点/范围需实现确认。</x:v>
      </x:c>
    </x:row>
    <x:row r="96" ht="42" customHeight="1">
      <x:c r="A96" s="23" t="str">
        <x:v>芯片底层软件(不含gpu)</x:v>
      </x:c>
      <x:c r="B96" s="23" t="str">
        <x:v>Security</x:v>
      </x:c>
      <x:c r="C96" s="23" t="str">
        <x:v>摘要与HMAC覆盖矩阵：SHA-384、SHA3-256/384/512、SM3、HMAC</x:v>
      </x:c>
      <x:c r="D96" s="23" t="str">
        <x:v>NGU800P-D0-SECURITY-111</x:v>
      </x:c>
      <x:c r="E96" s="23" t="str">
        <x:v>功能正确性</x:v>
      </x:c>
      <x:c r="F96" s="23" t="str">
        <x:v>P0</x:v>
      </x:c>
      <x:c r="G96" s="23" t="str">
        <x:v>eHSM HASH接口和对应KAT向量可用</x:v>
      </x:c>
      <x:c r="H96" s="23" t="str">
        <x:v>各算法空/短/块边界/长消息、单次/分段和非法参数</x:v>
      </x:c>
      <x:c r="I96" s="23" t="str">
        <x:v>摘要/HMAC、返回状态和分段一致性</x:v>
      </x:c>
      <x:c r="J96" s="23" t="str">
        <x:v>补齐SRC-0017摘要算法清单覆盖</x:v>
      </x:c>
      <x:c r="K96" s="23" t="str">
        <x:v>所有批准算法与KAT/参考实现一致；单次/分段一致；非法key/长度/状态顺序被拒绝</x:v>
      </x:c>
      <x:c r="L96" s="24" t="str">
        <x:v>安全方案/SoC验证/BSP联合</x:v>
      </x:c>
      <x:c r="M96" s="24" t="str">
        <x:v>待指定</x:v>
      </x:c>
      <x:c r="N96" s="23" t="str">
        <x:v>RTL仿真/FPGA/样片（按阶段）</x:v>
      </x:c>
      <x:c r="O96" s="23"/>
      <x:c r="P96" s="23"/>
      <x:c r="Q96" s="23" t="str">
        <x:v>BootROM/FMC/GSP/eHSM测试环境（按用例）</x:v>
      </x:c>
      <x:c r="R96" s="23" t="str">
        <x:v>未开始</x:v>
      </x:c>
      <x:c r="S96" s="23" t="str">
        <x:v>待评估</x:v>
      </x:c>
      <x:c r="T96" s="23"/>
      <x:c r="U96" s="23"/>
      <x:c r="V96" s="23"/>
      <x:c r="W96" s="23" t="str">
        <x:v>依据：SRC-0017 §8.5摘要算法清单；需与SRC-0018 Vendor回归映射。</x:v>
      </x:c>
    </x:row>
    <x:row r="97" ht="42" customHeight="1">
      <x:c r="A97" s="23" t="str">
        <x:v>芯片底层软件(不含gpu)</x:v>
      </x:c>
      <x:c r="B97" s="23" t="str">
        <x:v>Security</x:v>
      </x:c>
      <x:c r="C97" s="23" t="str">
        <x:v>公钥算法/曲线覆盖矩阵：ECDSA P256/P384/P521、SM2、Ed25519、brainpool、RSA位数</x:v>
      </x:c>
      <x:c r="D97" s="23" t="str">
        <x:v>NGU800P-D0-SECURITY-112</x:v>
      </x:c>
      <x:c r="E97" s="23" t="str">
        <x:v>功能正确性</x:v>
      </x:c>
      <x:c r="F97" s="23" t="str">
        <x:v>P0</x:v>
      </x:c>
      <x:c r="G97" s="23" t="str">
        <x:v>eHSM PKE接口、批准曲线/位数和标准向量可用</x:v>
      </x:c>
      <x:c r="H97" s="23" t="str">
        <x:v>各算法正确/错误签名、公钥、曲线参数和长度边界</x:v>
      </x:c>
      <x:c r="I97" s="23" t="str">
        <x:v>签名/验签结果、错误码和性能记录</x:v>
      </x:c>
      <x:c r="J97" s="23" t="str">
        <x:v>补齐系统方案公钥能力和安全启动/证明依赖</x:v>
      </x:c>
      <x:c r="K97" s="23" t="str">
        <x:v>批准组合与标准向量一致；错误签名/key/曲线/长度均失败；不批准组合不得被发布路径使用</x:v>
      </x:c>
      <x:c r="L97" s="24" t="str">
        <x:v>安全方案/SoC验证/BSP联合</x:v>
      </x:c>
      <x:c r="M97" s="24" t="str">
        <x:v>待指定</x:v>
      </x:c>
      <x:c r="N97" s="23" t="str">
        <x:v>RTL仿真/FPGA/样片（按阶段）</x:v>
      </x:c>
      <x:c r="O97" s="23"/>
      <x:c r="P97" s="23"/>
      <x:c r="Q97" s="23" t="str">
        <x:v>BootROM/FMC/GSP/eHSM测试环境（按用例）</x:v>
      </x:c>
      <x:c r="R97" s="23" t="str">
        <x:v>未开始</x:v>
      </x:c>
      <x:c r="S97" s="23" t="str">
        <x:v>待评估</x:v>
      </x:c>
      <x:c r="T97" s="23"/>
      <x:c r="U97" s="23"/>
      <x:c r="V97" s="23"/>
      <x:c r="W97" s="23" t="str">
        <x:v>依据：SRC-0017 §8.5与安全启动算法清单。</x:v>
      </x:c>
    </x:row>
    <x:row r="98" ht="42" customHeight="1">
      <x:c r="A98" s="24" t="str">
        <x:v>芯片底层软件(不含gpu)</x:v>
      </x:c>
      <x:c r="B98" s="24" t="str">
        <x:v>Security</x:v>
      </x:c>
      <x:c r="C98" s="24" t="str">
        <x:v>对称/认证补充矩阵：GMAC、DES/TDES与弱算法使用边界</x:v>
      </x:c>
      <x:c r="D98" s="24" t="str">
        <x:v>NGU800P-D0-SECURITY-113</x:v>
      </x:c>
      <x:c r="E98" s="24" t="str">
        <x:v>安全性</x:v>
      </x:c>
      <x:c r="F98" s="24" t="str">
        <x:v>P0</x:v>
      </x:c>
      <x:c r="G98" s="24" t="str">
        <x:v>eHSM SKE/MAC能力与产品算法白名单已明确</x:v>
      </x:c>
      <x:c r="H98" s="24" t="str">
        <x:v>GMAC KAT；DES/TDES正确性向量和产品路径调用尝试</x:v>
      </x:c>
      <x:c r="I98" s="24" t="str">
        <x:v>算法结果、白名单拒绝和审计</x:v>
      </x:c>
      <x:c r="J98" s="24" t="str">
        <x:v>区分Vendor能力回归与产品批准安全算法</x:v>
      </x:c>
      <x:c r="K98" s="24" t="str">
        <x:v>GMAC按KAT通过；DES/TDES若仅兼容回归则不得进入Secure Boot/密钥保护等安全路径；产品是否允许需有明确方案裁决</x:v>
      </x:c>
      <x:c r="L98" s="24" t="str">
        <x:v>安全方案/SoC验证/BSP联合</x:v>
      </x:c>
      <x:c r="M98" s="24" t="str">
        <x:v>待指定</x:v>
      </x:c>
      <x:c r="N98" s="24" t="str">
        <x:v>RTL仿真/FPGA/样片（按阶段）</x:v>
      </x:c>
      <x:c r="O98" s="24"/>
      <x:c r="P98" s="24"/>
      <x:c r="Q98" s="24" t="str">
        <x:v>BootROM/FMC/GSP/eHSM测试环境（按用例）</x:v>
      </x:c>
      <x:c r="R98" s="24" t="str">
        <x:v>阻塞/待裁决</x:v>
      </x:c>
      <x:c r="S98" s="24" t="str">
        <x:v>待评估</x:v>
      </x:c>
      <x:c r="T98" s="24"/>
      <x:c r="U98" s="24"/>
      <x:c r="V98" s="24"/>
      <x:c r="W98" s="24" t="str">
        <x:v>待确认：SRC-0017列出DES/TDES能力但安全用途边界未明确。</x:v>
      </x:c>
    </x:row>
    <x:row r="99" ht="42" customHeight="1">
      <x:c r="A99" s="23" t="str">
        <x:v>芯片底层软件(不含gpu)</x:v>
      </x:c>
      <x:c r="B99" s="23" t="str">
        <x:v>Security</x:v>
      </x:c>
      <x:c r="C99" s="23" t="str">
        <x:v>Vendor 4019 BL/FW Python回归关键集复跑与NGU800P差异登记</x:v>
      </x:c>
      <x:c r="D99" s="23" t="str">
        <x:v>NGU800P-D0-SECURITY-114</x:v>
      </x:c>
      <x:c r="E99" s="23" t="str">
        <x:v>回归测试</x:v>
      </x:c>
      <x:c r="F99" s="23" t="str">
        <x:v>P0</x:v>
      </x:c>
      <x:c r="G99" s="23" t="str">
        <x:v>SRC-0018快照、匹配硬件/仿真配置和测试依赖可复现</x:v>
      </x:c>
      <x:c r="H99" s="23" t="str">
        <x:v>执行selftest/OTP/key/lifecycle/debug/upgrade/crypto/rompatch关键集</x:v>
      </x:c>
      <x:c r="I99" s="23" t="str">
        <x:v>原始日志、通过率、跳过项、失败和NGU800P适配差异</x:v>
      </x:c>
      <x:c r="J99" s="23" t="str">
        <x:v>用Vendor回归验证eHSM实现但不替代SoC验收</x:v>
      </x:c>
      <x:c r="K99" s="23" t="str">
        <x:v>所有P0/安全关键Vendor用例有可追踪结果；任何失败/跳过均有原因和项目影响；不得直接把Vendor PASS等同于SoC PASS</x:v>
      </x:c>
      <x:c r="L99" s="24" t="str">
        <x:v>安全方案/SoC验证/BSP联合</x:v>
      </x:c>
      <x:c r="M99" s="24" t="str">
        <x:v>待指定</x:v>
      </x:c>
      <x:c r="N99" s="23" t="str">
        <x:v>RTL仿真/FPGA/样片（按阶段）</x:v>
      </x:c>
      <x:c r="O99" s="23"/>
      <x:c r="P99" s="23"/>
      <x:c r="Q99" s="23" t="str">
        <x:v>BootROM/FMC/GSP/eHSM测试环境（按用例）</x:v>
      </x:c>
      <x:c r="R99" s="23" t="str">
        <x:v>未开始</x:v>
      </x:c>
      <x:c r="S99" s="23" t="str">
        <x:v>待评估</x:v>
      </x:c>
      <x:c r="T99" s="23"/>
      <x:c r="U99" s="23"/>
      <x:c r="V99" s="23"/>
      <x:c r="W99" s="23" t="str">
        <x:v>依据：SRC-0018 python_bootloader_tests/python_firmware_tests。</x:v>
      </x:c>
    </x:row>
    <x:row r="100" ht="42" customHeight="1">
      <x:c r="A100" s="23" t="str">
        <x:v>芯片底层软件(不含gpu)</x:v>
      </x:c>
      <x:c r="B100" s="23" t="str">
        <x:v>Security</x:v>
      </x:c>
      <x:c r="C100" s="23" t="str">
        <x:v>SPDM异常协议与状态机：长度/offset/slot/算法/nonce/replay/乱序</x:v>
      </x:c>
      <x:c r="D100" s="23" t="str">
        <x:v>NGU800P-D0-SECURITY-115</x:v>
      </x:c>
      <x:c r="E100" s="23" t="str">
        <x:v>异常测试</x:v>
      </x:c>
      <x:c r="F100" s="23" t="str">
        <x:v>P0</x:v>
      </x:c>
      <x:c r="G100" s="23" t="str">
        <x:v>SPDM responder/Requester和可变异报文工具可用</x:v>
      </x:c>
      <x:c r="H100" s="23" t="str">
        <x:v>畸形长度、越界offset、无效slot、无共同算法、重复nonce、重放和乱序消息</x:v>
      </x:c>
      <x:c r="I100" s="23" t="str">
        <x:v>SPDM错误、会话/认证状态和资源占用</x:v>
      </x:c>
      <x:c r="J100" s="23" t="str">
        <x:v>验证SPDM输入面不能绕过认证或导致越界/状态混乱</x:v>
      </x:c>
      <x:c r="K100" s="23" t="str">
        <x:v>每类畸形请求返回规范错误或安全关闭；不泄露证书外数据、不进入已认证状态、无死锁/越界/资源耗尽</x:v>
      </x:c>
      <x:c r="L100" s="24" t="str">
        <x:v>安全方案/SoC验证/BSP联合</x:v>
      </x:c>
      <x:c r="M100" s="24" t="str">
        <x:v>待指定</x:v>
      </x:c>
      <x:c r="N100" s="23" t="str">
        <x:v>RTL仿真/FPGA/样片（按阶段）</x:v>
      </x:c>
      <x:c r="O100" s="23"/>
      <x:c r="P100" s="23"/>
      <x:c r="Q100" s="23" t="str">
        <x:v>BootROM/FMC/GSP/eHSM测试环境（按用例）</x:v>
      </x:c>
      <x:c r="R100" s="23" t="str">
        <x:v>未开始</x:v>
      </x:c>
      <x:c r="S100" s="23" t="str">
        <x:v>待评估</x:v>
      </x:c>
      <x:c r="T100" s="23"/>
      <x:c r="U100" s="23"/>
      <x:c r="V100" s="23"/>
      <x:c r="W100" s="23" t="str">
        <x:v>依据：SRC-0016 §4；具体profile/版本需确认。</x:v>
      </x:c>
    </x:row>
    <x:row r="101" ht="42" customHeight="1">
      <x:c r="A101" s="23" t="str">
        <x:v>芯片底层软件(不含gpu)</x:v>
      </x:c>
      <x:c r="B101" s="23" t="str">
        <x:v>Security</x:v>
      </x:c>
      <x:c r="C101" s="23" t="str">
        <x:v>安全事件审计完整性：key install、LCS、Debug、更新、OOB恢复</x:v>
      </x:c>
      <x:c r="D101" s="23" t="str">
        <x:v>NGU800P-D0-SECURITY-116</x:v>
      </x:c>
      <x:c r="E101" s="23" t="str">
        <x:v>安全性</x:v>
      </x:c>
      <x:c r="F101" s="23" t="str">
        <x:v>P0</x:v>
      </x:c>
      <x:c r="G101" s="23" t="str">
        <x:v>审计格式、存储、时间/序列和读取权限已定义</x:v>
      </x:c>
      <x:c r="H101" s="23" t="str">
        <x:v>执行成功/失败的key install、生命周期变化、Debug Auth、固件更新、OOB恢复</x:v>
      </x:c>
      <x:c r="I101" s="23" t="str">
        <x:v>审计事件、关联ID、结果、主体和完整性保护</x:v>
      </x:c>
      <x:c r="J101" s="23" t="str">
        <x:v>验证高危操作可追溯且日志本身不可伪造/泄密</x:v>
      </x:c>
      <x:c r="K101" s="23" t="str">
        <x:v>每项事件均生成唯一、顺序可验证且权限受控的记录；失败同样留痕；日志不含明文密钥/token并能检测篡改/回滚</x:v>
      </x:c>
      <x:c r="L101" s="24" t="str">
        <x:v>安全方案/SoC验证/BSP联合</x:v>
      </x:c>
      <x:c r="M101" s="24" t="str">
        <x:v>待指定</x:v>
      </x:c>
      <x:c r="N101" s="23" t="str">
        <x:v>RTL仿真/FPGA/样片（按阶段）</x:v>
      </x:c>
      <x:c r="O101" s="23"/>
      <x:c r="P101" s="23"/>
      <x:c r="Q101" s="23" t="str">
        <x:v>BootROM/FMC/GSP/eHSM测试环境（按用例）</x:v>
      </x:c>
      <x:c r="R101" s="23" t="str">
        <x:v>未开始</x:v>
      </x:c>
      <x:c r="S101" s="23" t="str">
        <x:v>待评估</x:v>
      </x:c>
      <x:c r="T101" s="23"/>
      <x:c r="U101" s="23"/>
      <x:c r="V101" s="23"/>
      <x:c r="W101" s="23" t="str">
        <x:v>依据：SRC-0016 §6.6第10条。</x:v>
      </x:c>
    </x:row>
  </x:sheetData>
  <x:mergeCells>
    <x:mergeCell ref="B2:B6"/>
    <x:mergeCell ref="B7:B12"/>
    <x:mergeCell ref="B13:B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3.5"/>
  <x:cols>
    <x:col min="1" max="1" width="16" hidden="0" customWidth="1"/>
    <x:col min="2" max="2" width="44" hidden="0" customWidth="1"/>
    <x:col min="3" max="3" width="3" hidden="0" customWidth="1"/>
    <x:col min="4" max="4" width="14" hidden="0" customWidth="1"/>
    <x:col min="5" max="5" width="22" hidden="0" customWidth="1"/>
    <x:col min="6" max="6" width="48" hidden="0" customWidth="1"/>
  </x:cols>
  <x:sheetData>
    <x:row r="1" ht="32" customHeight="1">
      <x:c r="A1" s="27" t="str">
        <x:v>NGU800P 安全测试用例版本说明</x:v>
      </x:c>
      <x:c r="B1" s="27"/>
      <x:c r="C1" s="27"/>
      <x:c r="D1" s="27"/>
      <x:c r="E1" s="27"/>
      <x:c r="F1" s="27"/>
    </x:row>
    <x:row r="2">
      <x:c r="A2" s="41"/>
      <x:c r="B2" s="41"/>
      <x:c r="C2" s="41"/>
      <x:c r="D2" s="41"/>
      <x:c r="E2" s="41"/>
      <x:c r="F2" s="41"/>
    </x:row>
    <x:row r="3">
      <x:c r="A3" s="31" t="str">
        <x:v>项目</x:v>
      </x:c>
      <x:c r="B3" s="31" t="str">
        <x:v>内容</x:v>
      </x:c>
      <x:c r="C3" s="41"/>
      <x:c r="D3" s="31" t="str">
        <x:v>颜色</x:v>
      </x:c>
      <x:c r="E3" s="31" t="str">
        <x:v>含义</x:v>
      </x:c>
      <x:c r="F3" s="31" t="str">
        <x:v>使用规则</x:v>
      </x:c>
    </x:row>
    <x:row r="4">
      <x:c r="A4" s="32" t="str">
        <x:v>当前版本</x:v>
      </x:c>
      <x:c r="B4" s="32" t="str">
        <x:v>v0.2（2026-07-21）</x:v>
      </x:c>
      <x:c r="C4" s="41"/>
      <x:c r="D4" s="35" t="str">
        <x:v>黄色</x:v>
      </x:c>
      <x:c r="E4" s="32" t="str">
        <x:v>修改已有内容</x:v>
      </x:c>
      <x:c r="F4" s="32" t="str">
        <x:v>术语/错误修正、补全输入输出和通过准则</x:v>
      </x:c>
    </x:row>
    <x:row r="5">
      <x:c r="A5" s="32" t="str">
        <x:v>原始输入</x:v>
      </x:c>
      <x:c r="B5" s="32" t="str">
        <x:v>test_case.xlsx，按初版v0.1登记为SRC-0020</x:v>
      </x:c>
      <x:c r="C5" s="41"/>
      <x:c r="D5" s="36" t="str">
        <x:v>绿色</x:v>
      </x:c>
      <x:c r="E5" s="32" t="str">
        <x:v>新增内容</x:v>
      </x:c>
      <x:c r="F5" s="32" t="str">
        <x:v>新增测试行</x:v>
      </x:c>
    </x:row>
    <x:row r="6">
      <x:c r="A6" s="32" t="str">
        <x:v>原始行数</x:v>
      </x:c>
      <x:c r="B6" s="32" t="n">
        <x:v>76</x:v>
      </x:c>
      <x:c r="C6" s="41"/>
      <x:c r="D6" s="37" t="str">
        <x:v>橙色</x:v>
      </x:c>
      <x:c r="E6" s="32" t="str">
        <x:v>待确认/阻塞</x:v>
      </x:c>
      <x:c r="F6" s="32" t="str">
        <x:v>方案、版本、Owner或接口需负责人裁决/确认</x:v>
      </x:c>
    </x:row>
    <x:row r="7">
      <x:c r="A7" s="32" t="str">
        <x:v>原始已编号用例</x:v>
      </x:c>
      <x:c r="B7" s="32" t="n">
        <x:v>75</x:v>
      </x:c>
      <x:c r="C7" s="41"/>
      <x:c r="D7" s="32" t="str">
        <x:v>无高亮</x:v>
      </x:c>
      <x:c r="E7" s="32" t="str">
        <x:v>原始内容未修改</x:v>
      </x:c>
      <x:c r="F7" s="32" t="str">
        <x:v>沿用初版</x:v>
      </x:c>
    </x:row>
    <x:row r="8">
      <x:c r="A8" s="32" t="str">
        <x:v>当前已编号用例</x:v>
      </x:c>
      <x:c r="B8" s="32" t="n">
        <x:f>COUNTA('Sheet1'!D2:D200)</x:f>
        <x:v>100</x:v>
      </x:c>
      <x:c r="C8" s="41"/>
      <x:c r="D8" s="41"/>
      <x:c r="E8" s="41"/>
      <x:c r="F8" s="41"/>
    </x:row>
    <x:row r="9">
      <x:c r="A9" s="32" t="str">
        <x:v>新增行</x:v>
      </x:c>
      <x:c r="B9" s="32" t="n">
        <x:v>24</x:v>
      </x:c>
      <x:c r="C9" s="41"/>
      <x:c r="D9" s="41"/>
      <x:c r="E9" s="41"/>
      <x:c r="F9" s="41"/>
    </x:row>
    <x:row r="10">
      <x:c r="A10" s="32" t="str">
        <x:v>完成原占位行</x:v>
      </x:c>
      <x:c r="B10" s="32" t="n">
        <x:v>1</x:v>
      </x:c>
      <x:c r="C10" s="41"/>
      <x:c r="D10" s="41"/>
      <x:c r="E10" s="41"/>
      <x:c r="F10" s="41"/>
    </x:row>
    <x:row r="11">
      <x:c r="A11" s="41"/>
      <x:c r="B11" s="41"/>
      <x:c r="C11" s="41"/>
      <x:c r="D11" s="41"/>
      <x:c r="E11" s="41"/>
      <x:c r="F11" s="41"/>
    </x:row>
    <x:row r="12">
      <x:c r="A12" s="39" t="str">
        <x:v>本次主要审视结论</x:v>
      </x:c>
      <x:c r="B12" s="39"/>
      <x:c r="C12" s="39"/>
      <x:c r="D12" s="39"/>
      <x:c r="E12" s="39"/>
      <x:c r="F12" s="39"/>
    </x:row>
    <x:row r="13" ht="34" customHeight="1">
      <x:c r="A13" s="40" t="str">
        <x:v>1</x:v>
      </x:c>
      <x:c r="B13" s="40" t="str">
        <x:v>原表结构可用，但大量算法和系统级用例缺少输入/输出/通过准则；本版补全可执行描述。</x:v>
      </x:c>
      <x:c r="C13" s="40"/>
      <x:c r="D13" s="40"/>
      <x:c r="E13" s="40"/>
      <x:c r="F13" s="40"/>
    </x:row>
    <x:row r="14" ht="34" customHeight="1">
      <x:c r="A14" s="40" t="str">
        <x:v>2</x:v>
      </x:c>
      <x:c r="B14" s="40" t="str">
        <x:v>MD5、SHA-512/256和AES-192-XTS等项目发布定位未由内部方案完全明确，已标橙色。</x:v>
      </x:c>
      <x:c r="C14" s="40"/>
      <x:c r="D14" s="40"/>
      <x:c r="E14" s="40"/>
      <x:c r="F14" s="40"/>
    </x:row>
    <x:row r="15" ht="34" customHeight="1">
      <x:c r="A15" s="40" t="str">
        <x:v>3</x:v>
      </x:c>
      <x:c r="B15" s="40" t="str">
        <x:v>新增密钥轮换异常/掉电、固件更新原子性、TRNG健康、Firewall、多Die、故障注入、清零、SPDM异常和审计覆盖。</x:v>
      </x:c>
      <x:c r="C15" s="40"/>
      <x:c r="D15" s="40"/>
      <x:c r="E15" s="40"/>
      <x:c r="F15" s="40"/>
    </x:row>
    <x:row r="16" ht="34" customHeight="1">
      <x:c r="A16" s="40" t="str">
        <x:v>4</x:v>
      </x:c>
      <x:c r="B16" s="40" t="str">
        <x:v>eHSM自检bit18/bit19存在已知Vendor协议冲突，相关用例保持阻塞。</x:v>
      </x:c>
      <x:c r="C16" s="40"/>
      <x:c r="D16" s="40"/>
      <x:c r="E16" s="40"/>
      <x:c r="F16" s="40"/>
    </x:row>
    <x:row r="17" ht="34" customHeight="1">
      <x:c r="A17" s="40" t="str">
        <x:v>5</x:v>
      </x:c>
      <x:c r="B17" s="40" t="str">
        <x:v>SRC-0016对Die1 measurement条目/策略表述不一致，已新增冲突报告并将相关用例标为阻塞。</x:v>
      </x:c>
      <x:c r="C17" s="40"/>
      <x:c r="D17" s="40"/>
      <x:c r="E17" s="40"/>
      <x:c r="F17" s="40"/>
    </x:row>
    <x:row r="18" ht="34" customHeight="1">
      <x:c r="A18" s="40" t="str">
        <x:v>6</x:v>
      </x:c>
      <x:c r="B18" s="40" t="str">
        <x:v>所有新用例仍需补充实际Owner、RTL版本、软件版本、执行载体和自动化状态。</x:v>
      </x:c>
      <x:c r="C18" s="40"/>
      <x:c r="D18" s="40"/>
      <x:c r="E18" s="40"/>
      <x:c r="F18" s="40"/>
    </x:row>
    <x:row r="19" ht="34" customHeight="1">
      <x:c r="A19" s="40" t="str">
        <x:v>7</x:v>
      </x:c>
      <x:c r="B19" s="40" t="str">
        <x:v>Vendor测试只证明SRC-0018快照行为，不能替代NGU800P SoC级验收。</x:v>
      </x:c>
      <x:c r="C19" s="40"/>
      <x:c r="D19" s="40"/>
      <x:c r="E19" s="40"/>
      <x:c r="F19" s="40"/>
    </x:row>
    <x:row r="20" ht="34" customHeight="1">
      <x:c r="A20" s="40" t="str">
        <x:v>8</x:v>
      </x:c>
      <x:c r="B20" s="40" t="str">
        <x:v>本版本未执行任何测试，也未产生Git提交。</x:v>
      </x:c>
      <x:c r="C20" s="40"/>
      <x:c r="D20" s="40"/>
      <x:c r="E20" s="40"/>
      <x:c r="F20" s="40"/>
    </x:row>
  </x:sheetData>
  <x:mergeCells>
    <x:mergeCell ref="A1:F1"/>
    <x:mergeCell ref="A12:F12"/>
    <x:mergeCell ref="B13:F13"/>
    <x:mergeCell ref="B14:F14"/>
    <x:mergeCell ref="B15:F15"/>
    <x:mergeCell ref="B16:F16"/>
    <x:mergeCell ref="B17:F17"/>
    <x:mergeCell ref="B18:F18"/>
    <x:mergeCell ref="B19:F19"/>
    <x:mergeCell ref="B20:F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3.5"/>
  <x:cols>
    <x:col min="1" max="1" width="18" hidden="0" customWidth="1"/>
    <x:col min="2" max="2" width="30" hidden="0" customWidth="1"/>
    <x:col min="3" max="3" width="36" hidden="0" customWidth="1"/>
    <x:col min="4" max="4" width="42" hidden="0" customWidth="1"/>
    <x:col min="5" max="5" width="16" hidden="0" customWidth="1"/>
    <x:col min="6" max="6" width="34" hidden="0" customWidth="1"/>
  </x:cols>
  <x:sheetData>
    <x:row r="1">
      <x:c r="A1" s="27" t="str">
        <x:v>安全测试覆盖审视（v0.2）</x:v>
      </x:c>
      <x:c r="B1" s="27"/>
      <x:c r="C1" s="27"/>
      <x:c r="D1" s="27"/>
      <x:c r="E1" s="27"/>
      <x:c r="F1" s="27"/>
    </x:row>
    <x:row r="2">
      <x:c r="A2" s="41"/>
      <x:c r="B2" s="41"/>
      <x:c r="C2" s="41"/>
      <x:c r="D2" s="41"/>
      <x:c r="E2" s="41"/>
      <x:c r="F2" s="41"/>
    </x:row>
    <x:row r="3">
      <x:c r="A3" s="43" t="str">
        <x:v>领域</x:v>
      </x:c>
      <x:c r="B3" s="43" t="str">
        <x:v>原始覆盖</x:v>
      </x:c>
      <x:c r="C3" s="43" t="str">
        <x:v>本版处理</x:v>
      </x:c>
      <x:c r="D3" s="43" t="str">
        <x:v>主要缺口/风险</x:v>
      </x:c>
      <x:c r="E3" s="43" t="str">
        <x:v>状态</x:v>
      </x:c>
      <x:c r="F3" s="43" t="str">
        <x:v>依据</x:v>
      </x:c>
    </x:row>
    <x:row r="4" ht="46" customHeight="1">
      <x:c r="A4" s="44" t="str">
        <x:v>密码算法</x:v>
      </x:c>
      <x:c r="B4" s="44" t="str">
        <x:v>AES/SM4/RSA/Hash/TRNG基础项</x:v>
      </x:c>
      <x:c r="C4" s="44" t="str">
        <x:v>补全可执行字段并增加摘要/PKE/算法边界矩阵</x:v>
      </x:c>
      <x:c r="D4" s="44" t="str">
        <x:v>MD5、SHA-512/256、AES-192-XTS、DES/TDES发布定位</x:v>
      </x:c>
      <x:c r="E4" s="44" t="str">
        <x:v>部分待确认</x:v>
      </x:c>
      <x:c r="F4" s="44" t="str">
        <x:v>SRC-0017 §8.5；SRC-0018</x:v>
      </x:c>
    </x:row>
    <x:row r="5" ht="46" customHeight="1">
      <x:c r="A5" s="44" t="str">
        <x:v>eHSM启动/自检/Mailbox</x:v>
      </x:c>
      <x:c r="B5" s="44" t="str">
        <x:v>已有综合项</x:v>
      </x:c>
      <x:c r="C5" s="44" t="str">
        <x:v>补充BootROM fail-close与协议一致性</x:v>
      </x:c>
      <x:c r="D5" s="44" t="str">
        <x:v>自检bit18/bit19冲突</x:v>
      </x:c>
      <x:c r="E5" s="45" t="str">
        <x:v>阻塞一项</x:v>
      </x:c>
      <x:c r="F5" s="44" t="str">
        <x:v>SRC-0012/SRC-0014/SRC-0016</x:v>
      </x:c>
    </x:row>
    <x:row r="6" ht="46" customHeight="1">
      <x:c r="A6" s="44" t="str">
        <x:v>OTP/密钥/LCS</x:v>
      </x:c>
      <x:c r="B6" s="44" t="str">
        <x:v>已有安装、用途隔离、轮换综合</x:v>
      </x:c>
      <x:c r="C6" s="44" t="str">
        <x:v>按Active Bitmap流程细化并补充鉴权/掉电</x:v>
      </x:c>
      <x:c r="D6" s="44" t="str">
        <x:v>写窗口、故障点和版本绑定</x:v>
      </x:c>
      <x:c r="E6" s="44" t="str">
        <x:v>已增强</x:v>
      </x:c>
      <x:c r="F6" s="44" t="str">
        <x:v>SRC-0016 §6～§7</x:v>
      </x:c>
    </x:row>
    <x:row r="7" ht="46" customHeight="1">
      <x:c r="A7" s="44" t="str">
        <x:v>安全启动/升级/OOB</x:v>
      </x:c>
      <x:c r="B7" s="44" t="str">
        <x:v>覆盖较完整</x:v>
      </x:c>
      <x:c r="C7" s="44" t="str">
        <x:v>补充GSP/Runtime release链和写Flash原子性</x:v>
      </x:c>
      <x:c r="D7" s="44" t="str">
        <x:v>执行载体、恢复分区策略</x:v>
      </x:c>
      <x:c r="E7" s="44" t="str">
        <x:v>已增强</x:v>
      </x:c>
      <x:c r="F7" s="44" t="str">
        <x:v>SRC-0016 §2～§3、§8</x:v>
      </x:c>
    </x:row>
    <x:row r="8" ht="46" customHeight="1">
      <x:c r="A8" s="44" t="str">
        <x:v>证明/SPDM/证书</x:v>
      </x:c>
      <x:c r="B8" s="44" t="str">
        <x:v>已有正向和报告重放</x:v>
      </x:c>
      <x:c r="C8" s="44" t="str">
        <x:v>补充畸形协议/状态机</x:v>
      </x:c>
      <x:c r="D8" s="44" t="str">
        <x:v>SPDM profile/版本、证书更新策略</x:v>
      </x:c>
      <x:c r="E8" s="44" t="str">
        <x:v>部分待确认</x:v>
      </x:c>
      <x:c r="F8" s="44" t="str">
        <x:v>SRC-0016 §4、§6.3～§6.4</x:v>
      </x:c>
    </x:row>
    <x:row r="9" ht="46" customHeight="1">
      <x:c r="A9" s="44" t="str">
        <x:v>Debug/RMA</x:v>
      </x:c>
      <x:c r="B9" s="44" t="str">
        <x:v>覆盖较完整</x:v>
      </x:c>
      <x:c r="C9" s="44" t="str">
        <x:v>保留并增加多Die Debug gating</x:v>
      </x:c>
      <x:c r="D9" s="44" t="str">
        <x:v>scope/expiry/审计字段需实现绑定</x:v>
      </x:c>
      <x:c r="E9" s="44" t="str">
        <x:v>已增强</x:v>
      </x:c>
      <x:c r="F9" s="44" t="str">
        <x:v>SRC-0016 §5、§9.3</x:v>
      </x:c>
    </x:row>
    <x:row r="10" ht="46" customHeight="1">
      <x:c r="A10" s="44" t="str">
        <x:v>多Die/Firewall</x:v>
      </x:c>
      <x:c r="B10" s="44" t="str">
        <x:v>原表基本缺失</x:v>
      </x:c>
      <x:c r="C10" s="44" t="str">
        <x:v>新增启动、明文隔离、Debug、Firewall和measurement</x:v>
      </x:c>
      <x:c r="D10" s="44" t="str">
        <x:v>Die1 measurement策略冲突</x:v>
      </x:c>
      <x:c r="E10" s="45" t="str">
        <x:v>阻塞一项</x:v>
      </x:c>
      <x:c r="F10" s="44" t="str">
        <x:v>SRC-0017多Die；SRC-0016 §9</x:v>
      </x:c>
    </x:row>
    <x:row r="11" ht="46" customHeight="1">
      <x:c r="A11" s="44" t="str">
        <x:v>错误/故障/清零</x:v>
      </x:c>
      <x:c r="B11" s="44" t="str">
        <x:v>仅WDT/状态综合</x:v>
      </x:c>
      <x:c r="C11" s="44" t="str">
        <x:v>新增错误传播、故障注入和敏感材料清零</x:v>
      </x:c>
      <x:c r="D11" s="44" t="str">
        <x:v>注入点、阈值和清零范围需确认</x:v>
      </x:c>
      <x:c r="E11" s="44" t="str">
        <x:v>新增</x:v>
      </x:c>
      <x:c r="F11" s="44" t="str">
        <x:v>SRC-0017 §8.6～§8.7</x:v>
      </x:c>
    </x:row>
    <x:row r="12" ht="46" customHeight="1">
      <x:c r="A12" s="44" t="str">
        <x:v>ROM Patch/Vendor回归</x:v>
      </x:c>
      <x:c r="B12" s="44" t="str">
        <x:v>仅一条占位</x:v>
      </x:c>
      <x:c r="C12" s="44" t="str">
        <x:v>完成ROM Patch用例并增加Vendor关键回归</x:v>
      </x:c>
      <x:c r="D12" s="44" t="str">
        <x:v>匹配版本/客户ID/生命周期配置</x:v>
      </x:c>
      <x:c r="E12" s="44" t="str">
        <x:v>已增强</x:v>
      </x:c>
      <x:c r="F12" s="44" t="str">
        <x:v>SRC-0011、SRC-0018</x:v>
      </x:c>
    </x:row>
  </x:sheetData>
  <x:mergeCells>
    <x:mergeCell ref="A1:F1"/>
  </x:mergeCells>
  <x:pageMargins left="0.7" right="0.7" top="0.75" bottom="0.75" header="0.3" footer="0.3"/>
</x:worksheet>
</file>