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fa3b412af147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245dac301c80434b"/>
    <x:sheet xmlns:r="http://schemas.openxmlformats.org/officeDocument/2006/relationships" name="覆盖规则" sheetId="2" r:id="Ra668db1208144dd2"/>
    <x:sheet xmlns:r="http://schemas.openxmlformats.org/officeDocument/2006/relationships" name="Mailbox命令清单" sheetId="3" r:id="Rf0e1809929184fe8"/>
    <x:sheet xmlns:r="http://schemas.openxmlformats.org/officeDocument/2006/relationships" name="Mailbox用例" sheetId="4" r:id="R5d7d32679e3b49ce"/>
    <x:sheet xmlns:r="http://schemas.openxmlformats.org/officeDocument/2006/relationships" name="SoC集成用例" sheetId="5" r:id="R438549c278924f0a"/>
    <x:sheet xmlns:r="http://schemas.openxmlformats.org/officeDocument/2006/relationships" name="硬件验证需求" sheetId="6" r:id="Rc0eb64cf4af647f2"/>
    <x:sheet xmlns:r="http://schemas.openxmlformats.org/officeDocument/2006/relationships" name="Codex移植指导" sheetId="7" r:id="Reccda0d6120345d7"/>
    <x:sheet xmlns:r="http://schemas.openxmlformats.org/officeDocument/2006/relationships" name="工作流记录" sheetId="8" r:id="Re3c7b9b1c7dd445f"/>
    <x:sheet xmlns:r="http://schemas.openxmlformats.org/officeDocument/2006/relationships" name="待确认项" sheetId="9" r:id="R858d70cf6f074903"/>
    <x:sheet xmlns:r="http://schemas.openxmlformats.org/officeDocument/2006/relationships" name="术语说明" sheetId="10" r:id="Rcdffe04d86b64a2a"/>
    <x:sheet xmlns:r="http://schemas.openxmlformats.org/officeDocument/2006/relationships" name="Firewall用例" sheetId="11" r:id="R68d7e81706c14a8c"/>
    <x:sheet xmlns:r="http://schemas.openxmlformats.org/officeDocument/2006/relationships" name="Firewall UserId" sheetId="12" r:id="R1b4f32d3c2674ac0"/>
  </x:sheets>
</x:workbook>
</file>

<file path=xl/sharedStrings.xml><?xml version="1.0" encoding="utf-8"?>
<x:sst xmlns:x="http://schemas.openxmlformats.org/spreadsheetml/2006/main">
  <x:si>
    <x:t xml:space="preserve">项目</x:t>
  </x:si>
  <x:si>
    <x:t xml:space="preserve">值</x:t>
  </x:si>
  <x:si>
    <x:t xml:space="preserve">当前结论</x:t>
  </x:si>
  <x:si>
    <x:t xml:space="preserve">生成日期</x:t>
  </x:si>
  <x:si>
    <x:r>
      <x:rPr>
        <x:sz val="1000"/>
        <x:color rgb="FF1F2937"/>
        <x:rFont val="Calibri"/>
      </x:rPr>
      <x:t xml:space="preserve">1. </x:t>
    </x:r>
    <x:r>
      <x:rPr>
        <x:sz val="1000"/>
        <x:color rgb="FF1F2937"/>
        <x:rFont val="Noto Sans CJK SC"/>
        <x:family val="2"/>
      </x:rPr>
      <x:t xml:space="preserve">每条适用目标命令保留</x:t>
    </x:r>
    <x:r>
      <x:rPr>
        <x:sz val="1000"/>
        <x:color rgb="FF1F2937"/>
        <x:rFont val="Calibri"/>
      </x:rPr>
      <x:t xml:space="preserve">1</x:t>
    </x:r>
    <x:r>
      <x:rPr>
        <x:sz val="1000"/>
        <x:color rgb="FF1F2937"/>
        <x:rFont val="Noto Sans CJK SC"/>
        <x:family val="2"/>
      </x:rPr>
      <x:t xml:space="preserve">条基本功能用例（</x:t>
    </x:r>
    <x:r>
      <x:rPr>
        <x:sz val="1000"/>
        <x:color rgb="FF1F2937"/>
        <x:rFont val="Calibri"/>
      </x:rPr>
      <x:t xml:space="preserve">BASIC</x:t>
    </x:r>
    <x:r>
      <x:rPr>
        <x:sz val="1000"/>
        <x:color rgb="FF1F2937"/>
        <x:rFont val="Noto Sans CJK SC"/>
        <x:family val="2"/>
      </x:rPr>
      <x:t xml:space="preserve">），作为流片前功能冒烟测试基线。</x:t>
    </x:r>
  </x:si>
  <x:si>
    <x:t xml:space="preserve">执行状态</x:t>
  </x:si>
  <x:si>
    <x:r>
      <x:rPr>
        <x:sz val="1000"/>
        <x:color rgb="FF1F2937"/>
        <x:rFont val="Calibri"/>
      </x:rPr>
      <x:t xml:space="preserve">2. </x:t>
    </x:r>
    <x:r>
      <x:rPr>
        <x:sz val="1000"/>
        <x:color rgb="FF1F2937"/>
        <x:rFont val="Noto Sans CJK SC"/>
        <x:family val="2"/>
      </x:rPr>
      <x:t xml:space="preserve">不测试主机侧（</x:t>
    </x:r>
    <x:r>
      <x:rPr>
        <x:sz val="1000"/>
        <x:color rgb="FF1F2937"/>
        <x:rFont val="Calibri"/>
      </x:rPr>
      <x:t xml:space="preserve">Host</x:t>
    </x:r>
    <x:r>
      <x:rPr>
        <x:sz val="1000"/>
        <x:color rgb="FF1F2937"/>
        <x:rFont val="Noto Sans CJK SC"/>
        <x:family val="2"/>
      </x:rPr>
      <x:t xml:space="preserve">）本地空指针、缓冲区、超时和日志问题；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未提交不能算</x:t>
    </x:r>
    <x:r>
      <x:rPr>
        <x:sz val="1000"/>
        <x:color rgb="FF1F2937"/>
        <x:rFont val="Calibri"/>
      </x:rPr>
      <x:t xml:space="preserve">eHSM</x:t>
    </x:r>
    <x:r>
      <x:rPr>
        <x:sz val="1000"/>
        <x:color rgb="FF1F2937"/>
        <x:rFont val="Noto Sans CJK SC"/>
        <x:family val="2"/>
      </x:rPr>
      <x:t xml:space="preserve">负向通过。</x:t>
    </x:r>
  </x:si>
  <x:si>
    <x:r>
      <x:rPr>
        <x:sz val="1000"/>
        <x:color rgb="FF1F2937"/>
        <x:rFont val="Calibri"/>
      </x:rPr>
      <x:t xml:space="preserve">BL </x:t>
    </x:r>
    <x:r>
      <x:rPr>
        <x:sz val="1000"/>
        <x:color rgb="FF1F2937"/>
        <x:rFont val="Noto Sans CJK SC"/>
        <x:family val="2"/>
      </x:rPr>
      <x:t xml:space="preserve">头文件目标命令</x:t>
    </x:r>
  </x:si>
  <x:si>
    <x:r>
      <x:rPr>
        <x:sz val="1000"/>
        <x:color rgb="FF1F2937"/>
        <x:rFont val="Calibri"/>
      </x:rPr>
      <x:t xml:space="preserve">3. eHSM</x:t>
    </x:r>
    <x:r>
      <x:rPr>
        <x:sz val="1000"/>
        <x:color rgb="FF1F2937"/>
        <x:rFont val="Noto Sans CJK SC"/>
        <x:family val="2"/>
      </x:rPr>
      <x:t xml:space="preserve">固件和硬件均为被测对象，保留</x:t>
    </x:r>
    <x:r>
      <x:rPr>
        <x:sz val="1000"/>
        <x:color rgb="FF1F2937"/>
        <x:rFont val="Calibri"/>
      </x:rPr>
      <x:t xml:space="preserve">14</x:t>
    </x:r>
    <x:r>
      <x:rPr>
        <x:sz val="1000"/>
        <x:color rgb="FF1F2937"/>
        <x:rFont val="Noto Sans CJK SC"/>
        <x:family val="2"/>
      </x:rPr>
      <x:t xml:space="preserve">条验签、升级、密码验证、认证、密钥、</x:t>
    </x:r>
    <x:r>
      <x:rPr>
        <x:sz val="1000"/>
        <x:color rgb="FF1F2937"/>
        <x:rFont val="Calibri"/>
      </x:rPr>
      <x:t xml:space="preserve">OTP</x:t>
    </x:r>
    <x:r>
      <x:rPr>
        <x:sz val="1000"/>
        <x:color rgb="FF1F2937"/>
        <x:rFont val="Noto Sans CJK SC"/>
        <x:family val="2"/>
      </x:rPr>
      <x:t xml:space="preserve">、状态机和解析器负向用例。</x:t>
    </x:r>
  </x:si>
  <x:si>
    <x:r>
      <x:rPr>
        <x:sz val="1000"/>
        <x:color rgb="FF1F2937"/>
        <x:rFont val="Calibri"/>
      </x:rPr>
      <x:t xml:space="preserve">FW </x:t>
    </x:r>
    <x:r>
      <x:rPr>
        <x:sz val="1000"/>
        <x:color rgb="FF1F2937"/>
        <x:rFont val="Noto Sans CJK SC"/>
        <x:family val="2"/>
      </x:rPr>
      <x:t xml:space="preserve">头文件目标命令</x:t>
    </x:r>
  </x:si>
  <x:si>
    <x:r>
      <x:rPr>
        <x:sz val="1000"/>
        <x:color rgb="FF1F2937"/>
        <x:rFont val="Calibri"/>
      </x:rPr>
      <x:t xml:space="preserve">4. </x:t>
    </x:r>
    <x:r>
      <x:rPr>
        <x:sz val="1000"/>
        <x:color rgb="FF1F2937"/>
        <x:rFont val="Noto Sans CJK SC"/>
        <x:family val="2"/>
      </x:rPr>
      <x:t xml:space="preserve">错误签名、认证标签和认证材料必须真实提交到</x:t>
    </x:r>
    <x:r>
      <x:rPr>
        <x:sz val="1000"/>
        <x:color rgb="FF1F2937"/>
        <x:rFont val="Calibri"/>
      </x:rPr>
      <x:t xml:space="preserve">eHSM</x:t>
    </x:r>
    <x:r>
      <x:rPr>
        <x:sz val="1000"/>
        <x:color rgb="FF1F2937"/>
        <x:rFont val="Noto Sans CJK SC"/>
        <x:family val="2"/>
      </x:rPr>
      <x:t xml:space="preserve">，以原始响应、</x:t>
    </x:r>
    <x:r>
      <x:rPr>
        <x:sz val="1000"/>
        <x:color rgb="FF1F2937"/>
        <x:rFont val="Calibri"/>
      </x:rPr>
      <x:t xml:space="preserve">verify_result</x:t>
    </x:r>
    <x:r>
      <x:rPr>
        <x:sz val="1000"/>
        <x:color rgb="FF1F2937"/>
        <x:rFont val="Noto Sans CJK SC"/>
        <x:family val="2"/>
      </x:rPr>
      <x:t xml:space="preserve">和无副作用检查判断。</x:t>
    </x:r>
  </x:si>
  <x:si>
    <x:t xml:space="preserve">目标命令合计</x:t>
  </x:si>
  <x:si>
    <x:r>
      <x:rPr>
        <x:sz val="1000"/>
        <x:color rgb="FF1F2937"/>
        <x:rFont val="Noto Sans CJK SC"/>
        <x:family val="2"/>
      </x:rPr>
      <x:t xml:space="preserve">主机侧（</x:t>
    </x:r>
    <x:r>
      <x:rPr>
        <x:sz val="1000"/>
        <x:color rgb="FF1F2937"/>
        <x:rFont val="Calibri"/>
      </x:rPr>
      <x:t xml:space="preserve">Host</x:t>
    </x:r>
    <x:r>
      <x:rPr>
        <x:sz val="1000"/>
        <x:color rgb="FF1F2937"/>
        <x:rFont val="Noto Sans CJK SC"/>
        <x:family val="2"/>
      </x:rPr>
      <x:t xml:space="preserve">）头文件独有候选</x:t>
    </x:r>
  </x:si>
  <x:si>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基本功能用例（</x:t>
    </x:r>
    <x:r>
      <x:rPr>
        <x:sz val="1000"/>
        <x:color rgb="FF1F2937"/>
        <x:rFont val="Calibri"/>
      </x:rPr>
      <x:t xml:space="preserve">BASIC</x:t>
    </x:r>
    <x:r>
      <x:rPr>
        <x:sz val="1000"/>
        <x:color rgb="FF1F2937"/>
        <x:rFont val="Noto Sans CJK SC"/>
        <x:family val="2"/>
      </x:rPr>
      <x:t xml:space="preserve">）</x:t>
    </x:r>
  </x:si>
  <x:si>
    <x:r>
      <x:rPr>
        <x:sz val="1000"/>
        <x:color rgb="FF1F2937"/>
        <x:rFont val="Calibri"/>
      </x:rPr>
      <x:t xml:space="preserve">Mailbox eHSM</x:t>
    </x:r>
    <x:r>
      <x:rPr>
        <x:sz val="1000"/>
        <x:color rgb="FF1F2937"/>
        <x:rFont val="Noto Sans CJK SC"/>
        <x:family val="2"/>
      </x:rPr>
      <x:t xml:space="preserve">负向用例</x:t>
    </x:r>
  </x:si>
  <x:si>
    <x:r>
      <x:rPr>
        <x:sz val="1000"/>
        <x:color rgb="FF1F2937"/>
        <x:rFont val="Calibri"/>
      </x:rPr>
      <x:t xml:space="preserve">Mailbox </x:t>
    </x:r>
    <x:r>
      <x:rPr>
        <x:sz val="1000"/>
        <x:color rgb="FF1F2937"/>
        <x:rFont val="Noto Sans CJK SC"/>
        <x:family val="2"/>
      </x:rPr>
      <x:t xml:space="preserve">软件用例合计</x:t>
    </x:r>
  </x:si>
  <x:si>
    <x:r>
      <x:rPr>
        <x:sz val="1000"/>
        <x:color rgb="FF1F2937"/>
        <x:rFont val="Calibri"/>
      </x:rPr>
      <x:t xml:space="preserve">SoC </x:t>
    </x:r>
    <x:r>
      <x:rPr>
        <x:sz val="1000"/>
        <x:color rgb="FF1F2937"/>
        <x:rFont val="Noto Sans CJK SC"/>
        <x:family val="2"/>
      </x:rPr>
      <x:t xml:space="preserve">软件用例</x:t>
    </x:r>
  </x:si>
  <x:si>
    <x:r>
      <x:rPr>
        <x:sz val="1000"/>
        <x:color rgb="FF1F2937"/>
        <x:rFont val="Calibri"/>
      </x:rPr>
      <x:t xml:space="preserve">Codex</x:t>
    </x:r>
    <x:r>
      <x:rPr>
        <x:sz val="1000"/>
        <x:color rgb="FF1F2937"/>
        <x:rFont val="Noto Sans CJK SC"/>
        <x:family val="2"/>
      </x:rPr>
      <x:t xml:space="preserve">可移植软件用例</x:t>
    </x:r>
  </x:si>
  <x:si>
    <x:r>
      <x:rPr>
        <x:sz val="1000"/>
        <x:color rgb="FF1F2937"/>
        <x:rFont val="Noto Sans CJK SC"/>
        <x:family val="2"/>
      </x:rPr>
      <x:t xml:space="preserve">主机侧（</x:t>
    </x:r>
    <x:r>
      <x:rPr>
        <x:sz val="1000"/>
        <x:color rgb="FF1F2937"/>
        <x:rFont val="Calibri"/>
      </x:rPr>
      <x:t xml:space="preserve">Host</x:t>
    </x:r>
    <x:r>
      <x:rPr>
        <x:sz val="1000"/>
        <x:color rgb="FF1F2937"/>
        <x:rFont val="Noto Sans CJK SC"/>
        <x:family val="2"/>
      </x:rPr>
      <x:t xml:space="preserve">）本地负向软件用例</x:t>
    </x:r>
  </x:si>
  <x:si>
    <x:r>
      <x:rPr>
        <x:sz val="1000"/>
        <x:color rgb="FF1F2937"/>
        <x:rFont val="Calibri"/>
      </x:rPr>
      <x:t xml:space="preserve">Mailbox BASIC</x:t>
    </x:r>
    <x:r>
      <x:rPr>
        <x:sz val="1000"/>
        <x:color rgb="FF1F2937"/>
        <x:rFont val="Noto Sans CJK SC"/>
        <x:family val="2"/>
      </x:rPr>
      <x:t xml:space="preserve">移植状态</x:t>
    </x:r>
  </x:si>
  <x:si>
    <x:r>
      <x:rPr>
        <x:sz val="1000"/>
        <x:color rgb="FF1F2937"/>
        <x:rFont val="Calibri"/>
      </x:rPr>
      <x:t xml:space="preserve">52</x:t>
    </x:r>
    <x:r>
      <x:rPr>
        <x:sz val="1000"/>
        <x:color rgb="FF1F2937"/>
        <x:rFont val="Noto Sans CJK SC"/>
        <x:family val="2"/>
      </x:rPr>
      <x:t xml:space="preserve">条已注册；</x:t>
    </x:r>
    <x:r>
      <x:rPr>
        <x:sz val="1000"/>
        <x:color rgb="FF1F2937"/>
        <x:rFont val="Calibri"/>
      </x:rPr>
      <x:t xml:space="preserve">51 REAL_API</x:t>
    </x:r>
    <x:r>
      <x:rPr>
        <x:sz val="1000"/>
        <x:color rgb="FF1F2937"/>
        <x:rFont val="Noto Sans CJK SC"/>
        <x:family val="2"/>
      </x:rPr>
      <x:t xml:space="preserve">；</x:t>
    </x:r>
    <x:r>
      <x:rPr>
        <x:sz val="1000"/>
        <x:color rgb="FF1F2937"/>
        <x:rFont val="Calibri"/>
      </x:rPr>
      <x:t xml:space="preserve">1 GATED_INCONCLUSIVE</x:t>
    </x:r>
    <x:r>
      <x:rPr>
        <x:sz val="1000"/>
        <x:color rgb="FF1F2937"/>
        <x:rFont val="Noto Sans CJK SC"/>
        <x:family val="2"/>
      </x:rPr>
      <x:t xml:space="preserve">；目标</x:t>
    </x:r>
    <x:r>
      <x:rPr>
        <x:sz val="1000"/>
        <x:color rgb="FF1F2937"/>
        <x:rFont val="Calibri"/>
      </x:rPr>
      <x:t xml:space="preserve">PASS 0</x:t>
    </x:r>
    <x:r>
      <x:rPr>
        <x:sz val="1000"/>
        <x:color rgb="FF1F2937"/>
        <x:rFont val="Noto Sans CJK SC"/>
        <x:family val="2"/>
      </x:rPr>
      <x:t xml:space="preserve">条</x:t>
    </x:r>
  </x:si>
  <x:si>
    <x:t xml:space="preserve">来源与边界</x:t>
  </x:si>
  <x:si>
    <x:r>
      <x:rPr>
        <x:sz val="1000"/>
        <x:color rgb="FF1F2937"/>
        <x:rFont val="Noto Sans CJK SC"/>
        <x:family val="2"/>
      </x:rPr>
      <x:t xml:space="preserve">已形成文档（</x:t>
    </x:r>
    <x:r>
      <x:rPr>
        <x:sz val="1000"/>
        <x:color rgb="FF1F2937"/>
        <x:rFont val="Calibri"/>
      </x:rPr>
      <x:t xml:space="preserve">DOCUMENTED</x:t>
    </x:r>
    <x:r>
      <x:rPr>
        <x:sz val="1000"/>
        <x:color rgb="FF1F2937"/>
        <x:rFont val="Noto Sans CJK SC"/>
        <x:family val="2"/>
      </x:rPr>
      <x:t xml:space="preserve">）：芯片系统安全方案、芯片安全软件方案 </x:t>
    </x:r>
    <x:r>
      <x:rPr>
        <x:sz val="1000"/>
        <x:color rgb="FF1F2937"/>
        <x:rFont val="Calibri"/>
      </x:rPr>
      <x:t xml:space="preserve">v1.2</x:t>
    </x:r>
    <x:r>
      <x:rPr>
        <x:sz val="1000"/>
        <x:color rgb="FF1F2937"/>
        <x:rFont val="Noto Sans CJK SC"/>
        <x:family val="2"/>
      </x:rPr>
      <x:t xml:space="preserve">。</x:t>
    </x:r>
  </x:si>
  <x:si>
    <x:r>
      <x:rPr>
        <x:sz val="1000"/>
        <x:color rgb="FF1F2937"/>
        <x:rFont val="Calibri"/>
      </x:rPr>
      <x:t xml:space="preserve">Vendor</x:t>
    </x:r>
    <x:r>
      <x:rPr>
        <x:sz val="1000"/>
        <x:color rgb="FF1F2937"/>
        <x:rFont val="Noto Sans CJK SC"/>
        <x:family val="2"/>
      </x:rPr>
      <x:t xml:space="preserve">实现证据（</x:t>
    </x:r>
    <x:r>
      <x:rPr>
        <x:sz val="1000"/>
        <x:color rgb="FF1F2937"/>
        <x:rFont val="Calibri"/>
      </x:rPr>
      <x:t xml:space="preserve">VENDOR_IMPLEMENTATION</x:t>
    </x:r>
    <x:r>
      <x:rPr>
        <x:sz val="1000"/>
        <x:color rgb="FF1F2937"/>
        <x:rFont val="Noto Sans CJK SC"/>
        <x:family val="2"/>
      </x:rPr>
      <x:t xml:space="preserve">）：</x:t>
    </x:r>
    <x:r>
      <x:rPr>
        <x:sz val="1000"/>
        <x:color rgb="FF1F2937"/>
        <x:rFont val="Calibri"/>
      </x:rPr>
      <x:t xml:space="preserve">eHSM HP TRM</x:t>
    </x:r>
    <x:r>
      <x:rPr>
        <x:sz val="1000"/>
        <x:color rgb="FF1F2937"/>
        <x:rFont val="Noto Sans CJK SC"/>
        <x:family val="2"/>
      </x:rPr>
      <x:t xml:space="preserve">、</x:t>
    </x:r>
    <x:r>
      <x:rPr>
        <x:sz val="1000"/>
        <x:color rgb="FF1F2937"/>
        <x:rFont val="Calibri"/>
      </x:rPr>
      <x:t xml:space="preserve">Host API TRM</x:t>
    </x:r>
    <x:r>
      <x:rPr>
        <x:sz val="1000"/>
        <x:color rgb="FF1F2937"/>
        <x:rFont val="Noto Sans CJK SC"/>
        <x:family val="2"/>
      </x:rPr>
      <x:t xml:space="preserve">、</x:t>
    </x:r>
    <x:r>
      <x:rPr>
        <x:sz val="1000"/>
        <x:color rgb="FF1F2937"/>
        <x:rFont val="Calibri"/>
      </x:rPr>
      <x:t xml:space="preserve">BL/FW/Host</x:t>
    </x:r>
    <x:r>
      <x:rPr>
        <x:sz val="1000"/>
        <x:color rgb="FF1F2937"/>
        <x:rFont val="Noto Sans CJK SC"/>
        <x:family val="2"/>
      </x:rPr>
      <x:t xml:space="preserve">命令头文件。</x:t>
    </x:r>
  </x:si>
  <x:si>
    <x:r>
      <x:rPr>
        <x:sz val="1000"/>
        <x:color rgb="FF1F2937"/>
        <x:rFont val="Calibri"/>
      </x:rPr>
      <x:t xml:space="preserve">Vendor</x:t>
    </x:r>
    <x:r>
      <x:rPr>
        <x:sz val="1000"/>
        <x:color rgb="FF1F2937"/>
        <x:rFont val="Noto Sans CJK SC"/>
        <x:family val="2"/>
      </x:rPr>
      <x:t xml:space="preserve">资料用于证明</x:t>
    </x:r>
    <x:r>
      <x:rPr>
        <x:sz val="1000"/>
        <x:color rgb="FF1F2937"/>
        <x:rFont val="Calibri"/>
      </x:rPr>
      <x:t xml:space="preserve">eHSM</x:t>
    </x:r>
    <x:r>
      <x:rPr>
        <x:sz val="1000"/>
        <x:color rgb="FF1F2937"/>
        <x:rFont val="Noto Sans CJK SC"/>
        <x:family val="2"/>
      </x:rPr>
      <x:t xml:space="preserve">能力与实现，不直接定义</x:t>
    </x:r>
    <x:r>
      <x:rPr>
        <x:sz val="1000"/>
        <x:color rgb="FF1F2937"/>
        <x:rFont val="Calibri"/>
      </x:rPr>
      <x:t xml:space="preserve">NGU800P SoC</x:t>
    </x:r>
    <x:r>
      <x:rPr>
        <x:sz val="1000"/>
        <x:color rgb="FF1F2937"/>
        <x:rFont val="Noto Sans CJK SC"/>
        <x:family val="2"/>
      </x:rPr>
      <x:t xml:space="preserve">最终行为。</x:t>
    </x:r>
  </x:si>
  <x:si>
    <x:r>
      <x:rPr>
        <x:sz val="1000"/>
        <x:color rgb="FF1F2937"/>
        <x:rFont val="Noto Sans CJK SC"/>
        <x:family val="2"/>
      </x:rPr>
      <x:t xml:space="preserve">最终通过判据由有效方案、批准的需求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决策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开放规范、冻结的</x:t>
    </x:r>
    <x:r>
      <x:rPr>
        <x:sz val="1000"/>
        <x:color rgb="FF1F2937"/>
        <x:rFont val="Calibri"/>
      </x:rPr>
      <x:t xml:space="preserve">RTL/</x:t>
    </x:r>
    <x:r>
      <x:rPr>
        <x:sz val="1000"/>
        <x:color rgb="FF1F2937"/>
        <x:rFont val="Noto Sans CJK SC"/>
        <x:family val="2"/>
      </x:rPr>
      <x:t xml:space="preserve">软件测试基线和目标环境验证证据共同确定。</x:t>
    </x:r>
  </x:si>
  <x:si>
    <x:t xml:space="preserve">类型标识</x:t>
  </x:si>
  <x:si>
    <x:t xml:space="preserve">适用对象</x:t>
  </x:si>
  <x:si>
    <x:t xml:space="preserve">构造原则</x:t>
  </x:si>
  <x:si>
    <x:r>
      <x:rPr>
        <x:b/>
        <x:sz val="1100"/>
        <x:color rgb="FFFFFFFF"/>
        <x:rFont val="Noto Sans CJK SC"/>
        <x:family val="2"/>
      </x:rPr>
      <x:t xml:space="preserve">用例</x:t>
    </x:r>
    <x:r>
      <x:rPr>
        <x:b/>
        <x:sz val="1100"/>
        <x:color rgb="FFFFFFFF"/>
        <x:rFont val="Calibri"/>
      </x:rPr>
      <x:t xml:space="preserve">/</x:t>
    </x:r>
    <x:r>
      <x:rPr>
        <x:b/>
        <x:sz val="1100"/>
        <x:color rgb="FFFFFFFF"/>
        <x:rFont val="Noto Sans CJK SC"/>
        <x:family val="2"/>
      </x:rPr>
      <x:t xml:space="preserve">参数化输入拆分规则</x:t>
    </x:r>
  </x:si>
  <x:si>
    <x:t xml:space="preserve">主要验证层级</x:t>
  </x:si>
  <x:si>
    <x:t xml:space="preserve">流片前判定</x:t>
  </x:si>
  <x:si>
    <x:t xml:space="preserve">示例</x:t>
  </x:si>
  <x:si>
    <x:r>
      <x:rPr>
        <x:b/>
        <x:sz val="1600"/>
        <x:color rgb="FFFFFFFF"/>
        <x:rFont val="Calibri"/>
      </x:rPr>
      <x:t xml:space="preserve">Mailbox </x:t>
    </x:r>
    <x:r>
      <x:rPr>
        <x:b/>
        <x:sz val="1600"/>
        <x:color rgb="FFFFFFFF"/>
        <x:rFont val="Noto Sans CJK SC"/>
        <x:family val="2"/>
      </x:rPr>
      <x:t xml:space="preserve">命令全集、基本功能（</x:t>
    </x:r>
    <x:r>
      <x:rPr>
        <x:b/>
        <x:sz val="1600"/>
        <x:color rgb="FFFFFFFF"/>
        <x:rFont val="Calibri"/>
      </x:rPr>
      <x:t xml:space="preserve">BASIC</x:t>
    </x:r>
    <x:r>
      <x:rPr>
        <x:b/>
        <x:sz val="1600"/>
        <x:color rgb="FFFFFFFF"/>
        <x:rFont val="Noto Sans CJK SC"/>
        <x:family val="2"/>
      </x:rPr>
      <x:t xml:space="preserve">）与</x:t>
    </x:r>
    <x:r>
      <x:rPr>
        <x:b/>
        <x:sz val="1600"/>
        <x:color rgb="FFFFFFFF"/>
        <x:rFont val="Calibri"/>
      </x:rPr>
      <x:t xml:space="preserve">eHSM</x:t>
    </x:r>
    <x:r>
      <x:rPr>
        <x:b/>
        <x:sz val="1600"/>
        <x:color rgb="FFFFFFFF"/>
        <x:rFont val="Noto Sans CJK SC"/>
        <x:family val="2"/>
      </x:rPr>
      <x:t xml:space="preserve">负向覆盖策略</x:t>
    </x:r>
  </x:si>
  <x:si>
    <x:t xml:space="preserve">阶段</x:t>
  </x:si>
  <x:si>
    <x:r>
      <x:rPr>
        <x:b/>
        <x:sz val="1100"/>
        <x:color rgb="FFFFFFFF"/>
        <x:rFont val="Noto Sans CJK SC"/>
        <x:family val="2"/>
      </x:rPr>
      <x:t xml:space="preserve">命令 </x:t>
    </x:r>
    <x:r>
      <x:rPr>
        <x:b/>
        <x:sz val="1100"/>
        <x:color rgb="FFFFFFFF"/>
        <x:rFont val="Calibri"/>
      </x:rPr>
      <x:t xml:space="preserve">ID</x:t>
    </x:r>
  </x:si>
  <x:si>
    <x:t xml:space="preserve">命令名</x:t>
  </x:si>
  <x:si>
    <x:t xml:space="preserve">分类</x:t>
  </x:si>
  <x:si>
    <x:t xml:space="preserve">风险等级</x:t>
  </x:si>
  <x:si>
    <x:t xml:space="preserve">适用性</x:t>
  </x:si>
  <x:si>
    <x:t xml:space="preserve">事实状态</x:t>
  </x:si>
  <x:si>
    <x:t xml:space="preserve">BASIC</x:t>
  </x:si>
  <x:si>
    <x:r>
      <x:rPr>
        <x:b/>
        <x:sz val="1100"/>
        <x:color rgb="FFFFFFFF"/>
        <x:rFont val="Calibri"/>
      </x:rPr>
      <x:t xml:space="preserve">eHSM</x:t>
    </x:r>
    <x:r>
      <x:rPr>
        <x:b/>
        <x:sz val="1100"/>
        <x:color rgb="FFFFFFFF"/>
        <x:rFont val="Noto Sans CJK SC"/>
        <x:family val="2"/>
      </x:rPr>
      <x:t xml:space="preserve">负向策略</x:t>
    </x:r>
  </x:si>
  <x:si>
    <x:r>
      <x:rPr>
        <x:b/>
        <x:sz val="1100"/>
        <x:color rgb="FFFFFFFF"/>
        <x:rFont val="Calibri"/>
      </x:rPr>
      <x:t xml:space="preserve">Host</x:t>
    </x:r>
    <x:r>
      <x:rPr>
        <x:b/>
        <x:sz val="1100"/>
        <x:color rgb="FFFFFFFF"/>
        <x:rFont val="Noto Sans CJK SC"/>
        <x:family val="2"/>
      </x:rPr>
      <x:t xml:space="preserve">本地负向策略</x:t>
    </x:r>
  </x:si>
  <x:si>
    <x:t xml:space="preserve">实现难度</x:t>
  </x:si>
  <x:si>
    <x:t xml:space="preserve">流片前门禁</x:t>
  </x:si>
  <x:si>
    <x:t xml:space="preserve">来源</x:t>
  </x:si>
  <x:si>
    <x:t xml:space="preserve">备注</x:t>
  </x:si>
  <x:si>
    <x:t xml:space="preserve">Baremetal Case ID</x:t>
  </x:si>
  <x:si>
    <x:t xml:space="preserve">代码入口</x:t>
  </x:si>
  <x:si>
    <x:t xml:space="preserve">执行命令</x:t>
  </x:si>
  <x:si>
    <x:t xml:space="preserve">移植状态</x:t>
  </x:si>
  <x:si>
    <x:t xml:space="preserve">构建状态</x:t>
  </x:si>
  <x:si>
    <x:t xml:space="preserve">目标执行状态</x:t>
  </x:si>
  <x:si>
    <x:r>
      <x:rPr>
        <x:b/>
        <x:sz val="1100"/>
        <x:color rgb="FFFFFFFF"/>
        <x:rFont val="Calibri"/>
      </x:rPr>
      <x:t xml:space="preserve">Evidence</x:t>
    </x:r>
    <x:r>
      <x:rPr>
        <x:b/>
        <x:sz val="1100"/>
        <x:color rgb="FFFFFFFF"/>
        <x:rFont val="Noto Sans CJK SC"/>
        <x:family val="2"/>
      </x:rPr>
      <x:t xml:space="preserve">索引</x:t>
    </x:r>
  </x:si>
  <x:si>
    <x:t xml:space="preserve">BL</x:t>
  </x:si>
  <x:si>
    <x:t xml:space="preserve">0x0020 (hex)</x:t>
  </x:si>
  <x:si>
    <x:t xml:space="preserve">MB_CMD_ID_BL_SELF_TEST</x:t>
  </x:si>
  <x:si>
    <x:r>
      <x:rPr>
        <x:sz val="1000"/>
        <x:color rgb="FF1F2937"/>
        <x:rFont val="Noto Sans CJK SC"/>
        <x:family val="2"/>
      </x:rPr>
      <x:t xml:space="preserve">自检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状态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版本</x:t>
    </x:r>
  </x:si>
  <x:si>
    <x:t xml:space="preserve">B_DATA_PROCESSING</x:t>
  </x:si>
  <x:si>
    <x:t xml:space="preserve">TARGET_HEADER_BASELINE</x:t>
  </x:si>
  <x:si>
    <x:t xml:space="preserve">VENDOR_IMPLEMENTATION</x:t>
  </x:si>
  <x:si>
    <x:t xml:space="preserve">REQUIRED</x:t>
  </x:si>
  <x:si>
    <x:t xml:space="preserve">BASIC_ONLY_CURRENT_SCOPE</x:t>
  </x:si>
  <x:si>
    <x:t xml:space="preserve">HOST_LOCAL_NEGATIVE_NOT_PLANNED</x:t>
  </x:si>
  <x:si>
    <x:t xml:space="preserve">MEDIUM</x:t>
  </x:si>
  <x:si>
    <x:t xml:space="preserve">MUST_PASS_BASIC</x:t>
  </x:si>
  <x:si>
    <x:t xml:space="preserve">eHSM BL 2.3.5-4019-72f8fdc/inc/mb.h</x:t>
  </x:si>
  <x:si>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</x:t>
    </x:r>
    <x:r>
      <x:rPr>
        <x:sz val="1000"/>
        <x:color rgb="FF1F2937"/>
        <x:rFont val="Noto Sans CJK SC"/>
        <x:family val="2"/>
      </x:rPr>
      <x:t xml:space="preserve">：</x:t>
    </x:r>
    <x:r>
      <x:rPr>
        <x:sz val="1000"/>
        <x:color rgb="FF1F2937"/>
        <x:rFont val="Calibri"/>
      </x:rPr>
      <x:t xml:space="preserve">bl_self_test</x:t>
    </x:r>
  </x:si>
  <x:si>
    <x:t xml:space="preserve">MB-BL-014-BASIC</x:t>
  </x:si>
  <x:si>
    <x:t xml:space="preserve">security_case_mb_bl_014_basic()</x:t>
  </x:si>
  <x:si>
    <x:t xml:space="preserve">security_test run MB-BL-014-BASIC</x:t>
  </x:si>
  <x:si>
    <x:t xml:space="preserve">REAL_API</x:t>
  </x:si>
  <x:si>
    <x:t xml:space="preserve">BUILD_EVIDENCE_AVAILABLE</x:t>
  </x:si>
  <x:si>
    <x:t xml:space="preserve">TARGET_NOT_EXECUTED</x:t>
  </x:si>
  <x:si>
    <x:t xml:space="preserve">20260803-phase0-3-basic-port.md</x:t>
  </x:si>
  <x:si>
    <x:t xml:space="preserve">0x0f04 (hex)</x:t>
  </x:si>
  <x:si>
    <x:t xml:space="preserve">MB_CMD_ID_BL_SET_UART_BAUDRATE</x:t>
  </x:si>
  <x:si>
    <x:r>
      <x:rPr>
        <x:sz val="1000"/>
        <x:color rgb="FF1F2937"/>
        <x:rFont val="Noto Sans CJK SC"/>
        <x:family val="2"/>
      </x:rPr>
      <x:t xml:space="preserve">平台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诊断</x:t>
    </x:r>
  </x:si>
  <x:si>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</x:t>
    </x:r>
    <x:r>
      <x:rPr>
        <x:sz val="1000"/>
        <x:color rgb="FF1F2937"/>
        <x:rFont val="Noto Sans CJK SC"/>
        <x:family val="2"/>
      </x:rPr>
      <x:t xml:space="preserve">：</x:t>
    </x:r>
    <x:r>
      <x:rPr>
        <x:sz val="1000"/>
        <x:color rgb="FF1F2937"/>
        <x:rFont val="Calibri"/>
      </x:rPr>
      <x:t xml:space="preserve">bl_set_uart_baudrate</x:t>
    </x:r>
  </x:si>
  <x:si>
    <x:t xml:space="preserve">MB-BL-013-BASIC</x:t>
  </x:si>
  <x:si>
    <x:t xml:space="preserve">security_case_mb_bl_013_basic()</x:t>
  </x:si>
  <x:si>
    <x:t xml:space="preserve">security_test run MB-BL-013-BASIC</x:t>
  </x:si>
  <x:si>
    <x:t xml:space="preserve">0xff01 (hex)</x:t>
  </x:si>
  <x:si>
    <x:t xml:space="preserve">MB_CMD_ID_BL_OTP_WRITE</x:t>
  </x:si>
  <x:si>
    <x:t xml:space="preserve">OTP/eFuse</x:t>
  </x:si>
  <x:si>
    <x:t xml:space="preserve">D_IRREVERSIBLE_DESTRUCTIVE</x:t>
  </x:si>
  <x:si>
    <x:t xml:space="preserve">COVERED_BY_EHSM_NEGATIVE_FAMILY</x:t>
  </x:si>
  <x:si>
    <x:t xml:space="preserve">HIGH</x:t>
  </x:si>
  <x:si>
    <x:t xml:space="preserve">DEDICATED_FIXTURE_OR_INCONCLUSIVE</x:t>
  </x:si>
  <x:si>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</x:t>
    </x:r>
    <x:r>
      <x:rPr>
        <x:sz val="1000"/>
        <x:color rgb="FF1F2937"/>
        <x:rFont val="Noto Sans CJK SC"/>
        <x:family val="2"/>
      </x:rPr>
      <x:t xml:space="preserve">：</x:t>
    </x:r>
    <x:r>
      <x:rPr>
        <x:sz val="1000"/>
        <x:color rgb="FF1F2937"/>
        <x:rFont val="Calibri"/>
      </x:rPr>
      <x:t xml:space="preserve">bl_otp_write</x:t>
    </x:r>
  </x:si>
  <x:si>
    <x:t xml:space="preserve">MB-BL-003-BASIC</x:t>
  </x:si>
  <x:si>
    <x:t xml:space="preserve">security_case_mb_bl_003_basic()</x:t>
  </x:si>
  <x:si>
    <x:t xml:space="preserve">security_test run MB-BL-003-BASIC</x:t>
  </x:si>
  <x:si>
    <x:t xml:space="preserve">20260803-phase0-3-basic-port.md; 20260805-bl-basic-003-007-real-api.md; 20260805-cancelled-gates-real-api.md</x:t>
  </x:si>
  <x:si>
    <x:t xml:space="preserve">0xff02 (hex)</x:t>
  </x:si>
  <x:si>
    <x:t xml:space="preserve">MB_CMD_ID_BL_OTP_READ</x:t>
  </x:si>
  <x:si>
    <x:t xml:space="preserve">C_SECURITY_SENSITIVE</x:t>
  </x:si>
  <x:si>
    <x:t xml:space="preserve">MEDIUM_HIGH</x:t>
  </x:si>
  <x:si>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</x:t>
    </x:r>
    <x:r>
      <x:rPr>
        <x:sz val="1000"/>
        <x:color rgb="FF1F2937"/>
        <x:rFont val="Noto Sans CJK SC"/>
        <x:family val="2"/>
      </x:rPr>
      <x:t xml:space="preserve">：</x:t>
    </x:r>
    <x:r>
      <x:rPr>
        <x:sz val="1000"/>
        <x:color rgb="FF1F2937"/>
        <x:rFont val="Calibri"/>
      </x:rPr>
      <x:t xml:space="preserve">bl_otp_read</x:t>
    </x:r>
  </x:si>
  <x:si>
    <x:t xml:space="preserve">MB-BL-002-BASIC</x:t>
  </x:si>
  <x:si>
    <x:t xml:space="preserve">security_case_mb_bl_002_basic()</x:t>
  </x:si>
  <x:si>
    <x:t xml:space="preserve">security_test run MB-BL-002-BASIC</x:t>
  </x:si>
  <x:si>
    <x:t xml:space="preserve">20260803-phase0-3-basic-port.md; 20260805-otp-uid-profile-verdict.md</x:t>
  </x:si>
  <x:si>
    <x:t xml:space="preserve">0xff03 (hex)</x:t>
  </x:si>
  <x:si>
    <x:t xml:space="preserve">MB_CMD_ID_BL_GET_CHALLENGE</x:t>
  </x:si>
  <x:si>
    <x:r>
      <x:rPr>
        <x:sz val="1000"/>
        <x:color rgb="FF1F2937"/>
        <x:rFont val="Noto Sans CJK SC"/>
        <x:family val="2"/>
      </x:rPr>
      <x:t xml:space="preserve">调试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鉴权</x:t>
    </x:r>
  </x:si>
  <x:si>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</x:t>
    </x:r>
    <x:r>
      <x:rPr>
        <x:sz val="1000"/>
        <x:color rgb="FF1F2937"/>
        <x:rFont val="Noto Sans CJK SC"/>
        <x:family val="2"/>
      </x:rPr>
      <x:t xml:space="preserve">：</x:t>
    </x:r>
    <x:r>
      <x:rPr>
        <x:sz val="1000"/>
        <x:color rgb="FF1F2937"/>
        <x:rFont val="Calibri"/>
      </x:rPr>
      <x:t xml:space="preserve">bl_get_challenge</x:t>
    </x:r>
  </x:si>
  <x:si>
    <x:t xml:space="preserve">MB-BL-010-BASIC</x:t>
  </x:si>
  <x:si>
    <x:t xml:space="preserve">security_case_mb_bl_010_basic()</x:t>
  </x:si>
  <x:si>
    <x:t xml:space="preserve">security_test run MB-BL-010-BASIC</x:t>
  </x:si>
  <x:si>
    <x:t xml:space="preserve">0xff04 (hex)</x:t>
  </x:si>
  <x:si>
    <x:t xml:space="preserve">MB_CMD_ID_BL_DEBUG_AUTH</x:t>
  </x:si>
  <x:si>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</x:t>
    </x:r>
    <x:r>
      <x:rPr>
        <x:sz val="1000"/>
        <x:color rgb="FF1F2937"/>
        <x:rFont val="Noto Sans CJK SC"/>
        <x:family val="2"/>
      </x:rPr>
      <x:t xml:space="preserve">：</x:t>
    </x:r>
    <x:r>
      <x:rPr>
        <x:sz val="1000"/>
        <x:color rgb="FF1F2937"/>
        <x:rFont val="Calibri"/>
      </x:rPr>
      <x:t xml:space="preserve">bl_debug_auth</x:t>
    </x:r>
  </x:si>
  <x:si>
    <x:t xml:space="preserve">MB-BL-011-BASIC</x:t>
  </x:si>
  <x:si>
    <x:t xml:space="preserve">security_case_mb_bl_011_basic()</x:t>
  </x:si>
  <x:si>
    <x:t xml:space="preserve">security_test run MB-BL-011-BASIC</x:t>
  </x:si>
  <x:si>
    <x:t xml:space="preserve">20260803-phase0-3-basic-port.md; 20260807-debug-auth-profile-port.md</x:t>
  </x:si>
  <x:si>
    <x:t xml:space="preserve">0xff05 (hex)</x:t>
  </x:si>
  <x:si>
    <x:t xml:space="preserve">MB_CMD_ID_BL_FW_UPGRADE</x:t>
  </x:si>
  <x:si>
    <x:r>
      <x:rPr>
        <x:sz val="1000"/>
        <x:color rgb="FF1F2937"/>
        <x:rFont val="Noto Sans CJK SC"/>
        <x:family val="2"/>
      </x:rPr>
      <x:t xml:space="preserve">启动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升级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验签</x:t>
    </x:r>
  </x:si>
  <x:si>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</x:t>
    </x:r>
    <x:r>
      <x:rPr>
        <x:sz val="1000"/>
        <x:color rgb="FF1F2937"/>
        <x:rFont val="Noto Sans CJK SC"/>
        <x:family val="2"/>
      </x:rPr>
      <x:t xml:space="preserve">：</x:t>
    </x:r>
    <x:r>
      <x:rPr>
        <x:sz val="1000"/>
        <x:color rgb="FF1F2937"/>
        <x:rFont val="Calibri"/>
      </x:rPr>
      <x:t xml:space="preserve">bl_fw_upgrade</x:t>
    </x:r>
  </x:si>
  <x:si>
    <x:t xml:space="preserve">MB-BL-006-BASIC</x:t>
  </x:si>
  <x:si>
    <x:t xml:space="preserve">security_case_mb_bl_006_basic()</x:t>
  </x:si>
  <x:si>
    <x:t xml:space="preserve">security_test run MB-BL-006-BASIC</x:t>
  </x:si>
  <x:si>
    <x:t xml:space="preserve">GATED_INCONCLUSIVE</x:t>
  </x:si>
  <x:si>
    <x:t xml:space="preserve">20260803-phase0-3-basic-port.md; 20260805-bl-basic-003-007-real-api.md</x:t>
  </x:si>
  <x:si>
    <x:t xml:space="preserve">0xff06 (hex)</x:t>
  </x:si>
  <x:si>
    <x:t xml:space="preserve">MB_CMD_ID_BL_VERIFY_IMAGE</x:t>
  </x:si>
  <x:si>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</x:t>
    </x:r>
    <x:r>
      <x:rPr>
        <x:sz val="1000"/>
        <x:color rgb="FF1F2937"/>
        <x:rFont val="Noto Sans CJK SC"/>
        <x:family val="2"/>
      </x:rPr>
      <x:t xml:space="preserve">：</x:t>
    </x:r>
    <x:r>
      <x:rPr>
        <x:sz val="1000"/>
        <x:color rgb="FF1F2937"/>
        <x:rFont val="Calibri"/>
      </x:rPr>
      <x:t xml:space="preserve">bl_verify_image</x:t>
    </x:r>
  </x:si>
  <x:si>
    <x:t xml:space="preserve">MB-BL-007-BASIC</x:t>
  </x:si>
  <x:si>
    <x:t xml:space="preserve">security_case_mb_bl_007_basic()</x:t>
  </x:si>
  <x:si>
    <x:t xml:space="preserve">security_test run MB-BL-007-BASIC</x:t>
  </x:si>
  <x:si>
    <x:t xml:space="preserve">0xff08 (hex)</x:t>
  </x:si>
  <x:si>
    <x:t xml:space="preserve">MB_CMD_ID_BL_GET_RANDOM_KEY</x:t>
  </x:si>
  <x:si>
    <x:t xml:space="preserve">密钥管理</x:t>
  </x:si>
  <x:si>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</x:t>
    </x:r>
    <x:r>
      <x:rPr>
        <x:sz val="1000"/>
        <x:color rgb="FF1F2937"/>
        <x:rFont val="Noto Sans CJK SC"/>
        <x:family val="2"/>
      </x:rPr>
      <x:t xml:space="preserve">：</x:t>
    </x:r>
    <x:r>
      <x:rPr>
        <x:sz val="1000"/>
        <x:color rgb="FF1F2937"/>
        <x:rFont val="Calibri"/>
      </x:rPr>
      <x:t xml:space="preserve">bl_get_random_key</x:t>
    </x:r>
  </x:si>
  <x:si>
    <x:t xml:space="preserve">MB-BL-008-BASIC</x:t>
  </x:si>
  <x:si>
    <x:t xml:space="preserve">security_case_mb_bl_008_basic()</x:t>
  </x:si>
  <x:si>
    <x:t xml:space="preserve">security_test run MB-BL-008-BASIC</x:t>
  </x:si>
  <x:si>
    <x:t xml:space="preserve">20260803-phase0-3-basic-port.md; 20260805-cancelled-gates-real-api.md</x:t>
  </x:si>
  <x:si>
    <x:t xml:space="preserve">0xff09 (hex)</x:t>
  </x:si>
  <x:si>
    <x:t xml:space="preserve">MB_CMD_ID_BL_ENCRYPT_KEY</x:t>
  </x:si>
  <x:si>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</x:t>
    </x:r>
    <x:r>
      <x:rPr>
        <x:sz val="1000"/>
        <x:color rgb="FF1F2937"/>
        <x:rFont val="Noto Sans CJK SC"/>
        <x:family val="2"/>
      </x:rPr>
      <x:t xml:space="preserve">：</x:t>
    </x:r>
    <x:r>
      <x:rPr>
        <x:sz val="1000"/>
        <x:color rgb="FF1F2937"/>
        <x:rFont val="Calibri"/>
      </x:rPr>
      <x:t xml:space="preserve">bl_encrypt_key</x:t>
    </x:r>
  </x:si>
  <x:si>
    <x:t xml:space="preserve">MB-BL-009-BASIC</x:t>
  </x:si>
  <x:si>
    <x:t xml:space="preserve">security_case_mb_bl_009_basic()</x:t>
  </x:si>
  <x:si>
    <x:t xml:space="preserve">security_test run MB-BL-009-BASIC</x:t>
  </x:si>
  <x:si>
    <x:t xml:space="preserve">0xff0e (hex)</x:t>
  </x:si>
  <x:si>
    <x:t xml:space="preserve">MB_CMD_ID_BL_CLOSE_DEBUG</x:t>
  </x:si>
  <x:si>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</x:t>
    </x:r>
    <x:r>
      <x:rPr>
        <x:sz val="1000"/>
        <x:color rgb="FF1F2937"/>
        <x:rFont val="Noto Sans CJK SC"/>
        <x:family val="2"/>
      </x:rPr>
      <x:t xml:space="preserve">：</x:t>
    </x:r>
    <x:r>
      <x:rPr>
        <x:sz val="1000"/>
        <x:color rgb="FF1F2937"/>
        <x:rFont val="Calibri"/>
      </x:rPr>
      <x:t xml:space="preserve">bl_close_debug</x:t>
    </x:r>
  </x:si>
  <x:si>
    <x:t xml:space="preserve">MB-BL-012-BASIC</x:t>
  </x:si>
  <x:si>
    <x:t xml:space="preserve">security_case_mb_bl_012_basic()</x:t>
  </x:si>
  <x:si>
    <x:t xml:space="preserve">security_test run MB-BL-012-BASIC</x:t>
  </x:si>
  <x:si>
    <x:t xml:space="preserve">0xff10 (hex)</x:t>
  </x:si>
  <x:si>
    <x:t xml:space="preserve">MB_CMD_ID_BL_READ_VER</x:t>
  </x:si>
  <x:si>
    <x:t xml:space="preserve">A_PUBLIC_READ_ONLY</x:t>
  </x:si>
  <x:si>
    <x:t xml:space="preserve">LOW</x:t>
  </x:si>
  <x:si>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</x:t>
    </x:r>
    <x:r>
      <x:rPr>
        <x:sz val="1000"/>
        <x:color rgb="FF1F2937"/>
        <x:rFont val="Noto Sans CJK SC"/>
        <x:family val="2"/>
      </x:rPr>
      <x:t xml:space="preserve">：</x:t>
    </x:r>
    <x:r>
      <x:rPr>
        <x:sz val="1000"/>
        <x:color rgb="FF1F2937"/>
        <x:rFont val="Calibri"/>
      </x:rPr>
      <x:t xml:space="preserve">bl_read_ver</x:t>
    </x:r>
  </x:si>
  <x:si>
    <x:t xml:space="preserve">MB-BL-001-BASIC</x:t>
  </x:si>
  <x:si>
    <x:t xml:space="preserve">security_case_mb_bl_001_basic()</x:t>
  </x:si>
  <x:si>
    <x:t xml:space="preserve">security_test run MB-BL-001-BASIC</x:t>
  </x:si>
  <x:si>
    <x:t xml:space="preserve">0xff11 (hex)</x:t>
  </x:si>
  <x:si>
    <x:t xml:space="preserve">MB_CMD_ID_BL_READ_SELF_TEST_RESULT</x:t>
  </x:si>
  <x:si>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</x:t>
    </x:r>
    <x:r>
      <x:rPr>
        <x:sz val="1000"/>
        <x:color rgb="FF1F2937"/>
        <x:rFont val="Noto Sans CJK SC"/>
        <x:family val="2"/>
      </x:rPr>
      <x:t xml:space="preserve">：</x:t>
    </x:r>
    <x:r>
      <x:rPr>
        <x:sz val="1000"/>
        <x:color rgb="FF1F2937"/>
        <x:rFont val="Calibri"/>
      </x:rPr>
      <x:t xml:space="preserve">bl_read_self_test_result</x:t>
    </x:r>
  </x:si>
  <x:si>
    <x:t xml:space="preserve">MB-BL-015-BASIC</x:t>
  </x:si>
  <x:si>
    <x:t xml:space="preserve">security_case_mb_bl_015_basic()</x:t>
  </x:si>
  <x:si>
    <x:t xml:space="preserve">security_test run MB-BL-015-BASIC</x:t>
  </x:si>
  <x:si>
    <x:t xml:space="preserve">0xff23 (hex)</x:t>
  </x:si>
  <x:si>
    <x:t xml:space="preserve">MB_CMD_ID_BL_REG_WR</x:t>
  </x:si>
  <x:si>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</x:t>
    </x:r>
    <x:r>
      <x:rPr>
        <x:sz val="1000"/>
        <x:color rgb="FF1F2937"/>
        <x:rFont val="Noto Sans CJK SC"/>
        <x:family val="2"/>
      </x:rPr>
      <x:t xml:space="preserve">：</x:t>
    </x:r>
    <x:r>
      <x:rPr>
        <x:sz val="1000"/>
        <x:color rgb="FF1F2937"/>
        <x:rFont val="Calibri"/>
      </x:rPr>
      <x:t xml:space="preserve">bl_reg_wr</x:t>
    </x:r>
  </x:si>
  <x:si>
    <x:t xml:space="preserve">MB-BL-005-BASIC</x:t>
  </x:si>
  <x:si>
    <x:t xml:space="preserve">security_case_mb_bl_005_basic()</x:t>
  </x:si>
  <x:si>
    <x:t xml:space="preserve">security_test run MB-BL-005-BASIC</x:t>
  </x:si>
  <x:si>
    <x:t xml:space="preserve">0xff24 (hex)</x:t>
  </x:si>
  <x:si>
    <x:t xml:space="preserve">MB_CMD_ID_BL_REG_RD</x:t>
  </x:si>
  <x:si>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</x:t>
    </x:r>
    <x:r>
      <x:rPr>
        <x:sz val="1000"/>
        <x:color rgb="FF1F2937"/>
        <x:rFont val="Noto Sans CJK SC"/>
        <x:family val="2"/>
      </x:rPr>
      <x:t xml:space="preserve">：</x:t>
    </x:r>
    <x:r>
      <x:rPr>
        <x:sz val="1000"/>
        <x:color rgb="FF1F2937"/>
        <x:rFont val="Calibri"/>
      </x:rPr>
      <x:t xml:space="preserve">bl_reg_rd</x:t>
    </x:r>
  </x:si>
  <x:si>
    <x:t xml:space="preserve">MB-BL-004-BASIC</x:t>
  </x:si>
  <x:si>
    <x:t xml:space="preserve">security_case_mb_bl_004_basic()</x:t>
  </x:si>
  <x:si>
    <x:t xml:space="preserve">security_test run MB-BL-004-BASIC</x:t>
  </x:si>
  <x:si>
    <x:t xml:space="preserve">FW</x:t>
  </x:si>
  <x:si>
    <x:t xml:space="preserve">0x0070 (hex)</x:t>
  </x:si>
  <x:si>
    <x:t xml:space="preserve">MB_CMD_ID_GET_EMU</x:t>
  </x:si>
  <x:si>
    <x:t xml:space="preserve">eHSM FW 2.3.3-4019-6234423/inc/mb.h</x:t>
  </x:si>
  <x:si>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</x:t>
    </x:r>
    <x:r>
      <x:rPr>
        <x:sz val="1000"/>
        <x:color rgb="FF1F2937"/>
        <x:rFont val="Noto Sans CJK SC"/>
        <x:family val="2"/>
      </x:rPr>
      <x:t xml:space="preserve">：</x:t>
    </x:r>
    <x:r>
      <x:rPr>
        <x:sz val="1000"/>
        <x:color rgb="FF1F2937"/>
        <x:rFont val="Calibri"/>
      </x:rPr>
      <x:t xml:space="preserve">get_emu</x:t>
    </x:r>
  </x:si>
  <x:si>
    <x:t xml:space="preserve">MB-FW-037-BASIC</x:t>
  </x:si>
  <x:si>
    <x:t xml:space="preserve">security_case_mb_fw_037_basic()</x:t>
  </x:si>
  <x:si>
    <x:t xml:space="preserve">security_test run MB-FW-037-BASIC</x:t>
  </x:si>
  <x:si>
    <x:t xml:space="preserve">0x0101 (hex)</x:t>
  </x:si>
  <x:si>
    <x:t xml:space="preserve">MB_CMD_ID_SYMM_CIPHER</x:t>
  </x:si>
  <x:si>
    <x:t xml:space="preserve">对称密码</x:t>
  </x:si>
  <x:si>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</x:t>
    </x:r>
    <x:r>
      <x:rPr>
        <x:sz val="1000"/>
        <x:color rgb="FF1F2937"/>
        <x:rFont val="Noto Sans CJK SC"/>
        <x:family val="2"/>
      </x:rPr>
      <x:t xml:space="preserve">：</x:t>
    </x:r>
    <x:r>
      <x:rPr>
        <x:sz val="1000"/>
        <x:color rgb="FF1F2937"/>
        <x:rFont val="Calibri"/>
      </x:rPr>
      <x:t xml:space="preserve">symm_cipher</x:t>
    </x:r>
  </x:si>
  <x:si>
    <x:t xml:space="preserve">MB-FW-016-BASIC</x:t>
  </x:si>
  <x:si>
    <x:t xml:space="preserve">security_case_mb_fw_016_basic()</x:t>
  </x:si>
  <x:si>
    <x:t xml:space="preserve">security_test run MB-FW-016-BASIC</x:t>
  </x:si>
  <x:si>
    <x:t xml:space="preserve">20260803-phase0-3-basic-port.md; 20260807-fw016-symmetric-matrix.md</x:t>
  </x:si>
  <x:si>
    <x:t xml:space="preserve">0x0102 (hex)</x:t>
  </x:si>
  <x:si>
    <x:t xml:space="preserve">MB_CMD_ID_AEAD_GCM</x:t>
  </x:si>
  <x:si>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</x:t>
    </x:r>
    <x:r>
      <x:rPr>
        <x:sz val="1000"/>
        <x:color rgb="FF1F2937"/>
        <x:rFont val="Noto Sans CJK SC"/>
        <x:family val="2"/>
      </x:rPr>
      <x:t xml:space="preserve">：</x:t>
    </x:r>
    <x:r>
      <x:rPr>
        <x:sz val="1000"/>
        <x:color rgb="FF1F2937"/>
        <x:rFont val="Calibri"/>
      </x:rPr>
      <x:t xml:space="preserve">aead_gcm</x:t>
    </x:r>
  </x:si>
  <x:si>
    <x:t xml:space="preserve">MB-FW-017-BASIC</x:t>
  </x:si>
  <x:si>
    <x:t xml:space="preserve">security_case_mb_fw_017_basic()</x:t>
  </x:si>
  <x:si>
    <x:t xml:space="preserve">security_test run MB-FW-017-BASIC</x:t>
  </x:si>
  <x:si>
    <x:t xml:space="preserve">20260803-phase0-3-basic-port.md; 20260810-fw-remaining-basic-matrix.md</x:t>
  </x:si>
  <x:si>
    <x:t xml:space="preserve">0x0103 (hex)</x:t>
  </x:si>
  <x:si>
    <x:t xml:space="preserve">MB_CMD_ID_AEAD_CCM</x:t>
  </x:si>
  <x:si>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</x:t>
    </x:r>
    <x:r>
      <x:rPr>
        <x:sz val="1000"/>
        <x:color rgb="FF1F2937"/>
        <x:rFont val="Noto Sans CJK SC"/>
        <x:family val="2"/>
      </x:rPr>
      <x:t xml:space="preserve">：</x:t>
    </x:r>
    <x:r>
      <x:rPr>
        <x:sz val="1000"/>
        <x:color rgb="FF1F2937"/>
        <x:rFont val="Calibri"/>
      </x:rPr>
      <x:t xml:space="preserve">aead_ccm</x:t>
    </x:r>
  </x:si>
  <x:si>
    <x:t xml:space="preserve">MB-FW-018-BASIC</x:t>
  </x:si>
  <x:si>
    <x:t xml:space="preserve">security_case_mb_fw_018_basic()</x:t>
  </x:si>
  <x:si>
    <x:t xml:space="preserve">security_test run MB-FW-018-BASIC</x:t>
  </x:si>
  <x:si>
    <x:t xml:space="preserve">0x0201 (hex)</x:t>
  </x:si>
  <x:si>
    <x:t xml:space="preserve">MB_CMD_ID_MAC</x:t>
  </x:si>
  <x:si>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</x:t>
    </x:r>
    <x:r>
      <x:rPr>
        <x:sz val="1000"/>
        <x:color rgb="FF1F2937"/>
        <x:rFont val="Noto Sans CJK SC"/>
        <x:family val="2"/>
      </x:rPr>
      <x:t xml:space="preserve">：</x:t>
    </x:r>
    <x:r>
      <x:rPr>
        <x:sz val="1000"/>
        <x:color rgb="FF1F2937"/>
        <x:rFont val="Calibri"/>
      </x:rPr>
      <x:t xml:space="preserve">mac</x:t>
    </x:r>
  </x:si>
  <x:si>
    <x:t xml:space="preserve">MB-FW-021-BASIC</x:t>
  </x:si>
  <x:si>
    <x:t xml:space="preserve">security_case_mb_fw_021_basic()</x:t>
  </x:si>
  <x:si>
    <x:t xml:space="preserve">security_test run MB-FW-021-BASIC</x:t>
  </x:si>
  <x:si>
    <x:t xml:space="preserve">0x0301 (hex)</x:t>
  </x:si>
  <x:si>
    <x:t xml:space="preserve">MB_CMD_ID_HASH</x:t>
  </x:si>
  <x:si>
    <x:r>
      <x:rPr>
        <x:sz val="1000"/>
        <x:color rgb="FF1F2937"/>
        <x:rFont val="Noto Sans CJK SC"/>
        <x:family val="2"/>
      </x:rPr>
      <x:t xml:space="preserve">摘要</x:t>
    </x:r>
    <x:r>
      <x:rPr>
        <x:sz val="1000"/>
        <x:color rgb="FF1F2937"/>
        <x:rFont val="Calibri"/>
      </x:rPr>
      <x:t xml:space="preserve">/HMAC</x:t>
    </x:r>
  </x:si>
  <x:si>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</x:t>
    </x:r>
    <x:r>
      <x:rPr>
        <x:sz val="1000"/>
        <x:color rgb="FF1F2937"/>
        <x:rFont val="Noto Sans CJK SC"/>
        <x:family val="2"/>
      </x:rPr>
      <x:t xml:space="preserve">：</x:t>
    </x:r>
    <x:r>
      <x:rPr>
        <x:sz val="1000"/>
        <x:color rgb="FF1F2937"/>
        <x:rFont val="Calibri"/>
      </x:rPr>
      <x:t xml:space="preserve">hash</x:t>
    </x:r>
  </x:si>
  <x:si>
    <x:t xml:space="preserve">MB-FW-019-BASIC</x:t>
  </x:si>
  <x:si>
    <x:t xml:space="preserve">security_case_mb_fw_019_basic()</x:t>
  </x:si>
  <x:si>
    <x:t xml:space="preserve">security_test run MB-FW-019-BASIC</x:t>
  </x:si>
  <x:si>
    <x:t xml:space="preserve">0x0302 (hex)</x:t>
  </x:si>
  <x:si>
    <x:t xml:space="preserve">MB_CMD_ID_HMAC</x:t>
  </x:si>
  <x:si>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</x:t>
    </x:r>
    <x:r>
      <x:rPr>
        <x:sz val="1000"/>
        <x:color rgb="FF1F2937"/>
        <x:rFont val="Noto Sans CJK SC"/>
        <x:family val="2"/>
      </x:rPr>
      <x:t xml:space="preserve">：</x:t>
    </x:r>
    <x:r>
      <x:rPr>
        <x:sz val="1000"/>
        <x:color rgb="FF1F2937"/>
        <x:rFont val="Calibri"/>
      </x:rPr>
      <x:t xml:space="preserve">hmac</x:t>
    </x:r>
  </x:si>
  <x:si>
    <x:t xml:space="preserve">MB-FW-020-BASIC</x:t>
  </x:si>
  <x:si>
    <x:t xml:space="preserve">security_case_mb_fw_020_basic()</x:t>
  </x:si>
  <x:si>
    <x:t xml:space="preserve">security_test run MB-FW-020-BASIC</x:t>
  </x:si>
  <x:si>
    <x:t xml:space="preserve">0x0401 (hex)</x:t>
  </x:si>
  <x:si>
    <x:t xml:space="preserve">MB_CMD_ID_SM2_CIPHER</x:t>
  </x:si>
  <x:si>
    <x:r>
      <x:rPr>
        <x:sz val="1000"/>
        <x:color rgb="FF1F2937"/>
        <x:rFont val="Noto Sans CJK SC"/>
        <x:family val="2"/>
      </x:rPr>
      <x:t xml:space="preserve">非对称</x:t>
    </x:r>
    <x:r>
      <x:rPr>
        <x:sz val="1000"/>
        <x:color rgb="FF1F2937"/>
        <x:rFont val="Calibri"/>
      </x:rPr>
      <x:t xml:space="preserve">/PQC</x:t>
    </x:r>
  </x:si>
  <x:si>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</x:t>
    </x:r>
    <x:r>
      <x:rPr>
        <x:sz val="1000"/>
        <x:color rgb="FF1F2937"/>
        <x:rFont val="Noto Sans CJK SC"/>
        <x:family val="2"/>
      </x:rPr>
      <x:t xml:space="preserve">：</x:t>
    </x:r>
    <x:r>
      <x:rPr>
        <x:sz val="1000"/>
        <x:color rgb="FF1F2937"/>
        <x:rFont val="Calibri"/>
      </x:rPr>
      <x:t xml:space="preserve">sm2_cipher</x:t>
    </x:r>
  </x:si>
  <x:si>
    <x:t xml:space="preserve">MB-FW-022-BASIC</x:t>
  </x:si>
  <x:si>
    <x:t xml:space="preserve">security_case_mb_fw_022_basic()</x:t>
  </x:si>
  <x:si>
    <x:t xml:space="preserve">security_test run MB-FW-022-BASIC</x:t>
  </x:si>
  <x:si>
    <x:t xml:space="preserve">0x0402 (hex)</x:t>
  </x:si>
  <x:si>
    <x:t xml:space="preserve">MB_CMD_ID_SM2_SIGN</x:t>
  </x:si>
  <x:si>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</x:t>
    </x:r>
    <x:r>
      <x:rPr>
        <x:sz val="1000"/>
        <x:color rgb="FF1F2937"/>
        <x:rFont val="Noto Sans CJK SC"/>
        <x:family val="2"/>
      </x:rPr>
      <x:t xml:space="preserve">：</x:t>
    </x:r>
    <x:r>
      <x:rPr>
        <x:sz val="1000"/>
        <x:color rgb="FF1F2937"/>
        <x:rFont val="Calibri"/>
      </x:rPr>
      <x:t xml:space="preserve">sm2_sign</x:t>
    </x:r>
  </x:si>
  <x:si>
    <x:t xml:space="preserve">MB-FW-023-BASIC</x:t>
  </x:si>
  <x:si>
    <x:t xml:space="preserve">security_case_mb_fw_023_basic()</x:t>
  </x:si>
  <x:si>
    <x:t xml:space="preserve">security_test run MB-FW-023-BASIC</x:t>
  </x:si>
  <x:si>
    <x:t xml:space="preserve">20260803-phase0-3-basic-port.md; 20260810-fw-signature-matrix.md</x:t>
  </x:si>
  <x:si>
    <x:t xml:space="preserve">0x0501 (hex)</x:t>
  </x:si>
  <x:si>
    <x:t xml:space="preserve">MB_CMD_ID_RSA_CIPHER</x:t>
  </x:si>
  <x:si>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</x:t>
    </x:r>
    <x:r>
      <x:rPr>
        <x:sz val="1000"/>
        <x:color rgb="FF1F2937"/>
        <x:rFont val="Noto Sans CJK SC"/>
        <x:family val="2"/>
      </x:rPr>
      <x:t xml:space="preserve">：</x:t>
    </x:r>
    <x:r>
      <x:rPr>
        <x:sz val="1000"/>
        <x:color rgb="FF1F2937"/>
        <x:rFont val="Calibri"/>
      </x:rPr>
      <x:t xml:space="preserve">Rsa_cipher</x:t>
    </x:r>
  </x:si>
  <x:si>
    <x:t xml:space="preserve">MB-FW-024-BASIC</x:t>
  </x:si>
  <x:si>
    <x:t xml:space="preserve">security_case_mb_fw_024_basic()</x:t>
  </x:si>
  <x:si>
    <x:t xml:space="preserve">security_test run MB-FW-024-BASIC</x:t>
  </x:si>
  <x:si>
    <x:t xml:space="preserve">0x0502 (hex)</x:t>
  </x:si>
  <x:si>
    <x:t xml:space="preserve">MB_CMD_ID_RSA_SIGN</x:t>
  </x:si>
  <x:si>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</x:t>
    </x:r>
    <x:r>
      <x:rPr>
        <x:sz val="1000"/>
        <x:color rgb="FF1F2937"/>
        <x:rFont val="Noto Sans CJK SC"/>
        <x:family val="2"/>
      </x:rPr>
      <x:t xml:space="preserve">：</x:t>
    </x:r>
    <x:r>
      <x:rPr>
        <x:sz val="1000"/>
        <x:color rgb="FF1F2937"/>
        <x:rFont val="Calibri"/>
      </x:rPr>
      <x:t xml:space="preserve">Rsa_sign</x:t>
    </x:r>
  </x:si>
  <x:si>
    <x:t xml:space="preserve">MB-FW-025-BASIC</x:t>
  </x:si>
  <x:si>
    <x:t xml:space="preserve">security_case_mb_fw_025_basic()</x:t>
  </x:si>
  <x:si>
    <x:t xml:space="preserve">security_test run MB-FW-025-BASIC</x:t>
  </x:si>
  <x:si>
    <x:t xml:space="preserve">0x0601 (hex)</x:t>
  </x:si>
  <x:si>
    <x:t xml:space="preserve">MB_CMD_ID_ECDSA</x:t>
  </x:si>
  <x:si>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</x:t>
    </x:r>
    <x:r>
      <x:rPr>
        <x:sz val="1000"/>
        <x:color rgb="FF1F2937"/>
        <x:rFont val="Noto Sans CJK SC"/>
        <x:family val="2"/>
      </x:rPr>
      <x:t xml:space="preserve">：</x:t>
    </x:r>
    <x:r>
      <x:rPr>
        <x:sz val="1000"/>
        <x:color rgb="FF1F2937"/>
        <x:rFont val="Calibri"/>
      </x:rPr>
      <x:t xml:space="preserve">Ecdsa</x:t>
    </x:r>
  </x:si>
  <x:si>
    <x:t xml:space="preserve">MB-FW-026-BASIC</x:t>
  </x:si>
  <x:si>
    <x:t xml:space="preserve">security_case_mb_fw_026_basic()</x:t>
  </x:si>
  <x:si>
    <x:t xml:space="preserve">security_test run MB-FW-026-BASIC</x:t>
  </x:si>
  <x:si>
    <x:t xml:space="preserve">0x0801 (hex)</x:t>
  </x:si>
  <x:si>
    <x:t xml:space="preserve">MB_CMD_ID_EHSM_IMPORT_KEY</x:t>
  </x:si>
  <x:si>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</x:t>
    </x:r>
    <x:r>
      <x:rPr>
        <x:sz val="1000"/>
        <x:color rgb="FF1F2937"/>
        <x:rFont val="Noto Sans CJK SC"/>
        <x:family val="2"/>
      </x:rPr>
      <x:t xml:space="preserve">：</x:t>
    </x:r>
    <x:r>
      <x:rPr>
        <x:sz val="1000"/>
        <x:color rgb="FF1F2937"/>
        <x:rFont val="Calibri"/>
      </x:rPr>
      <x:t xml:space="preserve">ehsm_import_key</x:t>
    </x:r>
  </x:si>
  <x:si>
    <x:t xml:space="preserve">MB-FW-048-BASIC</x:t>
  </x:si>
  <x:si>
    <x:t xml:space="preserve">security_case_mb_fw_048_basic()</x:t>
  </x:si>
  <x:si>
    <x:t xml:space="preserve">security_test run MB-FW-048-BASIC</x:t>
  </x:si>
  <x:si>
    <x:t xml:space="preserve">0x0802 (hex)</x:t>
  </x:si>
  <x:si>
    <x:t xml:space="preserve">MB_CMD_ID_EHSM_EXPORT_KEY</x:t>
  </x:si>
  <x:si>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</x:t>
    </x:r>
    <x:r>
      <x:rPr>
        <x:sz val="1000"/>
        <x:color rgb="FF1F2937"/>
        <x:rFont val="Noto Sans CJK SC"/>
        <x:family val="2"/>
      </x:rPr>
      <x:t xml:space="preserve">：</x:t>
    </x:r>
    <x:r>
      <x:rPr>
        <x:sz val="1000"/>
        <x:color rgb="FF1F2937"/>
        <x:rFont val="Calibri"/>
      </x:rPr>
      <x:t xml:space="preserve">ehsm_export_key</x:t>
    </x:r>
  </x:si>
  <x:si>
    <x:t xml:space="preserve">MB-FW-049-BASIC</x:t>
  </x:si>
  <x:si>
    <x:t xml:space="preserve">security_case_mb_fw_049_basic()</x:t>
  </x:si>
  <x:si>
    <x:t xml:space="preserve">security_test run MB-FW-049-BASIC</x:t>
  </x:si>
  <x:si>
    <x:t xml:space="preserve">0x0805 (hex)</x:t>
  </x:si>
  <x:si>
    <x:t xml:space="preserve">MB_CMD_ID_EHSM_GET_PUB_FROM_PRIV</x:t>
  </x:si>
  <x:si>
    <x:t xml:space="preserve">其他</x:t>
  </x:si>
  <x:si>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</x:t>
    </x:r>
    <x:r>
      <x:rPr>
        <x:sz val="1000"/>
        <x:color rgb="FF1F2937"/>
        <x:rFont val="Noto Sans CJK SC"/>
        <x:family val="2"/>
      </x:rPr>
      <x:t xml:space="preserve">：</x:t>
    </x:r>
    <x:r>
      <x:rPr>
        <x:sz val="1000"/>
        <x:color rgb="FF1F2937"/>
        <x:rFont val="Calibri"/>
      </x:rPr>
      <x:t xml:space="preserve">ehsm_get_pub_from_priv</x:t>
    </x:r>
  </x:si>
  <x:si>
    <x:t xml:space="preserve">MB-FW-051-BASIC</x:t>
  </x:si>
  <x:si>
    <x:t xml:space="preserve">security_case_mb_fw_051_basic()</x:t>
  </x:si>
  <x:si>
    <x:t xml:space="preserve">security_test run MB-FW-051-BASIC</x:t>
  </x:si>
  <x:si>
    <x:t xml:space="preserve">0x0806 (hex)</x:t>
  </x:si>
  <x:si>
    <x:t xml:space="preserve">MB_CMD_ID_EHSM_REMOVE_KEY</x:t>
  </x:si>
  <x:si>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</x:t>
    </x:r>
    <x:r>
      <x:rPr>
        <x:sz val="1000"/>
        <x:color rgb="FF1F2937"/>
        <x:rFont val="Noto Sans CJK SC"/>
        <x:family val="2"/>
      </x:rPr>
      <x:t xml:space="preserve">：</x:t>
    </x:r>
    <x:r>
      <x:rPr>
        <x:sz val="1000"/>
        <x:color rgb="FF1F2937"/>
        <x:rFont val="Calibri"/>
      </x:rPr>
      <x:t xml:space="preserve">ehsm_remove_key</x:t>
    </x:r>
  </x:si>
  <x:si>
    <x:t xml:space="preserve">MB-FW-050-BASIC</x:t>
  </x:si>
  <x:si>
    <x:t xml:space="preserve">security_case_mb_fw_050_basic()</x:t>
  </x:si>
  <x:si>
    <x:t xml:space="preserve">security_test run MB-FW-050-BASIC</x:t>
  </x:si>
  <x:si>
    <x:t xml:space="preserve">0x080d (hex)</x:t>
  </x:si>
  <x:si>
    <x:t xml:space="preserve">MB_CMD_ID_EHSM_GEN_KEY</x:t>
  </x:si>
  <x:si>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</x:t>
    </x:r>
    <x:r>
      <x:rPr>
        <x:sz val="1000"/>
        <x:color rgb="FF1F2937"/>
        <x:rFont val="Noto Sans CJK SC"/>
        <x:family val="2"/>
      </x:rPr>
      <x:t xml:space="preserve">：</x:t>
    </x:r>
    <x:r>
      <x:rPr>
        <x:sz val="1000"/>
        <x:color rgb="FF1F2937"/>
        <x:rFont val="Calibri"/>
      </x:rPr>
      <x:t xml:space="preserve">ehsm_gen_key</x:t>
    </x:r>
  </x:si>
  <x:si>
    <x:t xml:space="preserve">MB-FW-045-BASIC</x:t>
  </x:si>
  <x:si>
    <x:t xml:space="preserve">security_case_mb_fw_045_basic()</x:t>
  </x:si>
  <x:si>
    <x:t xml:space="preserve">security_test run MB-FW-045-BASIC</x:t>
  </x:si>
  <x:si>
    <x:t xml:space="preserve">0x080e (hex)</x:t>
  </x:si>
  <x:si>
    <x:t xml:space="preserve">MB_CMD_ID_EHSM_KEY_DERIVE</x:t>
  </x:si>
  <x:si>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</x:t>
    </x:r>
    <x:r>
      <x:rPr>
        <x:sz val="1000"/>
        <x:color rgb="FF1F2937"/>
        <x:rFont val="Noto Sans CJK SC"/>
        <x:family val="2"/>
      </x:rPr>
      <x:t xml:space="preserve">：</x:t>
    </x:r>
    <x:r>
      <x:rPr>
        <x:sz val="1000"/>
        <x:color rgb="FF1F2937"/>
        <x:rFont val="Calibri"/>
      </x:rPr>
      <x:t xml:space="preserve">ehsm_key_derive</x:t>
    </x:r>
  </x:si>
  <x:si>
    <x:t xml:space="preserve">MB-FW-046-BASIC</x:t>
  </x:si>
  <x:si>
    <x:t xml:space="preserve">security_case_mb_fw_046_basic()</x:t>
  </x:si>
  <x:si>
    <x:t xml:space="preserve">security_test run MB-FW-046-BASIC</x:t>
  </x:si>
  <x:si>
    <x:t xml:space="preserve">0x080f (hex)</x:t>
  </x:si>
  <x:si>
    <x:t xml:space="preserve">MB_CMD_ID_EHSM_KEY_EXCHANGE</x:t>
  </x:si>
  <x:si>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</x:t>
    </x:r>
    <x:r>
      <x:rPr>
        <x:sz val="1000"/>
        <x:color rgb="FF1F2937"/>
        <x:rFont val="Noto Sans CJK SC"/>
        <x:family val="2"/>
      </x:rPr>
      <x:t xml:space="preserve">：</x:t>
    </x:r>
    <x:r>
      <x:rPr>
        <x:sz val="1000"/>
        <x:color rgb="FF1F2937"/>
        <x:rFont val="Calibri"/>
      </x:rPr>
      <x:t xml:space="preserve">ehsm_key_exchange</x:t>
    </x:r>
  </x:si>
  <x:si>
    <x:t xml:space="preserve">MB-FW-047-BASIC</x:t>
  </x:si>
  <x:si>
    <x:t xml:space="preserve">security_case_mb_fw_047_basic()</x:t>
  </x:si>
  <x:si>
    <x:t xml:space="preserve">security_test run MB-FW-047-BASIC</x:t>
  </x:si>
  <x:si>
    <x:t xml:space="preserve">0x0a01 (hex)</x:t>
  </x:si>
  <x:si>
    <x:t xml:space="preserve">MB_CMD_ID_RNG</x:t>
  </x:si>
  <x:si>
    <x:t xml:space="preserve">随机数</x:t>
  </x:si>
  <x:si>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</x:t>
    </x:r>
    <x:r>
      <x:rPr>
        <x:sz val="1000"/>
        <x:color rgb="FF1F2937"/>
        <x:rFont val="Noto Sans CJK SC"/>
        <x:family val="2"/>
      </x:rPr>
      <x:t xml:space="preserve">：</x:t>
    </x:r>
    <x:r>
      <x:rPr>
        <x:sz val="1000"/>
        <x:color rgb="FF1F2937"/>
        <x:rFont val="Calibri"/>
      </x:rPr>
      <x:t xml:space="preserve">rng</x:t>
    </x:r>
  </x:si>
  <x:si>
    <x:t xml:space="preserve">MB-FW-027-BASIC</x:t>
  </x:si>
  <x:si>
    <x:t xml:space="preserve">security_case_mb_fw_027_basic()</x:t>
  </x:si>
  <x:si>
    <x:t xml:space="preserve">security_test run MB-FW-027-BASIC</x:t>
  </x:si>
  <x:si>
    <x:t xml:space="preserve">0x0f01 (hex)</x:t>
  </x:si>
  <x:si>
    <x:t xml:space="preserve">MB_CMD_ID_CHANGE_LIFECYCLE</x:t>
  </x:si>
  <x:si>
    <x:r>
      <x:rPr>
        <x:sz val="1000"/>
        <x:color rgb="FF1F2937"/>
        <x:rFont val="Noto Sans CJK SC"/>
        <x:family val="2"/>
      </x:rPr>
      <x:t xml:space="preserve">生命周期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控制域</x:t>
    </x:r>
  </x:si>
  <x:si>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</x:t>
    </x:r>
    <x:r>
      <x:rPr>
        <x:sz val="1000"/>
        <x:color rgb="FF1F2937"/>
        <x:rFont val="Noto Sans CJK SC"/>
        <x:family val="2"/>
      </x:rPr>
      <x:t xml:space="preserve">：</x:t>
    </x:r>
    <x:r>
      <x:rPr>
        <x:sz val="1000"/>
        <x:color rgb="FF1F2937"/>
        <x:rFont val="Calibri"/>
      </x:rPr>
      <x:t xml:space="preserve">change_lifecycle</x:t>
    </x:r>
  </x:si>
  <x:si>
    <x:t xml:space="preserve">MB-FW-038-BASIC</x:t>
  </x:si>
  <x:si>
    <x:t xml:space="preserve">security_case_mb_fw_038_basic()</x:t>
  </x:si>
  <x:si>
    <x:t xml:space="preserve">security_test run MB-FW-038-BASIC</x:t>
  </x:si>
  <x:si>
    <x:t xml:space="preserve">0x0f02 (hex)</x:t>
  </x:si>
  <x:si>
    <x:t xml:space="preserve">MB_CMD_ID_CHANGE_CONTROL_FIELD</x:t>
  </x:si>
  <x:si>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</x:t>
    </x:r>
    <x:r>
      <x:rPr>
        <x:sz val="1000"/>
        <x:color rgb="FF1F2937"/>
        <x:rFont val="Noto Sans CJK SC"/>
        <x:family val="2"/>
      </x:rPr>
      <x:t xml:space="preserve">：</x:t>
    </x:r>
    <x:r>
      <x:rPr>
        <x:sz val="1000"/>
        <x:color rgb="FF1F2937"/>
        <x:rFont val="Calibri"/>
      </x:rPr>
      <x:t xml:space="preserve">change_control_field</x:t>
    </x:r>
  </x:si>
  <x:si>
    <x:t xml:space="preserve">MB-FW-039-BASIC</x:t>
  </x:si>
  <x:si>
    <x:t xml:space="preserve">security_case_mb_fw_039_basic()</x:t>
  </x:si>
  <x:si>
    <x:t xml:space="preserve">security_test run MB-FW-039-BASIC</x:t>
  </x:si>
  <x:si>
    <x:t xml:space="preserve">MB_CMD_ID_SET_UART_BAUDRATE</x:t>
  </x:si>
  <x:si>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</x:t>
    </x:r>
    <x:r>
      <x:rPr>
        <x:sz val="1000"/>
        <x:color rgb="FF1F2937"/>
        <x:rFont val="Noto Sans CJK SC"/>
        <x:family val="2"/>
      </x:rPr>
      <x:t xml:space="preserve">：</x:t>
    </x:r>
    <x:r>
      <x:rPr>
        <x:sz val="1000"/>
        <x:color rgb="FF1F2937"/>
        <x:rFont val="Calibri"/>
      </x:rPr>
      <x:t xml:space="preserve">set_uart_baudrate</x:t>
    </x:r>
  </x:si>
  <x:si>
    <x:t xml:space="preserve">MB-FW-040-BASIC</x:t>
  </x:si>
  <x:si>
    <x:t xml:space="preserve">security_case_mb_fw_040_basic()</x:t>
  </x:si>
  <x:si>
    <x:t xml:space="preserve">security_test run MB-FW-040-BASIC</x:t>
  </x:si>
  <x:si>
    <x:t xml:space="preserve">MB_CMD_ID_OTP_WRITE</x:t>
  </x:si>
  <x:si>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</x:t>
    </x:r>
    <x:r>
      <x:rPr>
        <x:sz val="1000"/>
        <x:color rgb="FF1F2937"/>
        <x:rFont val="Noto Sans CJK SC"/>
        <x:family val="2"/>
      </x:rPr>
      <x:t xml:space="preserve">：</x:t>
    </x:r>
    <x:r>
      <x:rPr>
        <x:sz val="1000"/>
        <x:color rgb="FF1F2937"/>
        <x:rFont val="Calibri"/>
      </x:rPr>
      <x:t xml:space="preserve">otp_write</x:t>
    </x:r>
  </x:si>
  <x:si>
    <x:t xml:space="preserve">MB-FW-028-BASIC</x:t>
  </x:si>
  <x:si>
    <x:t xml:space="preserve">security_case_mb_fw_028_basic()</x:t>
  </x:si>
  <x:si>
    <x:t xml:space="preserve">security_test run MB-FW-028-BASIC</x:t>
  </x:si>
  <x:si>
    <x:t xml:space="preserve">MB_CMD_ID_OTP_READ</x:t>
  </x:si>
  <x:si>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</x:t>
    </x:r>
    <x:r>
      <x:rPr>
        <x:sz val="1000"/>
        <x:color rgb="FF1F2937"/>
        <x:rFont val="Noto Sans CJK SC"/>
        <x:family val="2"/>
      </x:rPr>
      <x:t xml:space="preserve">：</x:t>
    </x:r>
    <x:r>
      <x:rPr>
        <x:sz val="1000"/>
        <x:color rgb="FF1F2937"/>
        <x:rFont val="Calibri"/>
      </x:rPr>
      <x:t xml:space="preserve">otp_read</x:t>
    </x:r>
  </x:si>
  <x:si>
    <x:t xml:space="preserve">MB-FW-029-BASIC</x:t>
  </x:si>
  <x:si>
    <x:t xml:space="preserve">security_case_mb_fw_029_basic()</x:t>
  </x:si>
  <x:si>
    <x:t xml:space="preserve">security_test run MB-FW-029-BASIC</x:t>
  </x:si>
  <x:si>
    <x:t xml:space="preserve">MB_CMD_ID_GET_CHALLENGE</x:t>
  </x:si>
  <x:si>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</x:t>
    </x:r>
    <x:r>
      <x:rPr>
        <x:sz val="1000"/>
        <x:color rgb="FF1F2937"/>
        <x:rFont val="Noto Sans CJK SC"/>
        <x:family val="2"/>
      </x:rPr>
      <x:t xml:space="preserve">：</x:t>
    </x:r>
    <x:r>
      <x:rPr>
        <x:sz val="1000"/>
        <x:color rgb="FF1F2937"/>
        <x:rFont val="Calibri"/>
      </x:rPr>
      <x:t xml:space="preserve">get_challenge</x:t>
    </x:r>
  </x:si>
  <x:si>
    <x:t xml:space="preserve">MB-FW-030-BASIC</x:t>
  </x:si>
  <x:si>
    <x:t xml:space="preserve">security_case_mb_fw_030_basic()</x:t>
  </x:si>
  <x:si>
    <x:t xml:space="preserve">security_test run MB-FW-030-BASIC</x:t>
  </x:si>
  <x:si>
    <x:t xml:space="preserve">MB_CMD_ID_AUTH</x:t>
  </x:si>
  <x:si>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</x:t>
    </x:r>
    <x:r>
      <x:rPr>
        <x:sz val="1000"/>
        <x:color rgb="FF1F2937"/>
        <x:rFont val="Noto Sans CJK SC"/>
        <x:family val="2"/>
      </x:rPr>
      <x:t xml:space="preserve">：</x:t>
    </x:r>
    <x:r>
      <x:rPr>
        <x:sz val="1000"/>
        <x:color rgb="FF1F2937"/>
        <x:rFont val="Calibri"/>
      </x:rPr>
      <x:t xml:space="preserve">auth</x:t>
    </x:r>
  </x:si>
  <x:si>
    <x:t xml:space="preserve">MB-FW-031-BASIC</x:t>
  </x:si>
  <x:si>
    <x:t xml:space="preserve">security_case_mb_fw_031_basic()</x:t>
  </x:si>
  <x:si>
    <x:t xml:space="preserve">security_test run MB-FW-031-BASIC</x:t>
  </x:si>
  <x:si>
    <x:t xml:space="preserve">MB_CMD_ID_FW_UPGRADE</x:t>
  </x:si>
  <x:si>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</x:t>
    </x:r>
    <x:r>
      <x:rPr>
        <x:sz val="1000"/>
        <x:color rgb="FF1F2937"/>
        <x:rFont val="Noto Sans CJK SC"/>
        <x:family val="2"/>
      </x:rPr>
      <x:t xml:space="preserve">：</x:t>
    </x:r>
    <x:r>
      <x:rPr>
        <x:sz val="1000"/>
        <x:color rgb="FF1F2937"/>
        <x:rFont val="Calibri"/>
      </x:rPr>
      <x:t xml:space="preserve">fw_upgrade</x:t>
    </x:r>
  </x:si>
  <x:si>
    <x:t xml:space="preserve">MB-FW-033-BASIC</x:t>
  </x:si>
  <x:si>
    <x:t xml:space="preserve">security_case_mb_fw_033_basic()</x:t>
  </x:si>
  <x:si>
    <x:t xml:space="preserve">security_test run MB-FW-033-BASIC</x:t>
  </x:si>
  <x:si>
    <x:t xml:space="preserve">MB_CMD_ID_SOC_VERIFY</x:t>
  </x:si>
  <x:si>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</x:t>
    </x:r>
    <x:r>
      <x:rPr>
        <x:sz val="1000"/>
        <x:color rgb="FF1F2937"/>
        <x:rFont val="Noto Sans CJK SC"/>
        <x:family val="2"/>
      </x:rPr>
      <x:t xml:space="preserve">：</x:t>
    </x:r>
    <x:r>
      <x:rPr>
        <x:sz val="1000"/>
        <x:color rgb="FF1F2937"/>
        <x:rFont val="Calibri"/>
      </x:rPr>
      <x:t xml:space="preserve">soc_verify</x:t>
    </x:r>
  </x:si>
  <x:si>
    <x:t xml:space="preserve">MB-FW-034-BASIC</x:t>
  </x:si>
  <x:si>
    <x:t xml:space="preserve">security_case_mb_fw_034_basic()</x:t>
  </x:si>
  <x:si>
    <x:t xml:space="preserve">security_test run MB-FW-034-BASIC</x:t>
  </x:si>
  <x:si>
    <x:t xml:space="preserve">MB_CMD_ID_INSTALL_RANDOM_KEY</x:t>
  </x:si>
  <x:si>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</x:t>
    </x:r>
    <x:r>
      <x:rPr>
        <x:sz val="1000"/>
        <x:color rgb="FF1F2937"/>
        <x:rFont val="Noto Sans CJK SC"/>
        <x:family val="2"/>
      </x:rPr>
      <x:t xml:space="preserve">：</x:t>
    </x:r>
    <x:r>
      <x:rPr>
        <x:sz val="1000"/>
        <x:color rgb="FF1F2937"/>
        <x:rFont val="Calibri"/>
      </x:rPr>
      <x:t xml:space="preserve">install_random_key</x:t>
    </x:r>
  </x:si>
  <x:si>
    <x:t xml:space="preserve">MB-FW-035-BASIC</x:t>
  </x:si>
  <x:si>
    <x:t xml:space="preserve">security_case_mb_fw_035_basic()</x:t>
  </x:si>
  <x:si>
    <x:t xml:space="preserve">security_test run MB-FW-035-BASIC</x:t>
  </x:si>
  <x:si>
    <x:t xml:space="preserve">MB_CMD_ID_INSTALL_ENCRYPT_KEY</x:t>
  </x:si>
  <x:si>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</x:t>
    </x:r>
    <x:r>
      <x:rPr>
        <x:sz val="1000"/>
        <x:color rgb="FF1F2937"/>
        <x:rFont val="Noto Sans CJK SC"/>
        <x:family val="2"/>
      </x:rPr>
      <x:t xml:space="preserve">：</x:t>
    </x:r>
    <x:r>
      <x:rPr>
        <x:sz val="1000"/>
        <x:color rgb="FF1F2937"/>
        <x:rFont val="Calibri"/>
      </x:rPr>
      <x:t xml:space="preserve">install_encrypt_key</x:t>
    </x:r>
  </x:si>
  <x:si>
    <x:t xml:space="preserve">MB-FW-036-BASIC</x:t>
  </x:si>
  <x:si>
    <x:t xml:space="preserve">security_case_mb_fw_036_basic()</x:t>
  </x:si>
  <x:si>
    <x:t xml:space="preserve">security_test run MB-FW-036-BASIC</x:t>
  </x:si>
  <x:si>
    <x:t xml:space="preserve">MB_CMD_ID_CLOSE_DEBUG</x:t>
  </x:si>
  <x:si>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</x:t>
    </x:r>
    <x:r>
      <x:rPr>
        <x:sz val="1000"/>
        <x:color rgb="FF1F2937"/>
        <x:rFont val="Noto Sans CJK SC"/>
        <x:family val="2"/>
      </x:rPr>
      <x:t xml:space="preserve">：</x:t>
    </x:r>
    <x:r>
      <x:rPr>
        <x:sz val="1000"/>
        <x:color rgb="FF1F2937"/>
        <x:rFont val="Calibri"/>
      </x:rPr>
      <x:t xml:space="preserve">close_debug</x:t>
    </x:r>
  </x:si>
  <x:si>
    <x:t xml:space="preserve">MB-FW-032-BASIC</x:t>
  </x:si>
  <x:si>
    <x:t xml:space="preserve">security_case_mb_fw_032_basic()</x:t>
  </x:si>
  <x:si>
    <x:t xml:space="preserve">security_test run MB-FW-032-BASIC</x:t>
  </x:si>
  <x:si>
    <x:t xml:space="preserve">MB_CMD_ID_EHSM_READ_VER</x:t>
  </x:si>
  <x:si>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</x:t>
    </x:r>
    <x:r>
      <x:rPr>
        <x:sz val="1000"/>
        <x:color rgb="FF1F2937"/>
        <x:rFont val="Noto Sans CJK SC"/>
        <x:family val="2"/>
      </x:rPr>
      <x:t xml:space="preserve">：</x:t>
    </x:r>
    <x:r>
      <x:rPr>
        <x:sz val="1000"/>
        <x:color rgb="FF1F2937"/>
        <x:rFont val="Calibri"/>
      </x:rPr>
      <x:t xml:space="preserve">ehsm_read_ver</x:t>
    </x:r>
  </x:si>
  <x:si>
    <x:t xml:space="preserve">MB-FW-043-BASIC</x:t>
  </x:si>
  <x:si>
    <x:t xml:space="preserve">security_case_mb_fw_043_basic()</x:t>
  </x:si>
  <x:si>
    <x:t xml:space="preserve">security_test run MB-FW-043-BASIC</x:t>
  </x:si>
  <x:si>
    <x:t xml:space="preserve">MB_CMD_ID_FW_REG_WR</x:t>
  </x:si>
  <x:si>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</x:t>
    </x:r>
    <x:r>
      <x:rPr>
        <x:sz val="1000"/>
        <x:color rgb="FF1F2937"/>
        <x:rFont val="Noto Sans CJK SC"/>
        <x:family val="2"/>
      </x:rPr>
      <x:t xml:space="preserve">：</x:t>
    </x:r>
    <x:r>
      <x:rPr>
        <x:sz val="1000"/>
        <x:color rgb="FF1F2937"/>
        <x:rFont val="Calibri"/>
      </x:rPr>
      <x:t xml:space="preserve">fw_reg_wr</x:t>
    </x:r>
  </x:si>
  <x:si>
    <x:t xml:space="preserve">MB-FW-041-BASIC</x:t>
  </x:si>
  <x:si>
    <x:t xml:space="preserve">security_case_mb_fw_041_basic()</x:t>
  </x:si>
  <x:si>
    <x:t xml:space="preserve">security_test run MB-FW-041-BASIC</x:t>
  </x:si>
  <x:si>
    <x:t xml:space="preserve">MB_CMD_ID_FW_REG_RD</x:t>
  </x:si>
  <x:si>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</x:t>
    </x:r>
    <x:r>
      <x:rPr>
        <x:sz val="1000"/>
        <x:color rgb="FF1F2937"/>
        <x:rFont val="Noto Sans CJK SC"/>
        <x:family val="2"/>
      </x:rPr>
      <x:t xml:space="preserve">：</x:t>
    </x:r>
    <x:r>
      <x:rPr>
        <x:sz val="1000"/>
        <x:color rgb="FF1F2937"/>
        <x:rFont val="Calibri"/>
      </x:rPr>
      <x:t xml:space="preserve">fw_reg_rd</x:t>
    </x:r>
  </x:si>
  <x:si>
    <x:t xml:space="preserve">MB-FW-042-BASIC</x:t>
  </x:si>
  <x:si>
    <x:t xml:space="preserve">security_case_mb_fw_042_basic()</x:t>
  </x:si>
  <x:si>
    <x:t xml:space="preserve">security_test run MB-FW-042-BASIC</x:t>
  </x:si>
  <x:si>
    <x:t xml:space="preserve">0xff26 (hex)</x:t>
  </x:si>
  <x:si>
    <x:t xml:space="preserve">MB_CMD_ID_ENTER_WFI</x:t>
  </x:si>
  <x:si>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</x:t>
    </x:r>
    <x:r>
      <x:rPr>
        <x:sz val="1000"/>
        <x:color rgb="FF1F2937"/>
        <x:rFont val="Noto Sans CJK SC"/>
        <x:family val="2"/>
      </x:rPr>
      <x:t xml:space="preserve">：</x:t>
    </x:r>
    <x:r>
      <x:rPr>
        <x:sz val="1000"/>
        <x:color rgb="FF1F2937"/>
        <x:rFont val="Calibri"/>
      </x:rPr>
      <x:t xml:space="preserve">enter_wfi</x:t>
    </x:r>
  </x:si>
  <x:si>
    <x:t xml:space="preserve">MB-FW-044-BASIC</x:t>
  </x:si>
  <x:si>
    <x:t xml:space="preserve">security_case_mb_fw_044_basic()</x:t>
  </x:si>
  <x:si>
    <x:t xml:space="preserve">security_test run MB-FW-044-BASIC</x:t>
  </x:si>
  <x:si>
    <x:t xml:space="preserve">0xfffe (hex)</x:t>
  </x:si>
  <x:si>
    <x:t xml:space="preserve">MB_CMD_ID_OTP_WRITE_FOR_TEST</x:t>
  </x:si>
  <x:si>
    <x:t xml:space="preserve">TARGET_TEST_ONLY</x:t>
  </x:si>
  <x:si>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</x:t>
    </x:r>
    <x:r>
      <x:rPr>
        <x:sz val="1000"/>
        <x:color rgb="FF1F2937"/>
        <x:rFont val="Noto Sans CJK SC"/>
        <x:family val="2"/>
      </x:rPr>
      <x:t xml:space="preserve">：</x:t>
    </x:r>
    <x:r>
      <x:rPr>
        <x:sz val="1000"/>
        <x:color rgb="FF1F2937"/>
        <x:rFont val="Calibri"/>
      </x:rPr>
      <x:t xml:space="preserve">otp_write_for_test</x:t>
    </x:r>
  </x:si>
  <x:si>
    <x:t xml:space="preserve">MB-FW-052-BASIC</x:t>
  </x:si>
  <x:si>
    <x:t xml:space="preserve">security_case_mb_fw_052_basic()</x:t>
  </x:si>
  <x:si>
    <x:t xml:space="preserve">security_test run MB-FW-052-BASIC</x:t>
  </x:si>
  <x:si>
    <x:t xml:space="preserve">HOST_HEADER_ONLY_CANDIDATE</x:t>
  </x:si>
  <x:si>
    <x:t xml:space="preserve">0x0003 (hex)</x:t>
  </x:si>
  <x:si>
    <x:t xml:space="preserve">MB_CMD_ID_SET_UTC_TIME</x:t>
  </x:si>
  <x:si>
    <x:r>
      <x:rPr>
        <x:sz val="1000"/>
        <x:color rgb="FF1F2937"/>
        <x:rFont val="Noto Sans CJK SC"/>
        <x:family val="2"/>
      </x:rPr>
      <x:t xml:space="preserve">计数器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时间</x:t>
    </x:r>
  </x:si>
  <x:si>
    <x:t xml:space="preserve">SCOPE_UNCONFIRMED</x:t>
  </x:si>
  <x:si>
    <x:t xml:space="preserve">NEEDS_PROFILE_CONFIRMATION</x:t>
  </x:si>
  <x:si>
    <x:t xml:space="preserve">ASSUMPTION</x:t>
  </x:si>
  <x:si>
    <x:t xml:space="preserve">NOT_PLANNED</x:t>
  </x:si>
  <x:si>
    <x:t xml:space="preserve">N/A_UNTIL_APPLICABLE</x:t>
  </x:si>
  <x:si>
    <x:t xml:space="preserve">UNKNOWN</x:t>
  </x:si>
  <x:si>
    <x:t xml:space="preserve">NOT_IN_SCOPE</x:t>
  </x:si>
  <x:si>
    <x:t xml:space="preserve">eHSM Host 2.3.1-4019-2ee044d/src/mb.h</x:t>
  </x:si>
  <x:si>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</x:t>
    </x:r>
    <x:r>
      <x:rPr>
        <x:sz val="1000"/>
        <x:color rgb="FF1F2937"/>
        <x:rFont val="Noto Sans CJK SC"/>
        <x:family val="2"/>
      </x:rPr>
      <x:t xml:space="preserve">：</x:t>
    </x:r>
    <x:r>
      <x:rPr>
        <x:sz val="1000"/>
        <x:color rgb="FF1F2937"/>
        <x:rFont val="Calibri"/>
      </x:rPr>
      <x:t xml:space="preserve">set_utc_time</x:t>
    </x:r>
  </x:si>
  <x:si>
    <x:t xml:space="preserve">NOT_PLANNED_HOST_ONLY</x:t>
  </x:si>
  <x:si>
    <x:t xml:space="preserve">NOT_BUILT</x:t>
  </x:si>
  <x:si>
    <x:t xml:space="preserve">NOT_APPLICABLE</x:t>
  </x:si>
  <x:si>
    <x:t xml:space="preserve">0x0004 (hex)</x:t>
  </x:si>
  <x:si>
    <x:t xml:space="preserve">MB_CMD_ID_GET_UTC_TIME</x:t>
  </x:si>
  <x:si>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</x:t>
    </x:r>
    <x:r>
      <x:rPr>
        <x:sz val="1000"/>
        <x:color rgb="FF1F2937"/>
        <x:rFont val="Noto Sans CJK SC"/>
        <x:family val="2"/>
      </x:rPr>
      <x:t xml:space="preserve">：</x:t>
    </x:r>
    <x:r>
      <x:rPr>
        <x:sz val="1000"/>
        <x:color rgb="FF1F2937"/>
        <x:rFont val="Calibri"/>
      </x:rPr>
      <x:t xml:space="preserve">get_utc_time</x:t>
    </x:r>
  </x:si>
  <x:si>
    <x:t xml:space="preserve">0x0010 (hex)</x:t>
  </x:si>
  <x:si>
    <x:t xml:space="preserve">MB_CMD_ID_CREATE_COUNTER</x:t>
  </x:si>
  <x:si>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</x:t>
    </x:r>
    <x:r>
      <x:rPr>
        <x:sz val="1000"/>
        <x:color rgb="FF1F2937"/>
        <x:rFont val="Noto Sans CJK SC"/>
        <x:family val="2"/>
      </x:rPr>
      <x:t xml:space="preserve">：</x:t>
    </x:r>
    <x:r>
      <x:rPr>
        <x:sz val="1000"/>
        <x:color rgb="FF1F2937"/>
        <x:rFont val="Calibri"/>
      </x:rPr>
      <x:t xml:space="preserve">create_counter</x:t>
    </x:r>
  </x:si>
  <x:si>
    <x:t xml:space="preserve">0x0011 (hex)</x:t>
  </x:si>
  <x:si>
    <x:t xml:space="preserve">MB_CMD_ID_READ_COUNTER</x:t>
  </x:si>
  <x:si>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</x:t>
    </x:r>
    <x:r>
      <x:rPr>
        <x:sz val="1000"/>
        <x:color rgb="FF1F2937"/>
        <x:rFont val="Noto Sans CJK SC"/>
        <x:family val="2"/>
      </x:rPr>
      <x:t xml:space="preserve">：</x:t>
    </x:r>
    <x:r>
      <x:rPr>
        <x:sz val="1000"/>
        <x:color rgb="FF1F2937"/>
        <x:rFont val="Calibri"/>
      </x:rPr>
      <x:t xml:space="preserve">read_counter</x:t>
    </x:r>
  </x:si>
  <x:si>
    <x:t xml:space="preserve">0x0012 (hex)</x:t>
  </x:si>
  <x:si>
    <x:t xml:space="preserve">MB_CMD_ID_INCREASE_COUNTER_VALUE</x:t>
  </x:si>
  <x:si>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</x:t>
    </x:r>
    <x:r>
      <x:rPr>
        <x:sz val="1000"/>
        <x:color rgb="FF1F2937"/>
        <x:rFont val="Noto Sans CJK SC"/>
        <x:family val="2"/>
      </x:rPr>
      <x:t xml:space="preserve">：</x:t>
    </x:r>
    <x:r>
      <x:rPr>
        <x:sz val="1000"/>
        <x:color rgb="FF1F2937"/>
        <x:rFont val="Calibri"/>
      </x:rPr>
      <x:t xml:space="preserve">increase_counter_value</x:t>
    </x:r>
  </x:si>
  <x:si>
    <x:t xml:space="preserve">0x0013 (hex)</x:t>
  </x:si>
  <x:si>
    <x:t xml:space="preserve">MB_CMD_ID_DELETE_COUNTER</x:t>
  </x:si>
  <x:si>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</x:t>
    </x:r>
    <x:r>
      <x:rPr>
        <x:sz val="1000"/>
        <x:color rgb="FF1F2937"/>
        <x:rFont val="Noto Sans CJK SC"/>
        <x:family val="2"/>
      </x:rPr>
      <x:t xml:space="preserve">：</x:t>
    </x:r>
    <x:r>
      <x:rPr>
        <x:sz val="1000"/>
        <x:color rgb="FF1F2937"/>
        <x:rFont val="Calibri"/>
      </x:rPr>
      <x:t xml:space="preserve">delete_counter</x:t>
    </x:r>
  </x:si>
  <x:si>
    <x:t xml:space="preserve">0x0040 (hex)</x:t>
  </x:si>
  <x:si>
    <x:t xml:space="preserve">MB_CMD_ID_SHE_GET_STATUS</x:t>
  </x:si>
  <x:si>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</x:t>
    </x:r>
    <x:r>
      <x:rPr>
        <x:sz val="1000"/>
        <x:color rgb="FF1F2937"/>
        <x:rFont val="Noto Sans CJK SC"/>
        <x:family val="2"/>
      </x:rPr>
      <x:t xml:space="preserve">：</x:t>
    </x:r>
    <x:r>
      <x:rPr>
        <x:sz val="1000"/>
        <x:color rgb="FF1F2937"/>
        <x:rFont val="Calibri"/>
      </x:rPr>
      <x:t xml:space="preserve">she_get_status</x:t>
    </x:r>
  </x:si>
  <x:si>
    <x:t xml:space="preserve">0x0060 (hex)</x:t>
  </x:si>
  <x:si>
    <x:t xml:space="preserve">MB_CMD_ID_SHE_GET_ID</x:t>
  </x:si>
  <x:si>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</x:t>
    </x:r>
    <x:r>
      <x:rPr>
        <x:sz val="1000"/>
        <x:color rgb="FF1F2937"/>
        <x:rFont val="Noto Sans CJK SC"/>
        <x:family val="2"/>
      </x:rPr>
      <x:t xml:space="preserve">：</x:t>
    </x:r>
    <x:r>
      <x:rPr>
        <x:sz val="1000"/>
        <x:color rgb="FF1F2937"/>
        <x:rFont val="Calibri"/>
      </x:rPr>
      <x:t xml:space="preserve">she_get_id</x:t>
    </x:r>
  </x:si>
  <x:si>
    <x:t xml:space="preserve">0x0104 (hex)</x:t>
  </x:si>
  <x:si>
    <x:t xml:space="preserve">MB_CMD_ID_CHACHA_CIPHER</x:t>
  </x:si>
  <x:si>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</x:t>
    </x:r>
    <x:r>
      <x:rPr>
        <x:sz val="1000"/>
        <x:color rgb="FF1F2937"/>
        <x:rFont val="Noto Sans CJK SC"/>
        <x:family val="2"/>
      </x:rPr>
      <x:t xml:space="preserve">：</x:t>
    </x:r>
    <x:r>
      <x:rPr>
        <x:sz val="1000"/>
        <x:color rgb="FF1F2937"/>
        <x:rFont val="Calibri"/>
      </x:rPr>
      <x:t xml:space="preserve">chacha_cipher</x:t>
    </x:r>
  </x:si>
  <x:si>
    <x:t xml:space="preserve">0x0701 (hex)</x:t>
  </x:si>
  <x:si>
    <x:t xml:space="preserve">MB_CMD_ID_SM9_CIPHER</x:t>
  </x:si>
  <x:si>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</x:t>
    </x:r>
    <x:r>
      <x:rPr>
        <x:sz val="1000"/>
        <x:color rgb="FF1F2937"/>
        <x:rFont val="Noto Sans CJK SC"/>
        <x:family val="2"/>
      </x:rPr>
      <x:t xml:space="preserve">：</x:t>
    </x:r>
    <x:r>
      <x:rPr>
        <x:sz val="1000"/>
        <x:color rgb="FF1F2937"/>
        <x:rFont val="Calibri"/>
      </x:rPr>
      <x:t xml:space="preserve">sm9_cipher</x:t>
    </x:r>
  </x:si>
  <x:si>
    <x:t xml:space="preserve">0x0702 (hex)</x:t>
  </x:si>
  <x:si>
    <x:t xml:space="preserve">MB_CMD_ID_SM9_SIGN</x:t>
  </x:si>
  <x:si>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</x:t>
    </x:r>
    <x:r>
      <x:rPr>
        <x:sz val="1000"/>
        <x:color rgb="FF1F2937"/>
        <x:rFont val="Noto Sans CJK SC"/>
        <x:family val="2"/>
      </x:rPr>
      <x:t xml:space="preserve">：</x:t>
    </x:r>
    <x:r>
      <x:rPr>
        <x:sz val="1000"/>
        <x:color rgb="FF1F2937"/>
        <x:rFont val="Calibri"/>
      </x:rPr>
      <x:t xml:space="preserve">sm9_sign</x:t>
    </x:r>
  </x:si>
  <x:si>
    <x:t xml:space="preserve">0x070c (hex)</x:t>
  </x:si>
  <x:si>
    <x:t xml:space="preserve">MB_CMD_ID_EHSM_SM9_EXCHG_KEY</x:t>
  </x:si>
  <x:si>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</x:t>
    </x:r>
    <x:r>
      <x:rPr>
        <x:sz val="1000"/>
        <x:color rgb="FF1F2937"/>
        <x:rFont val="Noto Sans CJK SC"/>
        <x:family val="2"/>
      </x:rPr>
      <x:t xml:space="preserve">：</x:t>
    </x:r>
    <x:r>
      <x:rPr>
        <x:sz val="1000"/>
        <x:color rgb="FF1F2937"/>
        <x:rFont val="Calibri"/>
      </x:rPr>
      <x:t xml:space="preserve">ehsm_sm9_exchg_key</x:t>
    </x:r>
  </x:si>
  <x:si>
    <x:t xml:space="preserve">0x0808 (hex)</x:t>
  </x:si>
  <x:si>
    <x:t xml:space="preserve">MB_CMD_ID_EHSM_SHE_LOAD_KEY_CMD</x:t>
  </x:si>
  <x:si>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</x:t>
    </x:r>
    <x:r>
      <x:rPr>
        <x:sz val="1000"/>
        <x:color rgb="FF1F2937"/>
        <x:rFont val="Noto Sans CJK SC"/>
        <x:family val="2"/>
      </x:rPr>
      <x:t xml:space="preserve">：</x:t>
    </x:r>
    <x:r>
      <x:rPr>
        <x:sz val="1000"/>
        <x:color rgb="FF1F2937"/>
        <x:rFont val="Calibri"/>
      </x:rPr>
      <x:t xml:space="preserve">ehsm_she_load_key_cmd</x:t>
    </x:r>
  </x:si>
  <x:si>
    <x:t xml:space="preserve">0x0809 (hex)</x:t>
  </x:si>
  <x:si>
    <x:t xml:space="preserve">MB_CMD_ID_EHSM_SHE_LOAD_PLAIN_KEY_CMD</x:t>
  </x:si>
  <x:si>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</x:t>
    </x:r>
    <x:r>
      <x:rPr>
        <x:sz val="1000"/>
        <x:color rgb="FF1F2937"/>
        <x:rFont val="Noto Sans CJK SC"/>
        <x:family val="2"/>
      </x:rPr>
      <x:t xml:space="preserve">：</x:t>
    </x:r>
    <x:r>
      <x:rPr>
        <x:sz val="1000"/>
        <x:color rgb="FF1F2937"/>
        <x:rFont val="Calibri"/>
      </x:rPr>
      <x:t xml:space="preserve">ehsm_she_load_plain_key_cmd</x:t>
    </x:r>
  </x:si>
  <x:si>
    <x:t xml:space="preserve">0x080a (hex)</x:t>
  </x:si>
  <x:si>
    <x:t xml:space="preserve">MB_CMD_ID_EHSM_SHE_RAM_KEY_EXPORT_CMD</x:t>
  </x:si>
  <x:si>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</x:t>
    </x:r>
    <x:r>
      <x:rPr>
        <x:sz val="1000"/>
        <x:color rgb="FF1F2937"/>
        <x:rFont val="Noto Sans CJK SC"/>
        <x:family val="2"/>
      </x:rPr>
      <x:t xml:space="preserve">：</x:t>
    </x:r>
    <x:r>
      <x:rPr>
        <x:sz val="1000"/>
        <x:color rgb="FF1F2937"/>
        <x:rFont val="Calibri"/>
      </x:rPr>
      <x:t xml:space="preserve">ehsm_she_ram_key_export_cmd</x:t>
    </x:r>
  </x:si>
  <x:si>
    <x:t xml:space="preserve">0x0820 (hex)</x:t>
  </x:si>
  <x:si>
    <x:t xml:space="preserve">MB_CMD_ID_EHSM_SHE_EXPORT_TOTAL_NVM_KEYS</x:t>
  </x:si>
  <x:si>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</x:t>
    </x:r>
    <x:r>
      <x:rPr>
        <x:sz val="1000"/>
        <x:color rgb="FF1F2937"/>
        <x:rFont val="Noto Sans CJK SC"/>
        <x:family val="2"/>
      </x:rPr>
      <x:t xml:space="preserve">：</x:t>
    </x:r>
    <x:r>
      <x:rPr>
        <x:sz val="1000"/>
        <x:color rgb="FF1F2937"/>
        <x:rFont val="Calibri"/>
      </x:rPr>
      <x:t xml:space="preserve">ehsm_she_export_total_nvm_keys</x:t>
    </x:r>
  </x:si>
  <x:si>
    <x:t xml:space="preserve">0x0821 (hex)</x:t>
  </x:si>
  <x:si>
    <x:t xml:space="preserve">MB_CMD_ID_EHSM_SHE_IMPORT_TOTAL_NVM_KEYS</x:t>
  </x:si>
  <x:si>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</x:t>
    </x:r>
    <x:r>
      <x:rPr>
        <x:sz val="1000"/>
        <x:color rgb="FF1F2937"/>
        <x:rFont val="Noto Sans CJK SC"/>
        <x:family val="2"/>
      </x:rPr>
      <x:t xml:space="preserve">：</x:t>
    </x:r>
    <x:r>
      <x:rPr>
        <x:sz val="1000"/>
        <x:color rgb="FF1F2937"/>
        <x:rFont val="Calibri"/>
      </x:rPr>
      <x:t xml:space="preserve">ehsm_she_import_total_nvm_keys</x:t>
    </x:r>
  </x:si>
  <x:si>
    <x:t xml:space="preserve">MB_CMD_ID_DEBUG_AUTH</x:t>
  </x:si>
  <x:si>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</x:t>
    </x:r>
    <x:r>
      <x:rPr>
        <x:sz val="1000"/>
        <x:color rgb="FF1F2937"/>
        <x:rFont val="Noto Sans CJK SC"/>
        <x:family val="2"/>
      </x:rPr>
      <x:t xml:space="preserve">：</x:t>
    </x:r>
    <x:r>
      <x:rPr>
        <x:sz val="1000"/>
        <x:color rgb="FF1F2937"/>
        <x:rFont val="Calibri"/>
      </x:rPr>
      <x:t xml:space="preserve">debug_auth</x:t>
    </x:r>
  </x:si>
  <x:si>
    <x:r>
      <x:rPr>
        <x:b/>
        <x:sz val="1600"/>
        <x:color rgb="FFFFFFFF"/>
        <x:rFont val="Calibri"/>
      </x:rPr>
      <x:t xml:space="preserve">Mailbox</x:t>
    </x:r>
    <x:r>
      <x:rPr>
        <x:b/>
        <x:sz val="1600"/>
        <x:color rgb="FFFFFFFF"/>
        <x:rFont val="Noto Sans CJK SC"/>
        <x:family val="2"/>
      </x:rPr>
      <x:t xml:space="preserve">基本功能（</x:t>
    </x:r>
    <x:r>
      <x:rPr>
        <x:b/>
        <x:sz val="1600"/>
        <x:color rgb="FFFFFFFF"/>
        <x:rFont val="Calibri"/>
      </x:rPr>
      <x:t xml:space="preserve">BASIC</x:t>
    </x:r>
    <x:r>
      <x:rPr>
        <x:b/>
        <x:sz val="1600"/>
        <x:color rgb="FFFFFFFF"/>
        <x:rFont val="Noto Sans CJK SC"/>
        <x:family val="2"/>
      </x:rPr>
      <x:t xml:space="preserve">）与</x:t>
    </x:r>
    <x:r>
      <x:rPr>
        <x:b/>
        <x:sz val="1600"/>
        <x:color rgb="FFFFFFFF"/>
        <x:rFont val="Calibri"/>
      </x:rPr>
      <x:t xml:space="preserve">eHSM</x:t>
    </x:r>
    <x:r>
      <x:rPr>
        <x:b/>
        <x:sz val="1600"/>
        <x:color rgb="FFFFFFFF"/>
        <x:rFont val="Noto Sans CJK SC"/>
        <x:family val="2"/>
      </x:rPr>
      <x:t xml:space="preserve">负向测试用例</x:t>
    </x:r>
  </x:si>
  <x:si>
    <x:r>
      <x:rPr>
        <x:b/>
        <x:sz val="1100"/>
        <x:color rgb="FFFFFFFF"/>
        <x:rFont val="Noto Sans CJK SC"/>
        <x:family val="2"/>
      </x:rPr>
      <x:t xml:space="preserve">用例 </x:t>
    </x:r>
    <x:r>
      <x:rPr>
        <x:b/>
        <x:sz val="1100"/>
        <x:color rgb="FFFFFFFF"/>
        <x:rFont val="Calibri"/>
      </x:rPr>
      <x:t xml:space="preserve">ID</x:t>
    </x:r>
  </x:si>
  <x:si>
    <x:t xml:space="preserve">用例类型</x:t>
  </x:si>
  <x:si>
    <x:t xml:space="preserve">覆盖范围</x:t>
  </x:si>
  <x:si>
    <x:r>
      <x:rPr>
        <x:b/>
        <x:sz val="1100"/>
        <x:color rgb="FFFFFFFF"/>
        <x:rFont val="Noto Sans CJK SC"/>
        <x:family val="2"/>
      </x:rPr>
      <x:t xml:space="preserve">命令</x:t>
    </x:r>
    <x:r>
      <x:rPr>
        <x:b/>
        <x:sz val="1100"/>
        <x:color rgb="FFFFFFFF"/>
        <x:rFont val="Calibri"/>
      </x:rPr>
      <x:t xml:space="preserve">/</x:t>
    </x:r>
    <x:r>
      <x:rPr>
        <x:b/>
        <x:sz val="1100"/>
        <x:color rgb="FFFFFFFF"/>
        <x:rFont val="Noto Sans CJK SC"/>
        <x:family val="2"/>
      </x:rPr>
      <x:t xml:space="preserve">适用命令</x:t>
    </x:r>
  </x:si>
  <x:si>
    <x:r>
      <x:rPr>
        <x:b/>
        <x:sz val="1100"/>
        <x:color rgb="FFFFFFFF"/>
        <x:rFont val="Noto Sans CJK SC"/>
        <x:family val="2"/>
      </x:rPr>
      <x:t xml:space="preserve">测试点</x:t>
    </x:r>
    <x:r>
      <x:rPr>
        <x:b/>
        <x:sz val="1100"/>
        <x:color rgb="FFFFFFFF"/>
        <x:rFont val="Calibri"/>
      </x:rPr>
      <x:t xml:space="preserve">/</x:t>
    </x:r>
    <x:r>
      <x:rPr>
        <x:b/>
        <x:sz val="1100"/>
        <x:color rgb="FFFFFFFF"/>
        <x:rFont val="Noto Sans CJK SC"/>
        <x:family val="2"/>
      </x:rPr>
      <x:t xml:space="preserve">参数化输入策略</x:t>
    </x:r>
  </x:si>
  <x:si>
    <x:t xml:space="preserve">目标</x:t>
  </x:si>
  <x:si>
    <x:t xml:space="preserve">必要性</x:t>
  </x:si>
  <x:si>
    <x:t xml:space="preserve">前置条件</x:t>
  </x:si>
  <x:si>
    <x:t xml:space="preserve">步骤</x:t>
  </x:si>
  <x:si>
    <x:r>
      <x:rPr>
        <x:b/>
        <x:sz val="1100"/>
        <x:color rgb="FFFFFFFF"/>
        <x:rFont val="Noto Sans CJK SC"/>
        <x:family val="2"/>
      </x:rPr>
      <x:t xml:space="preserve">输入</x:t>
    </x:r>
    <x:r>
      <x:rPr>
        <x:b/>
        <x:sz val="1100"/>
        <x:color rgb="FFFFFFFF"/>
        <x:rFont val="Calibri"/>
      </x:rPr>
      <x:t xml:space="preserve">/</x:t>
    </x:r>
    <x:r>
      <x:rPr>
        <x:b/>
        <x:sz val="1100"/>
        <x:color rgb="FFFFFFFF"/>
        <x:rFont val="Noto Sans CJK SC"/>
        <x:family val="2"/>
      </x:rPr>
      <x:t xml:space="preserve">激励</x:t>
    </x:r>
  </x:si>
  <x:si>
    <x:t xml:space="preserve">预期结果</x:t>
  </x:si>
  <x:si>
    <x:t xml:space="preserve">安全判据</x:t>
  </x:si>
  <x:si>
    <x:t xml:space="preserve">优先级</x:t>
  </x:si>
  <x:si>
    <x:t xml:space="preserve">验证层级</x:t>
  </x:si>
  <x:si>
    <x:t xml:space="preserve">波次</x:t>
  </x:si>
  <x:si>
    <x:t xml:space="preserve">责任人</x:t>
  </x:si>
  <x:si>
    <x:t xml:space="preserve">执行方式</x:t>
  </x:si>
  <x:si>
    <x:t xml:space="preserve">准入门禁</x:t>
  </x:si>
  <x:si>
    <x:r>
      <x:rPr>
        <x:b/>
        <x:sz val="1100"/>
        <x:color rgb="FFFFFFFF"/>
        <x:rFont val="Noto Sans CJK SC"/>
        <x:family val="2"/>
      </x:rPr>
      <x:t xml:space="preserve">遗留项</x:t>
    </x:r>
    <x:r>
      <x:rPr>
        <x:b/>
        <x:sz val="1100"/>
        <x:color rgb="FFFFFFFF"/>
        <x:rFont val="Calibri"/>
      </x:rPr>
      <x:t xml:space="preserve">ID/</x:t>
    </x:r>
    <x:r>
      <x:rPr>
        <x:b/>
        <x:sz val="1100"/>
        <x:color rgb="FFFFFFFF"/>
        <x:rFont val="Noto Sans CJK SC"/>
        <x:family val="2"/>
      </x:rPr>
      <x:t xml:space="preserve">说明</x:t>
    </x:r>
  </x:si>
  <x:si>
    <x:t xml:space="preserve">COMMAND</x:t>
  </x:si>
  <x:si>
    <x:r>
      <x:rPr>
        <x:sz val="1000"/>
        <x:color rgb="FF1F2937"/>
        <x:rFont val="Noto Sans CJK SC"/>
        <x:family val="2"/>
      </x:rPr>
      <x:t xml:space="preserve">读取</x:t>
    </x:r>
    <x:r>
      <x:rPr>
        <x:sz val="1000"/>
        <x:color rgb="FF1F2937"/>
        <x:rFont val="Calibri"/>
      </x:rPr>
      <x:t xml:space="preserve">eHSM BL</x:t>
    </x:r>
    <x:r>
      <x:rPr>
        <x:sz val="1000"/>
        <x:color rgb="FF1F2937"/>
        <x:rFont val="Noto Sans CJK SC"/>
        <x:family val="2"/>
      </x:rPr>
      <x:t xml:space="preserve">版本；检查真实</x:t>
    </x:r>
    <x:r>
      <x:rPr>
        <x:sz val="1000"/>
        <x:color rgb="FF1F2937"/>
        <x:rFont val="Calibri"/>
      </x:rPr>
      <x:t xml:space="preserve">typed API</x:t>
    </x:r>
    <x:r>
      <x:rPr>
        <x:sz val="1000"/>
        <x:color rgb="FF1F2937"/>
        <x:rFont val="Noto Sans CJK SC"/>
        <x:family val="2"/>
      </x:rPr>
      <x:t xml:space="preserve">返回、版本输出和</x:t>
    </x:r>
    <x:r>
      <x:rPr>
        <x:sz val="1000"/>
        <x:color rgb="FF1F2937"/>
        <x:rFont val="Calibri"/>
      </x:rPr>
      <x:t xml:space="preserve">BL</x:t>
    </x:r>
    <x:r>
      <x:rPr>
        <x:sz val="1000"/>
        <x:color rgb="FF1F2937"/>
        <x:rFont val="Noto Sans CJK SC"/>
        <x:family val="2"/>
      </x:rPr>
      <x:t xml:space="preserve">阶段连续事务</x:t>
    </x:r>
  </x:si>
  <x:si>
    <x:r>
      <x:rPr>
        <x:sz val="1000"/>
        <x:color rgb="FF1F2937"/>
        <x:rFont val="Noto Sans CJK SC"/>
        <x:family val="2"/>
      </x:rPr>
      <x:t xml:space="preserve">验证合法请求能够按命令合同完成，原始返回、输出和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事务闭环一致</x:t>
    </x:r>
  </x:si>
  <x:si>
    <x:t xml:space="preserve">每条适用命令的流片前功能冒烟基线；不代表拒绝路径已经验证</x:t>
  </x:si>
  <x:si>
    <x:r>
      <x:rPr>
        <x:sz val="1000"/>
        <x:color rgb="FF1F2937"/>
        <x:rFont val="Calibri"/>
      </x:rPr>
      <x:t xml:space="preserve">eHSM</x:t>
    </x:r>
    <x:r>
      <x:rPr>
        <x:sz val="1000"/>
        <x:color rgb="FF1F2937"/>
        <x:rFont val="Noto Sans CJK SC"/>
        <x:family val="2"/>
      </x:rPr>
      <x:t xml:space="preserve">处于</x:t>
    </x:r>
    <x:r>
      <x:rPr>
        <x:sz val="1000"/>
        <x:color rgb="FF1F2937"/>
        <x:rFont val="Calibri"/>
      </x:rPr>
      <x:t xml:space="preserve">BL</x:t>
    </x:r>
    <x:r>
      <x:rPr>
        <x:sz val="1000"/>
        <x:color rgb="FF1F2937"/>
        <x:rFont val="Noto Sans CJK SC"/>
        <x:family val="2"/>
      </x:rPr>
      <x:t xml:space="preserve">阶段；首次</x:t>
    </x:r>
    <x:r>
      <x:rPr>
        <x:sz val="1000"/>
        <x:color rgb="FF1F2937"/>
        <x:rFont val="Calibri"/>
      </x:rPr>
      <x:t xml:space="preserve">runtime</x:t>
    </x:r>
    <x:r>
      <x:rPr>
        <x:sz val="1000"/>
        <x:color rgb="FF1F2937"/>
        <x:rFont val="Noto Sans CJK SC"/>
        <x:family val="2"/>
      </x:rPr>
      <x:t xml:space="preserve">初始化成功；</x:t>
    </x:r>
    <x:r>
      <x:rPr>
        <x:sz val="1000"/>
        <x:color rgb="FF1F2937"/>
        <x:rFont val="Calibri"/>
      </x:rPr>
      <x:t xml:space="preserve">service channel 1/poll/100 ms</x:t>
    </x:r>
    <x:r>
      <x:rPr>
        <x:sz val="1000"/>
        <x:color rgb="FF1F2937"/>
        <x:rFont val="Noto Sans CJK SC"/>
        <x:family val="2"/>
      </x:rPr>
      <x:t xml:space="preserve">合同有效</x:t>
    </x:r>
  </x:si>
  <x:si>
    <x:r>
      <x:rPr>
        <x:sz val="1000"/>
        <x:color rgb="FF1F2937"/>
        <x:rFont val="Noto Sans CJK SC"/>
        <x:family val="2"/>
      </x:rPr>
      <x:t xml:space="preserve">确认</x:t>
    </x:r>
    <x:r>
      <x:rPr>
        <x:sz val="1000"/>
        <x:color rgb="FF1F2937"/>
        <x:rFont val="Calibri"/>
      </x:rPr>
      <x:t xml:space="preserve">BL</x:t>
    </x:r>
    <x:r>
      <x:rPr>
        <x:sz val="1000"/>
        <x:color rgb="FF1F2937"/>
        <x:rFont val="Noto Sans CJK SC"/>
        <x:family val="2"/>
      </x:rPr>
      <x:t xml:space="preserve">阶段；调用</x:t>
    </x:r>
    <x:r>
      <x:rPr>
        <x:sz val="1000"/>
        <x:color rgb="FF1F2937"/>
        <x:rFont val="Calibri"/>
      </x:rPr>
      <x:t xml:space="preserve">security_case_mb_bl_001_basic()</x:t>
    </x:r>
    <x:r>
      <x:rPr>
        <x:sz val="1000"/>
        <x:color rgb="FF1F2937"/>
        <x:rFont val="Noto Sans CJK SC"/>
        <x:family val="2"/>
      </x:rPr>
      <x:t xml:space="preserve">对应的</x:t>
    </x:r>
    <x:r>
      <x:rPr>
        <x:sz val="1000"/>
        <x:color rgb="FF1F2937"/>
        <x:rFont val="Calibri"/>
      </x:rPr>
      <x:t xml:space="preserve">baremetal eHSM typed API</x:t>
    </x:r>
    <x:r>
      <x:rPr>
        <x:sz val="1000"/>
        <x:color rgb="FF1F2937"/>
        <x:rFont val="Noto Sans CJK SC"/>
        <x:family val="2"/>
      </x:rPr>
      <x:t xml:space="preserve">；按本行参数化覆盖执行真实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事务；比较</x:t>
    </x:r>
    <x:r>
      <x:rPr>
        <x:sz val="1000"/>
        <x:color rgb="FF1F2937"/>
        <x:rFont val="Calibri"/>
      </x:rPr>
      <x:t xml:space="preserve">return/output/</x:t>
    </x:r>
    <x:r>
      <x:rPr>
        <x:sz val="1000"/>
        <x:color rgb="FF1F2937"/>
        <x:rFont val="Noto Sans CJK SC"/>
        <x:family val="2"/>
      </x:rPr>
      <x:t xml:space="preserve">状态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副作用；完成必要清理、读回或健康查询后返回唯一</x:t>
    </x:r>
    <x:r>
      <x:rPr>
        <x:sz val="1000"/>
        <x:color rgb="FF1F2937"/>
        <x:rFont val="Calibri"/>
      </x:rPr>
      <x:t xml:space="preserve">verdict</x:t>
    </x:r>
  </x:si>
  <x:si>
    <x:r>
      <x:rPr>
        <x:sz val="1000"/>
        <x:color rgb="FF1F2937"/>
        <x:rFont val="Noto Sans CJK SC"/>
        <x:family val="2"/>
      </x:rPr>
      <x:t xml:space="preserve">真实</x:t>
    </x:r>
    <x:r>
      <x:rPr>
        <x:sz val="1000"/>
        <x:color rgb="FF1F2937"/>
        <x:rFont val="Calibri"/>
      </x:rPr>
      <x:t xml:space="preserve">typed API</x:t>
    </x:r>
    <x:r>
      <x:rPr>
        <x:sz val="1000"/>
        <x:color rgb="FF1F2937"/>
        <x:rFont val="Noto Sans CJK SC"/>
        <x:family val="2"/>
      </x:rPr>
      <x:t xml:space="preserve">返回、输出长度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内容、允许副作用、清理及后续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健康状态全部符合批准</x:t>
    </x:r>
    <x:r>
      <x:rPr>
        <x:sz val="1000"/>
        <x:color rgb="FF1F2937"/>
        <x:rFont val="Calibri"/>
      </x:rPr>
      <x:t xml:space="preserve">Expected</x:t>
    </x:r>
    <x:r>
      <x:rPr>
        <x:sz val="1000"/>
        <x:color rgb="FF1F2937"/>
        <x:rFont val="Noto Sans CJK SC"/>
        <x:family val="2"/>
      </x:rPr>
      <x:t xml:space="preserve">；明确不匹配</x:t>
    </x:r>
    <x:r>
      <x:rPr>
        <x:sz val="1000"/>
        <x:color rgb="FF1F2937"/>
        <x:rFont val="Calibri"/>
      </x:rPr>
      <x:t xml:space="preserve">FAIL</x:t>
    </x:r>
    <x:r>
      <x:rPr>
        <x:sz val="1000"/>
        <x:color rgb="FF1F2937"/>
        <x:rFont val="Noto Sans CJK SC"/>
        <x:family val="2"/>
      </x:rPr>
      <x:t xml:space="preserve">，必要事实缺失或</x:t>
    </x:r>
    <x:r>
      <x:rPr>
        <x:sz val="1000"/>
        <x:color rgb="FF1F2937"/>
        <x:rFont val="Calibri"/>
      </x:rPr>
      <x:t xml:space="preserve">transaction</x:t>
    </x:r>
    <x:r>
      <x:rPr>
        <x:sz val="1000"/>
        <x:color rgb="FF1F2937"/>
        <x:rFont val="Noto Sans CJK SC"/>
        <x:family val="2"/>
      </x:rPr>
      <x:t xml:space="preserve">状态未知</x:t>
    </x:r>
    <x:r>
      <x:rPr>
        <x:sz val="1000"/>
        <x:color rgb="FF1F2937"/>
        <x:rFont val="Calibri"/>
      </x:rPr>
      <x:t xml:space="preserve">INCONCLUSIVE</x:t>
    </x:r>
  </x:si>
  <x:si>
    <x:r>
      <x:rPr>
        <x:sz val="1000"/>
        <x:color rgb="FF1F2937"/>
        <x:rFont val="Noto Sans CJK SC"/>
        <x:family val="2"/>
      </x:rPr>
      <x:t xml:space="preserve">只依据真实</x:t>
    </x:r>
    <x:r>
      <x:rPr>
        <x:sz val="1000"/>
        <x:color rgb="FF1F2937"/>
        <x:rFont val="Calibri"/>
      </x:rPr>
      <x:t xml:space="preserve">Mailbox response</x:t>
    </x:r>
    <x:r>
      <x:rPr>
        <x:sz val="1000"/>
        <x:color rgb="FF1F2937"/>
        <x:rFont val="Noto Sans CJK SC"/>
        <x:family val="2"/>
      </x:rPr>
      <x:t xml:space="preserve">、</x:t>
    </x:r>
    <x:r>
      <x:rPr>
        <x:sz val="1000"/>
        <x:color rgb="FF1F2937"/>
        <x:rFont val="Calibri"/>
      </x:rPr>
      <x:t xml:space="preserve">typed API</x:t>
    </x:r>
    <x:r>
      <x:rPr>
        <x:sz val="1000"/>
        <x:color rgb="FF1F2937"/>
        <x:rFont val="Noto Sans CJK SC"/>
        <x:family val="2"/>
      </x:rPr>
      <x:t xml:space="preserve">返回、完整输出</x:t>
    </x:r>
    <x:r>
      <x:rPr>
        <x:sz val="1000"/>
        <x:color rgb="FF1F2937"/>
        <x:rFont val="Calibri"/>
      </x:rPr>
      <x:t xml:space="preserve">/verify flag</x:t>
    </x:r>
    <x:r>
      <x:rPr>
        <x:sz val="1000"/>
        <x:color rgb="FF1F2937"/>
        <x:rFont val="Noto Sans CJK SC"/>
        <x:family val="2"/>
      </x:rPr>
      <x:t xml:space="preserve">、可观测副作用和清理结果判定；参考</x:t>
    </x:r>
    <x:r>
      <x:rPr>
        <x:sz val="1000"/>
        <x:color rgb="FF1F2937"/>
        <x:rFont val="Calibri"/>
      </x:rPr>
      <x:t xml:space="preserve">Demo</x:t>
    </x:r>
    <x:r>
      <x:rPr>
        <x:sz val="1000"/>
        <x:color rgb="FF1F2937"/>
        <x:rFont val="Noto Sans CJK SC"/>
        <x:family val="2"/>
      </x:rPr>
      <x:t xml:space="preserve">日志、构建成功或未观察到错误均不能替代目标</x:t>
    </x:r>
    <x:r>
      <x:rPr>
        <x:sz val="1000"/>
        <x:color rgb="FF1F2937"/>
        <x:rFont val="Calibri"/>
      </x:rPr>
      <x:t xml:space="preserve">PASS</x:t>
    </x:r>
  </x:si>
  <x:si>
    <x:t xml:space="preserve">P0</x:t>
  </x:si>
  <x:si>
    <x:t xml:space="preserve">L3_EMU_INTEGRATION</x:t>
  </x:si>
  <x:si>
    <x:t xml:space="preserve">WAVE0_DAY0_SMOKE</x:t>
  </x:si>
  <x:si>
    <x:t xml:space="preserve">GSP</x:t>
  </x:si>
  <x:si>
    <x:t xml:space="preserve">CMD_SINGLE_CASE</x:t>
  </x:si>
  <x:si>
    <x:t xml:space="preserve">READY_AFTER_BASELINE</x:t>
  </x:si>
  <x:si>
    <x:t xml:space="preserve">eHSM BL 2.3.5-4019-72f8fdc/inc/mb.h; SRC-0018; Host API/TRM; TASK-SEC-BAREMETAL-EHSM-001</x:t>
  </x:si>
  <x:si>
    <x:t xml:space="preserve">OTP UID double-read + Profile content oracle; PRELOADED match PASS, mismatch FAIL</x:t>
  </x:si>
  <x:si>
    <x:r>
      <x:rPr>
        <x:sz val="1000"/>
        <x:color rgb="FF1F2937"/>
        <x:rFont val="Calibri"/>
      </x:rPr>
      <x:t xml:space="preserve">eHSM</x:t>
    </x:r>
    <x:r>
      <x:rPr>
        <x:sz val="1000"/>
        <x:color rgb="FF1F2937"/>
        <x:rFont val="Noto Sans CJK SC"/>
        <x:family val="2"/>
      </x:rPr>
      <x:t xml:space="preserve">处于</x:t>
    </x:r>
    <x:r>
      <x:rPr>
        <x:sz val="1000"/>
        <x:color rgb="FF1F2937"/>
        <x:rFont val="Calibri"/>
      </x:rPr>
      <x:t xml:space="preserve">BL</x:t>
    </x:r>
    <x:r>
      <x:rPr>
        <x:sz val="1000"/>
        <x:color rgb="FF1F2937"/>
        <x:rFont val="Noto Sans CJK SC"/>
        <x:family val="2"/>
      </x:rPr>
      <x:t xml:space="preserve">阶段；首次</x:t>
    </x:r>
    <x:r>
      <x:rPr>
        <x:sz val="1000"/>
        <x:color rgb="FF1F2937"/>
        <x:rFont val="Calibri"/>
      </x:rPr>
      <x:t xml:space="preserve">runtime</x:t>
    </x:r>
    <x:r>
      <x:rPr>
        <x:sz val="1000"/>
        <x:color rgb="FF1F2937"/>
        <x:rFont val="Noto Sans CJK SC"/>
        <x:family val="2"/>
      </x:rPr>
      <x:t xml:space="preserve">初始化成功；</x:t>
    </x:r>
    <x:r>
      <x:rPr>
        <x:sz val="1000"/>
        <x:color rgb="FF1F2937"/>
        <x:rFont val="Calibri"/>
      </x:rPr>
      <x:t xml:space="preserve">service channel 1/poll/100 ms</x:t>
    </x:r>
    <x:r>
      <x:rPr>
        <x:sz val="1000"/>
        <x:color rgb="FF1F2937"/>
        <x:rFont val="Noto Sans CJK SC"/>
        <x:family val="2"/>
      </x:rPr>
      <x:t xml:space="preserve">合同有效；构建时明确</x:t>
    </x:r>
    <x:r>
      <x:rPr>
        <x:sz val="1000"/>
        <x:color rgb="FF1F2937"/>
        <x:rFont val="Calibri"/>
      </x:rPr>
      <x:t xml:space="preserve">SECURITY_OTP_PRELOADED=0</x:t>
    </x:r>
    <x:r>
      <x:rPr>
        <x:sz val="1000"/>
        <x:color rgb="FF1F2937"/>
        <x:rFont val="Noto Sans CJK SC"/>
        <x:family val="2"/>
      </x:rPr>
      <x:t xml:space="preserve">或</x:t>
    </x:r>
    <x:r>
      <x:rPr>
        <x:sz val="1000"/>
        <x:color rgb="FF1F2937"/>
        <x:rFont val="Calibri"/>
      </x:rPr>
      <x:t xml:space="preserve">1</x:t>
    </x:r>
  </x:si>
  <x:si>
    <x:r>
      <x:rPr>
        <x:sz val="1000"/>
        <x:color rgb="FF1F2937"/>
        <x:rFont val="Noto Sans CJK SC"/>
        <x:family val="2"/>
      </x:rPr>
      <x:t xml:space="preserve">确认</x:t>
    </x:r>
    <x:r>
      <x:rPr>
        <x:sz val="1000"/>
        <x:color rgb="FF1F2937"/>
        <x:rFont val="Calibri"/>
      </x:rPr>
      <x:t xml:space="preserve">BL</x:t>
    </x:r>
    <x:r>
      <x:rPr>
        <x:sz val="1000"/>
        <x:color rgb="FF1F2937"/>
        <x:rFont val="Noto Sans CJK SC"/>
        <x:family val="2"/>
      </x:rPr>
      <x:t xml:space="preserve">阶段；调用</x:t>
    </x:r>
    <x:r>
      <x:rPr>
        <x:sz val="1000"/>
        <x:color rgb="FF1F2937"/>
        <x:rFont val="Calibri"/>
      </x:rPr>
      <x:t xml:space="preserve">security_case_mb_bl_002_basic()</x:t>
    </x:r>
    <x:r>
      <x:rPr>
        <x:sz val="1000"/>
        <x:color rgb="FF1F2937"/>
        <x:rFont val="Noto Sans CJK SC"/>
        <x:family val="2"/>
      </x:rPr>
      <x:t xml:space="preserve">对应的</x:t>
    </x:r>
    <x:r>
      <x:rPr>
        <x:sz val="1000"/>
        <x:color rgb="FF1F2937"/>
        <x:rFont val="Calibri"/>
      </x:rPr>
      <x:t xml:space="preserve">baremetal eHSM typed API</x:t>
    </x:r>
    <x:r>
      <x:rPr>
        <x:sz val="1000"/>
        <x:color rgb="FF1F2937"/>
        <x:rFont val="Noto Sans CJK SC"/>
        <x:family val="2"/>
      </x:rPr>
      <x:t xml:space="preserve">；按本行参数化覆盖执行真实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事务；比较</x:t>
    </x:r>
    <x:r>
      <x:rPr>
        <x:sz val="1000"/>
        <x:color rgb="FF1F2937"/>
        <x:rFont val="Calibri"/>
      </x:rPr>
      <x:t xml:space="preserve">return/output/</x:t>
    </x:r>
    <x:r>
      <x:rPr>
        <x:sz val="1000"/>
        <x:color rgb="FF1F2937"/>
        <x:rFont val="Noto Sans CJK SC"/>
        <x:family val="2"/>
      </x:rPr>
      <x:t xml:space="preserve">状态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副作用；完成必要清理、读回或健康查询后返回唯一</x:t>
    </x:r>
    <x:r>
      <x:rPr>
        <x:sz val="1000"/>
        <x:color rgb="FF1F2937"/>
        <x:rFont val="Calibri"/>
      </x:rPr>
      <x:t xml:space="preserve">verdict</x:t>
    </x:r>
  </x:si>
  <x:si>
    <x:r>
      <x:rPr>
        <x:sz val="1000"/>
        <x:color rgb="FF1F2937"/>
        <x:rFont val="Noto Sans CJK SC"/>
        <x:family val="2"/>
      </x:rPr>
      <x:t xml:space="preserve">两个</x:t>
    </x:r>
    <x:r>
      <x:rPr>
        <x:sz val="1000"/>
        <x:color rgb="FF1F2937"/>
        <x:rFont val="Calibri"/>
      </x:rPr>
      <x:t xml:space="preserve">Profile</x:t>
    </x:r>
    <x:r>
      <x:rPr>
        <x:sz val="1000"/>
        <x:color rgb="FF1F2937"/>
        <x:rFont val="Noto Sans CJK SC"/>
        <x:family val="2"/>
      </x:rPr>
      <x:t xml:space="preserve">都要求真实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双读成功、结果稳定且输出被覆写；</x:t>
    </x:r>
    <x:r>
      <x:rPr>
        <x:sz val="1000"/>
        <x:color rgb="FF1F2937"/>
        <x:rFont val="Calibri"/>
      </x:rPr>
      <x:t xml:space="preserve">PRELOADED</x:t>
    </x:r>
    <x:r>
      <x:rPr>
        <x:sz val="1000"/>
        <x:color rgb="FF1F2937"/>
        <x:rFont val="Noto Sans CJK SC"/>
        <x:family val="2"/>
      </x:rPr>
      <x:t xml:space="preserve">还必须匹配批准的</x:t>
    </x:r>
    <x:r>
      <x:rPr>
        <x:sz val="1000"/>
        <x:color rgb="FF1F2937"/>
        <x:rFont val="Calibri"/>
      </x:rPr>
      <x:t xml:space="preserve">20-byte UID Expected</x:t>
    </x:r>
    <x:r>
      <x:rPr>
        <x:sz val="1000"/>
        <x:color rgb="FF1F2937"/>
        <x:rFont val="Noto Sans CJK SC"/>
        <x:family val="2"/>
      </x:rPr>
      <x:t xml:space="preserve">，匹配</x:t>
    </x:r>
    <x:r>
      <x:rPr>
        <x:sz val="1000"/>
        <x:color rgb="FF1F2937"/>
        <x:rFont val="Calibri"/>
      </x:rPr>
      <x:t xml:space="preserve">SUCCESS</x:t>
    </x:r>
    <x:r>
      <x:rPr>
        <x:sz val="1000"/>
        <x:color rgb="FF1F2937"/>
        <x:rFont val="Noto Sans CJK SC"/>
        <x:family val="2"/>
      </x:rPr>
      <x:t xml:space="preserve">、不匹配</x:t>
    </x:r>
    <x:r>
      <x:rPr>
        <x:sz val="1000"/>
        <x:color rgb="FF1F2937"/>
        <x:rFont val="Calibri"/>
      </x:rPr>
      <x:t xml:space="preserve">FAIL</x:t>
    </x:r>
  </x:si>
  <x:si>
    <x:t xml:space="preserve">WAVE1_ROOT_OF_TRUST</x:t>
  </x:si>
  <x:si>
    <x:t xml:space="preserve">EHSM-MAP-004; EHSM-OTP-002</x:t>
  </x:si>
  <x:si>
    <x:t xml:space="preserve">write eHSM counter word 0 at `BASE+0x050`, then Mailbox readback</x:t>
  </x:si>
  <x:si>
    <x:r>
      <x:rPr>
        <x:sz val="1000"/>
        <x:color rgb="FF1F2937"/>
        <x:rFont val="Calibri"/>
      </x:rPr>
      <x:t xml:space="preserve">eHSM</x:t>
    </x:r>
    <x:r>
      <x:rPr>
        <x:sz val="1000"/>
        <x:color rgb="FF1F2937"/>
        <x:rFont val="Noto Sans CJK SC"/>
        <x:family val="2"/>
      </x:rPr>
      <x:t xml:space="preserve">处于</x:t>
    </x:r>
    <x:r>
      <x:rPr>
        <x:sz val="1000"/>
        <x:color rgb="FF1F2937"/>
        <x:rFont val="Calibri"/>
      </x:rPr>
      <x:t xml:space="preserve">BL</x:t>
    </x:r>
    <x:r>
      <x:rPr>
        <x:sz val="1000"/>
        <x:color rgb="FF1F2937"/>
        <x:rFont val="Noto Sans CJK SC"/>
        <x:family val="2"/>
      </x:rPr>
      <x:t xml:space="preserve">阶段；首次</x:t>
    </x:r>
    <x:r>
      <x:rPr>
        <x:sz val="1000"/>
        <x:color rgb="FF1F2937"/>
        <x:rFont val="Calibri"/>
      </x:rPr>
      <x:t xml:space="preserve">runtime</x:t>
    </x:r>
    <x:r>
      <x:rPr>
        <x:sz val="1000"/>
        <x:color rgb="FF1F2937"/>
        <x:rFont val="Noto Sans CJK SC"/>
        <x:family val="2"/>
      </x:rPr>
      <x:t xml:space="preserve">初始化成功；</x:t>
    </x:r>
    <x:r>
      <x:rPr>
        <x:sz val="1000"/>
        <x:color rgb="FF1F2937"/>
        <x:rFont val="Calibri"/>
      </x:rPr>
      <x:t xml:space="preserve">service channel 1/poll/100 ms</x:t>
    </x:r>
    <x:r>
      <x:rPr>
        <x:sz val="1000"/>
        <x:color rgb="FF1F2937"/>
        <x:rFont val="Noto Sans CJK SC"/>
        <x:family val="2"/>
      </x:rPr>
      <x:t xml:space="preserve">合同有效；使用获批可恢复</x:t>
    </x:r>
    <x:r>
      <x:rPr>
        <x:sz val="1000"/>
        <x:color rgb="FF1F2937"/>
        <x:rFont val="Calibri"/>
      </x:rPr>
      <x:t xml:space="preserve">EMU/FPGA TEST</x:t>
    </x:r>
    <x:r>
      <x:rPr>
        <x:sz val="1000"/>
        <x:color rgb="FF1F2937"/>
        <x:rFont val="Noto Sans CJK SC"/>
        <x:family val="2"/>
      </x:rPr>
      <x:t xml:space="preserve">资源及</x:t>
    </x:r>
    <x:r>
      <x:rPr>
        <x:sz val="1000"/>
        <x:color rgb="FF1F2937"/>
        <x:rFont val="Calibri"/>
      </x:rPr>
      <x:t xml:space="preserve">fresh/reloaded</x:t>
    </x:r>
    <x:r>
      <x:rPr>
        <x:sz val="1000"/>
        <x:color rgb="FF1F2937"/>
        <x:rFont val="Noto Sans CJK SC"/>
        <x:family val="2"/>
      </x:rPr>
      <x:t xml:space="preserve">初态</x:t>
    </x:r>
  </x:si>
  <x:si>
    <x:r>
      <x:rPr>
        <x:sz val="1000"/>
        <x:color rgb="FF1F2937"/>
        <x:rFont val="Noto Sans CJK SC"/>
        <x:family val="2"/>
      </x:rPr>
      <x:t xml:space="preserve">确认</x:t>
    </x:r>
    <x:r>
      <x:rPr>
        <x:sz val="1000"/>
        <x:color rgb="FF1F2937"/>
        <x:rFont val="Calibri"/>
      </x:rPr>
      <x:t xml:space="preserve">BL</x:t>
    </x:r>
    <x:r>
      <x:rPr>
        <x:sz val="1000"/>
        <x:color rgb="FF1F2937"/>
        <x:rFont val="Noto Sans CJK SC"/>
        <x:family val="2"/>
      </x:rPr>
      <x:t xml:space="preserve">阶段；调用</x:t>
    </x:r>
    <x:r>
      <x:rPr>
        <x:sz val="1000"/>
        <x:color rgb="FF1F2937"/>
        <x:rFont val="Calibri"/>
      </x:rPr>
      <x:t xml:space="preserve">security_case_mb_bl_003_basic()</x:t>
    </x:r>
    <x:r>
      <x:rPr>
        <x:sz val="1000"/>
        <x:color rgb="FF1F2937"/>
        <x:rFont val="Noto Sans CJK SC"/>
        <x:family val="2"/>
      </x:rPr>
      <x:t xml:space="preserve">对应的</x:t>
    </x:r>
    <x:r>
      <x:rPr>
        <x:sz val="1000"/>
        <x:color rgb="FF1F2937"/>
        <x:rFont val="Calibri"/>
      </x:rPr>
      <x:t xml:space="preserve">baremetal eHSM typed API</x:t>
    </x:r>
    <x:r>
      <x:rPr>
        <x:sz val="1000"/>
        <x:color rgb="FF1F2937"/>
        <x:rFont val="Noto Sans CJK SC"/>
        <x:family val="2"/>
      </x:rPr>
      <x:t xml:space="preserve">；按本行参数化覆盖执行真实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事务；比较</x:t>
    </x:r>
    <x:r>
      <x:rPr>
        <x:sz val="1000"/>
        <x:color rgb="FF1F2937"/>
        <x:rFont val="Calibri"/>
      </x:rPr>
      <x:t xml:space="preserve">return/output/</x:t>
    </x:r>
    <x:r>
      <x:rPr>
        <x:sz val="1000"/>
        <x:color rgb="FF1F2937"/>
        <x:rFont val="Noto Sans CJK SC"/>
        <x:family val="2"/>
      </x:rPr>
      <x:t xml:space="preserve">状态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副作用；完成必要清理、读回或健康查询后返回唯一</x:t>
    </x:r>
    <x:r>
      <x:rPr>
        <x:sz val="1000"/>
        <x:color rgb="FF1F2937"/>
        <x:rFont val="Calibri"/>
      </x:rPr>
      <x:t xml:space="preserve">verdict</x:t>
    </x:r>
  </x:si>
  <x:si>
    <x:r>
      <x:rPr>
        <x:sz val="1000"/>
        <x:color rgb="FF1F2937"/>
        <x:rFont val="Noto Sans CJK SC"/>
        <x:family val="2"/>
      </x:rPr>
      <x:t xml:space="preserve">真实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写入批准</x:t>
    </x:r>
    <x:r>
      <x:rPr>
        <x:sz val="1000"/>
        <x:color rgb="FF1F2937"/>
        <x:rFont val="Calibri"/>
      </x:rPr>
      <x:t xml:space="preserve">counter word</x:t>
    </x:r>
    <x:r>
      <x:rPr>
        <x:sz val="1000"/>
        <x:color rgb="FF1F2937"/>
        <x:rFont val="Noto Sans CJK SC"/>
        <x:family val="2"/>
      </x:rPr>
      <x:t xml:space="preserve">后立即读回并逐字节一致；</x:t>
    </x:r>
    <x:r>
      <x:rPr>
        <x:sz val="1000"/>
        <x:color rgb="FF1F2937"/>
        <x:rFont val="Calibri"/>
      </x:rPr>
      <x:t xml:space="preserve">timeout</x:t>
    </x:r>
    <x:r>
      <x:rPr>
        <x:sz val="1000"/>
        <x:color rgb="FF1F2937"/>
        <x:rFont val="Noto Sans CJK SC"/>
        <x:family val="2"/>
      </x:rPr>
      <x:t xml:space="preserve">不得重试；两个</x:t>
    </x:r>
    <x:r>
      <x:rPr>
        <x:sz val="1000"/>
        <x:color rgb="FF1F2937"/>
        <x:rFont val="Calibri"/>
      </x:rPr>
      <x:t xml:space="preserve">OTP Profile</x:t>
    </x:r>
    <x:r>
      <x:rPr>
        <x:sz val="1000"/>
        <x:color rgb="FF1F2937"/>
        <x:rFont val="Noto Sans CJK SC"/>
        <x:family val="2"/>
      </x:rPr>
      <x:t xml:space="preserve">使用相同写入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读回判据</x:t>
    </x:r>
  </x:si>
  <x:si>
    <x:t xml:space="preserve">NEEDS_DEDICATED_FIXTURE_AND_APPROVAL</x:t>
  </x:si>
  <x:si>
    <x:t xml:space="preserve">EHSM-MAP-004; EHSM-OTP-001</x:t>
  </x:si>
  <x:si>
    <x:t xml:space="preserve">double-read eHSM AHB CFG `0x33400050` (window `0x33400000`–`0x334fffff`)</x:t>
  </x:si>
  <x:si>
    <x:r>
      <x:rPr>
        <x:sz val="1000"/>
        <x:color rgb="FF1F2937"/>
        <x:rFont val="Noto Sans CJK SC"/>
        <x:family val="2"/>
      </x:rPr>
      <x:t xml:space="preserve">确认</x:t>
    </x:r>
    <x:r>
      <x:rPr>
        <x:sz val="1000"/>
        <x:color rgb="FF1F2937"/>
        <x:rFont val="Calibri"/>
      </x:rPr>
      <x:t xml:space="preserve">BL</x:t>
    </x:r>
    <x:r>
      <x:rPr>
        <x:sz val="1000"/>
        <x:color rgb="FF1F2937"/>
        <x:rFont val="Noto Sans CJK SC"/>
        <x:family val="2"/>
      </x:rPr>
      <x:t xml:space="preserve">阶段；调用</x:t>
    </x:r>
    <x:r>
      <x:rPr>
        <x:sz val="1000"/>
        <x:color rgb="FF1F2937"/>
        <x:rFont val="Calibri"/>
      </x:rPr>
      <x:t xml:space="preserve">security_case_mb_bl_004_basic()</x:t>
    </x:r>
    <x:r>
      <x:rPr>
        <x:sz val="1000"/>
        <x:color rgb="FF1F2937"/>
        <x:rFont val="Noto Sans CJK SC"/>
        <x:family val="2"/>
      </x:rPr>
      <x:t xml:space="preserve">对应的</x:t>
    </x:r>
    <x:r>
      <x:rPr>
        <x:sz val="1000"/>
        <x:color rgb="FF1F2937"/>
        <x:rFont val="Calibri"/>
      </x:rPr>
      <x:t xml:space="preserve">baremetal eHSM typed API</x:t>
    </x:r>
    <x:r>
      <x:rPr>
        <x:sz val="1000"/>
        <x:color rgb="FF1F2937"/>
        <x:rFont val="Noto Sans CJK SC"/>
        <x:family val="2"/>
      </x:rPr>
      <x:t xml:space="preserve">；按本行参数化覆盖执行真实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事务；比较</x:t>
    </x:r>
    <x:r>
      <x:rPr>
        <x:sz val="1000"/>
        <x:color rgb="FF1F2937"/>
        <x:rFont val="Calibri"/>
      </x:rPr>
      <x:t xml:space="preserve">return/output/</x:t>
    </x:r>
    <x:r>
      <x:rPr>
        <x:sz val="1000"/>
        <x:color rgb="FF1F2937"/>
        <x:rFont val="Noto Sans CJK SC"/>
        <x:family val="2"/>
      </x:rPr>
      <x:t xml:space="preserve">状态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副作用；完成必要清理、读回或健康查询后返回唯一</x:t>
    </x:r>
    <x:r>
      <x:rPr>
        <x:sz val="1000"/>
        <x:color rgb="FF1F2937"/>
        <x:rFont val="Calibri"/>
      </x:rPr>
      <x:t xml:space="preserve">verdict</x:t>
    </x:r>
  </x:si>
  <x:si>
    <x:r>
      <x:rPr>
        <x:sz val="1000"/>
        <x:color rgb="FF1F2937"/>
        <x:rFont val="Noto Sans CJK SC"/>
        <x:family val="2"/>
      </x:rPr>
      <x:t xml:space="preserve">在</x:t>
    </x:r>
    <x:r>
      <x:rPr>
        <x:sz val="1000"/>
        <x:color rgb="FF1F2937"/>
        <x:rFont val="Calibri"/>
      </x:rPr>
      <x:t xml:space="preserve">0x33400000–0x334fffff</x:t>
    </x:r>
    <x:r>
      <x:rPr>
        <x:sz val="1000"/>
        <x:color rgb="FF1F2937"/>
        <x:rFont val="Noto Sans CJK SC"/>
        <x:family val="2"/>
      </x:rPr>
      <x:t xml:space="preserve">确认窗口内双读代表地址，</x:t>
    </x:r>
    <x:r>
      <x:rPr>
        <x:sz val="1000"/>
        <x:color rgb="FF1F2937"/>
        <x:rFont val="Calibri"/>
      </x:rPr>
      <x:t xml:space="preserve">API</x:t>
    </x:r>
    <x:r>
      <x:rPr>
        <x:sz val="1000"/>
        <x:color rgb="FF1F2937"/>
        <x:rFont val="Noto Sans CJK SC"/>
        <x:family val="2"/>
      </x:rPr>
      <x:t xml:space="preserve">均成功且结果稳定；不得混同</x:t>
    </x:r>
    <x:r>
      <x:rPr>
        <x:sz val="1000"/>
        <x:color rgb="FF1F2937"/>
        <x:rFont val="Calibri"/>
      </x:rPr>
      <x:t xml:space="preserve">GSP HSM status map</x:t>
    </x:r>
  </x:si>
  <x:si>
    <x:t xml:space="preserve">WAVE4_CRYPTO_COMPAT_VENDOR</x:t>
  </x:si>
  <x:si>
    <x:t xml:space="preserve">EHSM-PROFILE-001</x:t>
  </x:si>
  <x:si>
    <x:t xml:space="preserve">backup-write-readback-restore-verify eHSM AHB CFG `0x33400050`</x:t>
  </x:si>
  <x:si>
    <x:r>
      <x:rPr>
        <x:sz val="1000"/>
        <x:color rgb="FF1F2937"/>
        <x:rFont val="Noto Sans CJK SC"/>
        <x:family val="2"/>
      </x:rPr>
      <x:t xml:space="preserve">确认</x:t>
    </x:r>
    <x:r>
      <x:rPr>
        <x:sz val="1000"/>
        <x:color rgb="FF1F2937"/>
        <x:rFont val="Calibri"/>
      </x:rPr>
      <x:t xml:space="preserve">BL</x:t>
    </x:r>
    <x:r>
      <x:rPr>
        <x:sz val="1000"/>
        <x:color rgb="FF1F2937"/>
        <x:rFont val="Noto Sans CJK SC"/>
        <x:family val="2"/>
      </x:rPr>
      <x:t xml:space="preserve">阶段；调用</x:t>
    </x:r>
    <x:r>
      <x:rPr>
        <x:sz val="1000"/>
        <x:color rgb="FF1F2937"/>
        <x:rFont val="Calibri"/>
      </x:rPr>
      <x:t xml:space="preserve">security_case_mb_bl_005_basic()</x:t>
    </x:r>
    <x:r>
      <x:rPr>
        <x:sz val="1000"/>
        <x:color rgb="FF1F2937"/>
        <x:rFont val="Noto Sans CJK SC"/>
        <x:family val="2"/>
      </x:rPr>
      <x:t xml:space="preserve">对应的</x:t>
    </x:r>
    <x:r>
      <x:rPr>
        <x:sz val="1000"/>
        <x:color rgb="FF1F2937"/>
        <x:rFont val="Calibri"/>
      </x:rPr>
      <x:t xml:space="preserve">baremetal eHSM typed API</x:t>
    </x:r>
    <x:r>
      <x:rPr>
        <x:sz val="1000"/>
        <x:color rgb="FF1F2937"/>
        <x:rFont val="Noto Sans CJK SC"/>
        <x:family val="2"/>
      </x:rPr>
      <x:t xml:space="preserve">；按本行参数化覆盖执行真实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事务；比较</x:t>
    </x:r>
    <x:r>
      <x:rPr>
        <x:sz val="1000"/>
        <x:color rgb="FF1F2937"/>
        <x:rFont val="Calibri"/>
      </x:rPr>
      <x:t xml:space="preserve">return/output/</x:t>
    </x:r>
    <x:r>
      <x:rPr>
        <x:sz val="1000"/>
        <x:color rgb="FF1F2937"/>
        <x:rFont val="Noto Sans CJK SC"/>
        <x:family val="2"/>
      </x:rPr>
      <x:t xml:space="preserve">状态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副作用；完成必要清理、读回或健康查询后返回唯一</x:t>
    </x:r>
    <x:r>
      <x:rPr>
        <x:sz val="1000"/>
        <x:color rgb="FF1F2937"/>
        <x:rFont val="Calibri"/>
      </x:rPr>
      <x:t xml:space="preserve">verdict</x:t>
    </x:r>
  </x:si>
  <x:si>
    <x:r>
      <x:rPr>
        <x:sz val="1000"/>
        <x:color rgb="FF1F2937"/>
        <x:rFont val="Noto Sans CJK SC"/>
        <x:family val="2"/>
      </x:rPr>
      <x:t xml:space="preserve">备份、写入、真实回读、恢复及恢复回读全部成功并一致；任一恢复失败不得</x:t>
    </x:r>
    <x:r>
      <x:rPr>
        <x:sz val="1000"/>
        <x:color rgb="FF1F2937"/>
        <x:rFont val="Calibri"/>
      </x:rPr>
      <x:t xml:space="preserve">PASS</x:t>
    </x:r>
  </x:si>
  <x:si>
    <x:t xml:space="preserve">upgrade image</x:t>
  </x:si>
  <x:si>
    <x:r>
      <x:rPr>
        <x:sz val="1000"/>
        <x:color rgb="FF1F2937"/>
        <x:rFont val="Calibri"/>
      </x:rPr>
      <x:t xml:space="preserve">eHSM</x:t>
    </x:r>
    <x:r>
      <x:rPr>
        <x:sz val="1000"/>
        <x:color rgb="FF1F2937"/>
        <x:rFont val="Noto Sans CJK SC"/>
        <x:family val="2"/>
      </x:rPr>
      <x:t xml:space="preserve">处于</x:t>
    </x:r>
    <x:r>
      <x:rPr>
        <x:sz val="1000"/>
        <x:color rgb="FF1F2937"/>
        <x:rFont val="Calibri"/>
      </x:rPr>
      <x:t xml:space="preserve">BL</x:t>
    </x:r>
    <x:r>
      <x:rPr>
        <x:sz val="1000"/>
        <x:color rgb="FF1F2937"/>
        <x:rFont val="Noto Sans CJK SC"/>
        <x:family val="2"/>
      </x:rPr>
      <x:t xml:space="preserve">阶段；首次</x:t>
    </x:r>
    <x:r>
      <x:rPr>
        <x:sz val="1000"/>
        <x:color rgb="FF1F2937"/>
        <x:rFont val="Calibri"/>
      </x:rPr>
      <x:t xml:space="preserve">runtime</x:t>
    </x:r>
    <x:r>
      <x:rPr>
        <x:sz val="1000"/>
        <x:color rgb="FF1F2937"/>
        <x:rFont val="Noto Sans CJK SC"/>
        <x:family val="2"/>
      </x:rPr>
      <x:t xml:space="preserve">初始化成功；</x:t>
    </x:r>
    <x:r>
      <x:rPr>
        <x:sz val="1000"/>
        <x:color rgb="FF1F2937"/>
        <x:rFont val="Calibri"/>
      </x:rPr>
      <x:t xml:space="preserve">service channel 1/poll/100 ms</x:t>
    </x:r>
    <x:r>
      <x:rPr>
        <x:sz val="1000"/>
        <x:color rgb="FF1F2937"/>
        <x:rFont val="Noto Sans CJK SC"/>
        <x:family val="2"/>
      </x:rPr>
      <x:t xml:space="preserve">合同有效；使用获批可恢复</x:t>
    </x:r>
    <x:r>
      <x:rPr>
        <x:sz val="1000"/>
        <x:color rgb="FF1F2937"/>
        <x:rFont val="Calibri"/>
      </x:rPr>
      <x:t xml:space="preserve">EMU/FPGA TEST</x:t>
    </x:r>
    <x:r>
      <x:rPr>
        <x:sz val="1000"/>
        <x:color rgb="FF1F2937"/>
        <x:rFont val="Noto Sans CJK SC"/>
        <x:family val="2"/>
      </x:rPr>
      <x:t xml:space="preserve">资源及</x:t>
    </x:r>
    <x:r>
      <x:rPr>
        <x:sz val="1000"/>
        <x:color rgb="FF1F2937"/>
        <x:rFont val="Calibri"/>
      </x:rPr>
      <x:t xml:space="preserve">fresh/reloaded</x:t>
    </x:r>
    <x:r>
      <x:rPr>
        <x:sz val="1000"/>
        <x:color rgb="FF1F2937"/>
        <x:rFont val="Noto Sans CJK SC"/>
        <x:family val="2"/>
      </x:rPr>
      <x:t xml:space="preserve">初态；升级镜像、提交和恢复合同尚未补齐</x:t>
    </x:r>
  </x:si>
  <x:si>
    <x:r>
      <x:rPr>
        <x:sz val="1000"/>
        <x:color rgb="FF1F2937"/>
        <x:rFont val="Noto Sans CJK SC"/>
        <x:family val="2"/>
      </x:rPr>
      <x:t xml:space="preserve">确认</x:t>
    </x:r>
    <x:r>
      <x:rPr>
        <x:sz val="1000"/>
        <x:color rgb="FF1F2937"/>
        <x:rFont val="Calibri"/>
      </x:rPr>
      <x:t xml:space="preserve">BL</x:t>
    </x:r>
    <x:r>
      <x:rPr>
        <x:sz val="1000"/>
        <x:color rgb="FF1F2937"/>
        <x:rFont val="Noto Sans CJK SC"/>
        <x:family val="2"/>
      </x:rPr>
      <x:t xml:space="preserve">阶段；调用</x:t>
    </x:r>
    <x:r>
      <x:rPr>
        <x:sz val="1000"/>
        <x:color rgb="FF1F2937"/>
        <x:rFont val="Calibri"/>
      </x:rPr>
      <x:t xml:space="preserve">security_case_mb_bl_006_basic()</x:t>
    </x:r>
    <x:r>
      <x:rPr>
        <x:sz val="1000"/>
        <x:color rgb="FF1F2937"/>
        <x:rFont val="Noto Sans CJK SC"/>
        <x:family val="2"/>
      </x:rPr>
      <x:t xml:space="preserve">对应的</x:t>
    </x:r>
    <x:r>
      <x:rPr>
        <x:sz val="1000"/>
        <x:color rgb="FF1F2937"/>
        <x:rFont val="Calibri"/>
      </x:rPr>
      <x:t xml:space="preserve">baremetal eHSM typed API</x:t>
    </x:r>
    <x:r>
      <x:rPr>
        <x:sz val="1000"/>
        <x:color rgb="FF1F2937"/>
        <x:rFont val="Noto Sans CJK SC"/>
        <x:family val="2"/>
      </x:rPr>
      <x:t xml:space="preserve">；按本行参数化覆盖执行真实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事务；比较</x:t>
    </x:r>
    <x:r>
      <x:rPr>
        <x:sz val="1000"/>
        <x:color rgb="FF1F2937"/>
        <x:rFont val="Calibri"/>
      </x:rPr>
      <x:t xml:space="preserve">return/output/</x:t>
    </x:r>
    <x:r>
      <x:rPr>
        <x:sz val="1000"/>
        <x:color rgb="FF1F2937"/>
        <x:rFont val="Noto Sans CJK SC"/>
        <x:family val="2"/>
      </x:rPr>
      <x:t xml:space="preserve">状态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副作用；完成必要清理、读回或健康查询后返回唯一</x:t>
    </x:r>
    <x:r>
      <x:rPr>
        <x:sz val="1000"/>
        <x:color rgb="FF1F2937"/>
        <x:rFont val="Calibri"/>
      </x:rPr>
      <x:t xml:space="preserve">verdict</x:t>
    </x:r>
  </x:si>
  <x:si>
    <x:r>
      <x:rPr>
        <x:sz val="1000"/>
        <x:color rgb="FF1F2937"/>
        <x:rFont val="Noto Sans CJK SC"/>
        <x:family val="2"/>
      </x:rPr>
      <x:t xml:space="preserve">当前在发送升级命令前返回</x:t>
    </x:r>
    <x:r>
      <x:rPr>
        <x:sz val="1000"/>
        <x:color rgb="FF1F2937"/>
        <x:rFont val="Calibri"/>
      </x:rPr>
      <x:t xml:space="preserve">INCONCLUSIVE/</x:t>
    </x:r>
    <x:r>
      <x:rPr>
        <x:sz val="1000"/>
        <x:color rgb="FF1F2937"/>
        <x:rFont val="Noto Sans CJK SC"/>
        <x:family val="2"/>
      </x:rPr>
      <x:t xml:space="preserve">门禁原因；补齐升级镜像、提交和恢复合同前不得形成</x:t>
    </x:r>
    <x:r>
      <x:rPr>
        <x:sz val="1000"/>
        <x:color rgb="FF1F2937"/>
        <x:rFont val="Calibri"/>
      </x:rPr>
      <x:t xml:space="preserve">PASS</x:t>
    </x:r>
  </x:si>
  <x:si>
    <x:t xml:space="preserve">EHSM-IMAGE-001</x:t>
  </x:si>
  <x:si>
    <x:t xml:space="preserve">Type 1 reference SoC image, `check_version=0`, dual-profile oracle</x:t>
  </x:si>
  <x:si>
    <x:r>
      <x:rPr>
        <x:sz val="1000"/>
        <x:color rgb="FF1F2937"/>
        <x:rFont val="Calibri"/>
      </x:rPr>
      <x:t xml:space="preserve">eHSM</x:t>
    </x:r>
    <x:r>
      <x:rPr>
        <x:sz val="1000"/>
        <x:color rgb="FF1F2937"/>
        <x:rFont val="Noto Sans CJK SC"/>
        <x:family val="2"/>
      </x:rPr>
      <x:t xml:space="preserve">处于</x:t>
    </x:r>
    <x:r>
      <x:rPr>
        <x:sz val="1000"/>
        <x:color rgb="FF1F2937"/>
        <x:rFont val="Calibri"/>
      </x:rPr>
      <x:t xml:space="preserve">BL</x:t>
    </x:r>
    <x:r>
      <x:rPr>
        <x:sz val="1000"/>
        <x:color rgb="FF1F2937"/>
        <x:rFont val="Noto Sans CJK SC"/>
        <x:family val="2"/>
      </x:rPr>
      <x:t xml:space="preserve">阶段；首次</x:t>
    </x:r>
    <x:r>
      <x:rPr>
        <x:sz val="1000"/>
        <x:color rgb="FF1F2937"/>
        <x:rFont val="Calibri"/>
      </x:rPr>
      <x:t xml:space="preserve">runtime</x:t>
    </x:r>
    <x:r>
      <x:rPr>
        <x:sz val="1000"/>
        <x:color rgb="FF1F2937"/>
        <x:rFont val="Noto Sans CJK SC"/>
        <x:family val="2"/>
      </x:rPr>
      <x:t xml:space="preserve">初始化成功；</x:t>
    </x:r>
    <x:r>
      <x:rPr>
        <x:sz val="1000"/>
        <x:color rgb="FF1F2937"/>
        <x:rFont val="Calibri"/>
      </x:rPr>
      <x:t xml:space="preserve">service channel 1/poll/100 ms</x:t>
    </x:r>
    <x:r>
      <x:rPr>
        <x:sz val="1000"/>
        <x:color rgb="FF1F2937"/>
        <x:rFont val="Noto Sans CJK SC"/>
        <x:family val="2"/>
      </x:rPr>
      <x:t xml:space="preserve">合同有效；构建时明确</x:t>
    </x:r>
    <x:r>
      <x:rPr>
        <x:sz val="1000"/>
        <x:color rgb="FF1F2937"/>
        <x:rFont val="Calibri"/>
      </x:rPr>
      <x:t xml:space="preserve">SECURITY_OTP_PRELOADED=0</x:t>
    </x:r>
    <x:r>
      <x:rPr>
        <x:sz val="1000"/>
        <x:color rgb="FF1F2937"/>
        <x:rFont val="Noto Sans CJK SC"/>
        <x:family val="2"/>
      </x:rPr>
      <x:t xml:space="preserve">或</x:t>
    </x:r>
    <x:r>
      <x:rPr>
        <x:sz val="1000"/>
        <x:color rgb="FF1F2937"/>
        <x:rFont val="Calibri"/>
      </x:rPr>
      <x:t xml:space="preserve">1</x:t>
    </x:r>
    <x:r>
      <x:rPr>
        <x:sz val="1000"/>
        <x:color rgb="FF1F2937"/>
        <x:rFont val="Noto Sans CJK SC"/>
        <x:family val="2"/>
      </x:rPr>
      <x:t xml:space="preserve">；</x:t>
    </x:r>
    <x:r>
      <x:rPr>
        <x:sz val="1000"/>
        <x:color rgb="FF1F2937"/>
        <x:rFont val="Calibri"/>
      </x:rPr>
      <x:t xml:space="preserve">PRELOADED</x:t>
    </x:r>
    <x:r>
      <x:rPr>
        <x:sz val="1000"/>
        <x:color rgb="FF1F2937"/>
        <x:rFont val="Noto Sans CJK SC"/>
        <x:family val="2"/>
      </x:rPr>
      <x:t xml:space="preserve">正向执行需匹配</x:t>
    </x:r>
    <x:r>
      <x:rPr>
        <x:sz val="1000"/>
        <x:color rgb="FF1F2937"/>
        <x:rFont val="Calibri"/>
      </x:rPr>
      <x:t xml:space="preserve">fixture</x:t>
    </x:r>
    <x:r>
      <x:rPr>
        <x:sz val="1000"/>
        <x:color rgb="FF1F2937"/>
        <x:rFont val="Noto Sans CJK SC"/>
        <x:family val="2"/>
      </x:rPr>
      <x:t xml:space="preserve">、</x:t>
    </x:r>
    <x:r>
      <x:rPr>
        <x:sz val="1000"/>
        <x:color rgb="FF1F2937"/>
        <x:rFont val="Calibri"/>
      </x:rPr>
      <x:t xml:space="preserve">eHSM Key map</x:t>
    </x:r>
    <x:r>
      <x:rPr>
        <x:sz val="1000"/>
        <x:color rgb="FF1F2937"/>
        <x:rFont val="Noto Sans CJK SC"/>
        <x:family val="2"/>
      </x:rPr>
      <x:t xml:space="preserve">和</x:t>
    </x:r>
    <x:r>
      <x:rPr>
        <x:sz val="1000"/>
        <x:color rgb="FF1F2937"/>
        <x:rFont val="Calibri"/>
      </x:rPr>
      <x:t xml:space="preserve">load receipt</x:t>
    </x:r>
  </x:si>
  <x:si>
    <x:r>
      <x:rPr>
        <x:sz val="1000"/>
        <x:color rgb="FF1F2937"/>
        <x:rFont val="Noto Sans CJK SC"/>
        <x:family val="2"/>
      </x:rPr>
      <x:t xml:space="preserve">确认</x:t>
    </x:r>
    <x:r>
      <x:rPr>
        <x:sz val="1000"/>
        <x:color rgb="FF1F2937"/>
        <x:rFont val="Calibri"/>
      </x:rPr>
      <x:t xml:space="preserve">BL</x:t>
    </x:r>
    <x:r>
      <x:rPr>
        <x:sz val="1000"/>
        <x:color rgb="FF1F2937"/>
        <x:rFont val="Noto Sans CJK SC"/>
        <x:family val="2"/>
      </x:rPr>
      <x:t xml:space="preserve">阶段；调用</x:t>
    </x:r>
    <x:r>
      <x:rPr>
        <x:sz val="1000"/>
        <x:color rgb="FF1F2937"/>
        <x:rFont val="Calibri"/>
      </x:rPr>
      <x:t xml:space="preserve">security_case_mb_bl_007_basic()</x:t>
    </x:r>
    <x:r>
      <x:rPr>
        <x:sz val="1000"/>
        <x:color rgb="FF1F2937"/>
        <x:rFont val="Noto Sans CJK SC"/>
        <x:family val="2"/>
      </x:rPr>
      <x:t xml:space="preserve">对应的</x:t>
    </x:r>
    <x:r>
      <x:rPr>
        <x:sz val="1000"/>
        <x:color rgb="FF1F2937"/>
        <x:rFont val="Calibri"/>
      </x:rPr>
      <x:t xml:space="preserve">baremetal eHSM typed API</x:t>
    </x:r>
    <x:r>
      <x:rPr>
        <x:sz val="1000"/>
        <x:color rgb="FF1F2937"/>
        <x:rFont val="Noto Sans CJK SC"/>
        <x:family val="2"/>
      </x:rPr>
      <x:t xml:space="preserve">；按本行参数化覆盖执行真实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事务；比较</x:t>
    </x:r>
    <x:r>
      <x:rPr>
        <x:sz val="1000"/>
        <x:color rgb="FF1F2937"/>
        <x:rFont val="Calibri"/>
      </x:rPr>
      <x:t xml:space="preserve">return/output/</x:t>
    </x:r>
    <x:r>
      <x:rPr>
        <x:sz val="1000"/>
        <x:color rgb="FF1F2937"/>
        <x:rFont val="Noto Sans CJK SC"/>
        <x:family val="2"/>
      </x:rPr>
      <x:t xml:space="preserve">状态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副作用；完成必要清理、读回或健康查询后返回唯一</x:t>
    </x:r>
    <x:r>
      <x:rPr>
        <x:sz val="1000"/>
        <x:color rgb="FF1F2937"/>
        <x:rFont val="Calibri"/>
      </x:rPr>
      <x:t xml:space="preserve">verdict</x:t>
    </x:r>
  </x:si>
  <x:si>
    <x:r>
      <x:rPr>
        <x:sz val="1000"/>
        <x:color rgb="FF1F2937"/>
        <x:rFont val="Calibri"/>
      </x:rPr>
      <x:t xml:space="preserve">PRELOADED</x:t>
    </x:r>
    <x:r>
      <x:rPr>
        <x:sz val="1000"/>
        <x:color rgb="FF1F2937"/>
        <x:rFont val="Noto Sans CJK SC"/>
        <x:family val="2"/>
      </x:rPr>
      <x:t xml:space="preserve">按工作簿正向</x:t>
    </x:r>
    <x:r>
      <x:rPr>
        <x:sz val="1000"/>
        <x:color rgb="FF1F2937"/>
        <x:rFont val="Calibri"/>
      </x:rPr>
      <x:t xml:space="preserve">oracle</x:t>
    </x:r>
    <x:r>
      <x:rPr>
        <x:sz val="1000"/>
        <x:color rgb="FF1F2937"/>
        <x:rFont val="Noto Sans CJK SC"/>
        <x:family val="2"/>
      </x:rPr>
      <x:t xml:space="preserve">要求</x:t>
    </x:r>
    <x:r>
      <x:rPr>
        <x:sz val="1000"/>
        <x:color rgb="FF1F2937"/>
        <x:rFont val="Calibri"/>
      </x:rPr>
      <x:t xml:space="preserve">API</x:t>
    </x:r>
    <x:r>
      <x:rPr>
        <x:sz val="1000"/>
        <x:color rgb="FF1F2937"/>
        <x:rFont val="Noto Sans CJK SC"/>
        <x:family val="2"/>
      </x:rPr>
      <x:t xml:space="preserve">、输出、验签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状态及允许副作用全部正确；</x:t>
    </x:r>
    <x:r>
      <x:rPr>
        <x:sz val="1000"/>
        <x:color rgb="FF1F2937"/>
        <x:rFont val="Calibri"/>
      </x:rPr>
      <x:t xml:space="preserve">UNPROVISIONED</x:t>
    </x:r>
    <x:r>
      <x:rPr>
        <x:sz val="1000"/>
        <x:color rgb="FF1F2937"/>
        <x:rFont val="Noto Sans CJK SC"/>
        <x:family val="2"/>
      </x:rPr>
      <x:t xml:space="preserve">只接受已确认的</x:t>
    </x:r>
    <x:r>
      <x:rPr>
        <x:sz val="1000"/>
        <x:color rgb="FF1F2937"/>
        <x:rFont val="Calibri"/>
      </x:rPr>
      <x:t xml:space="preserve">eHSM</x:t>
    </x:r>
    <x:r>
      <x:rPr>
        <x:sz val="1000"/>
        <x:color rgb="FF1F2937"/>
        <x:rFont val="Noto Sans CJK SC"/>
        <x:family val="2"/>
      </x:rPr>
      <x:t xml:space="preserve">功能性拒绝，意外成功</x:t>
    </x:r>
    <x:r>
      <x:rPr>
        <x:sz val="1000"/>
        <x:color rgb="FF1F2937"/>
        <x:rFont val="Calibri"/>
      </x:rPr>
      <x:t xml:space="preserve">FAIL</x:t>
    </x:r>
    <x:r>
      <x:rPr>
        <x:sz val="1000"/>
        <x:color rgb="FF1F2937"/>
        <x:rFont val="Noto Sans CJK SC"/>
        <x:family val="2"/>
      </x:rPr>
      <x:t xml:space="preserve">，来源或副作用未知</x:t>
    </x:r>
    <x:r>
      <x:rPr>
        <x:sz val="1000"/>
        <x:color rgb="FF1F2937"/>
        <x:rFont val="Calibri"/>
      </x:rPr>
      <x:t xml:space="preserve">INCONCLUSIVE</x:t>
    </x:r>
  </x:si>
  <x:si>
    <x:t xml:space="preserve">EHSM-IMAGE-001; EHSM-OTP-003</x:t>
  </x:si>
  <x:si>
    <x:t xml:space="preserve">dual-profile root-key oracle</x:t>
  </x:si>
  <x:si>
    <x:r>
      <x:rPr>
        <x:sz val="1000"/>
        <x:color rgb="FF1F2937"/>
        <x:rFont val="Calibri"/>
      </x:rPr>
      <x:t xml:space="preserve">eHSM</x:t>
    </x:r>
    <x:r>
      <x:rPr>
        <x:sz val="1000"/>
        <x:color rgb="FF1F2937"/>
        <x:rFont val="Noto Sans CJK SC"/>
        <x:family val="2"/>
      </x:rPr>
      <x:t xml:space="preserve">处于</x:t>
    </x:r>
    <x:r>
      <x:rPr>
        <x:sz val="1000"/>
        <x:color rgb="FF1F2937"/>
        <x:rFont val="Calibri"/>
      </x:rPr>
      <x:t xml:space="preserve">BL</x:t>
    </x:r>
    <x:r>
      <x:rPr>
        <x:sz val="1000"/>
        <x:color rgb="FF1F2937"/>
        <x:rFont val="Noto Sans CJK SC"/>
        <x:family val="2"/>
      </x:rPr>
      <x:t xml:space="preserve">阶段；首次</x:t>
    </x:r>
    <x:r>
      <x:rPr>
        <x:sz val="1000"/>
        <x:color rgb="FF1F2937"/>
        <x:rFont val="Calibri"/>
      </x:rPr>
      <x:t xml:space="preserve">runtime</x:t>
    </x:r>
    <x:r>
      <x:rPr>
        <x:sz val="1000"/>
        <x:color rgb="FF1F2937"/>
        <x:rFont val="Noto Sans CJK SC"/>
        <x:family val="2"/>
      </x:rPr>
      <x:t xml:space="preserve">初始化成功；</x:t>
    </x:r>
    <x:r>
      <x:rPr>
        <x:sz val="1000"/>
        <x:color rgb="FF1F2937"/>
        <x:rFont val="Calibri"/>
      </x:rPr>
      <x:t xml:space="preserve">service channel 1/poll/100 ms</x:t>
    </x:r>
    <x:r>
      <x:rPr>
        <x:sz val="1000"/>
        <x:color rgb="FF1F2937"/>
        <x:rFont val="Noto Sans CJK SC"/>
        <x:family val="2"/>
      </x:rPr>
      <x:t xml:space="preserve">合同有效；构建时明确</x:t>
    </x:r>
    <x:r>
      <x:rPr>
        <x:sz val="1000"/>
        <x:color rgb="FF1F2937"/>
        <x:rFont val="Calibri"/>
      </x:rPr>
      <x:t xml:space="preserve">SECURITY_OTP_PRELOADED=0</x:t>
    </x:r>
    <x:r>
      <x:rPr>
        <x:sz val="1000"/>
        <x:color rgb="FF1F2937"/>
        <x:rFont val="Noto Sans CJK SC"/>
        <x:family val="2"/>
      </x:rPr>
      <x:t xml:space="preserve">或</x:t>
    </x:r>
    <x:r>
      <x:rPr>
        <x:sz val="1000"/>
        <x:color rgb="FF1F2937"/>
        <x:rFont val="Calibri"/>
      </x:rPr>
      <x:t xml:space="preserve">1</x:t>
    </x:r>
    <x:r>
      <x:rPr>
        <x:sz val="1000"/>
        <x:color rgb="FF1F2937"/>
        <x:rFont val="Noto Sans CJK SC"/>
        <x:family val="2"/>
      </x:rPr>
      <x:t xml:space="preserve">；</x:t>
    </x:r>
    <x:r>
      <x:rPr>
        <x:sz val="1000"/>
        <x:color rgb="FF1F2937"/>
        <x:rFont val="Calibri"/>
      </x:rPr>
      <x:t xml:space="preserve">PRELOADED</x:t>
    </x:r>
    <x:r>
      <x:rPr>
        <x:sz val="1000"/>
        <x:color rgb="FF1F2937"/>
        <x:rFont val="Noto Sans CJK SC"/>
        <x:family val="2"/>
      </x:rPr>
      <x:t xml:space="preserve">正向执行需匹配</x:t>
    </x:r>
    <x:r>
      <x:rPr>
        <x:sz val="1000"/>
        <x:color rgb="FF1F2937"/>
        <x:rFont val="Calibri"/>
      </x:rPr>
      <x:t xml:space="preserve">fixture</x:t>
    </x:r>
    <x:r>
      <x:rPr>
        <x:sz val="1000"/>
        <x:color rgb="FF1F2937"/>
        <x:rFont val="Noto Sans CJK SC"/>
        <x:family val="2"/>
      </x:rPr>
      <x:t xml:space="preserve">、</x:t>
    </x:r>
    <x:r>
      <x:rPr>
        <x:sz val="1000"/>
        <x:color rgb="FF1F2937"/>
        <x:rFont val="Calibri"/>
      </x:rPr>
      <x:t xml:space="preserve">eHSM Key map</x:t>
    </x:r>
    <x:r>
      <x:rPr>
        <x:sz val="1000"/>
        <x:color rgb="FF1F2937"/>
        <x:rFont val="Noto Sans CJK SC"/>
        <x:family val="2"/>
      </x:rPr>
      <x:t xml:space="preserve">和</x:t>
    </x:r>
    <x:r>
      <x:rPr>
        <x:sz val="1000"/>
        <x:color rgb="FF1F2937"/>
        <x:rFont val="Calibri"/>
      </x:rPr>
      <x:t xml:space="preserve">load receipt</x:t>
    </x:r>
    <x:r>
      <x:rPr>
        <x:sz val="1000"/>
        <x:color rgb="FF1F2937"/>
        <x:rFont val="Noto Sans CJK SC"/>
        <x:family val="2"/>
      </x:rPr>
      <x:t xml:space="preserve">；使用获批可恢复</x:t>
    </x:r>
    <x:r>
      <x:rPr>
        <x:sz val="1000"/>
        <x:color rgb="FF1F2937"/>
        <x:rFont val="Calibri"/>
      </x:rPr>
      <x:t xml:space="preserve">EMU/FPGA TEST</x:t>
    </x:r>
    <x:r>
      <x:rPr>
        <x:sz val="1000"/>
        <x:color rgb="FF1F2937"/>
        <x:rFont val="Noto Sans CJK SC"/>
        <x:family val="2"/>
      </x:rPr>
      <x:t xml:space="preserve">资源及</x:t>
    </x:r>
    <x:r>
      <x:rPr>
        <x:sz val="1000"/>
        <x:color rgb="FF1F2937"/>
        <x:rFont val="Calibri"/>
      </x:rPr>
      <x:t xml:space="preserve">fresh/reloaded</x:t>
    </x:r>
    <x:r>
      <x:rPr>
        <x:sz val="1000"/>
        <x:color rgb="FF1F2937"/>
        <x:rFont val="Noto Sans CJK SC"/>
        <x:family val="2"/>
      </x:rPr>
      <x:t xml:space="preserve">初态</x:t>
    </x:r>
  </x:si>
  <x:si>
    <x:r>
      <x:rPr>
        <x:sz val="1000"/>
        <x:color rgb="FF1F2937"/>
        <x:rFont val="Noto Sans CJK SC"/>
        <x:family val="2"/>
      </x:rPr>
      <x:t xml:space="preserve">确认</x:t>
    </x:r>
    <x:r>
      <x:rPr>
        <x:sz val="1000"/>
        <x:color rgb="FF1F2937"/>
        <x:rFont val="Calibri"/>
      </x:rPr>
      <x:t xml:space="preserve">BL</x:t>
    </x:r>
    <x:r>
      <x:rPr>
        <x:sz val="1000"/>
        <x:color rgb="FF1F2937"/>
        <x:rFont val="Noto Sans CJK SC"/>
        <x:family val="2"/>
      </x:rPr>
      <x:t xml:space="preserve">阶段；调用</x:t>
    </x:r>
    <x:r>
      <x:rPr>
        <x:sz val="1000"/>
        <x:color rgb="FF1F2937"/>
        <x:rFont val="Calibri"/>
      </x:rPr>
      <x:t xml:space="preserve">security_case_mb_bl_008_basic()</x:t>
    </x:r>
    <x:r>
      <x:rPr>
        <x:sz val="1000"/>
        <x:color rgb="FF1F2937"/>
        <x:rFont val="Noto Sans CJK SC"/>
        <x:family val="2"/>
      </x:rPr>
      <x:t xml:space="preserve">对应的</x:t>
    </x:r>
    <x:r>
      <x:rPr>
        <x:sz val="1000"/>
        <x:color rgb="FF1F2937"/>
        <x:rFont val="Calibri"/>
      </x:rPr>
      <x:t xml:space="preserve">baremetal eHSM typed API</x:t>
    </x:r>
    <x:r>
      <x:rPr>
        <x:sz val="1000"/>
        <x:color rgb="FF1F2937"/>
        <x:rFont val="Noto Sans CJK SC"/>
        <x:family val="2"/>
      </x:rPr>
      <x:t xml:space="preserve">；按本行参数化覆盖执行真实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事务；比较</x:t>
    </x:r>
    <x:r>
      <x:rPr>
        <x:sz val="1000"/>
        <x:color rgb="FF1F2937"/>
        <x:rFont val="Calibri"/>
      </x:rPr>
      <x:t xml:space="preserve">return/output/</x:t>
    </x:r>
    <x:r>
      <x:rPr>
        <x:sz val="1000"/>
        <x:color rgb="FF1F2937"/>
        <x:rFont val="Noto Sans CJK SC"/>
        <x:family val="2"/>
      </x:rPr>
      <x:t xml:space="preserve">状态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副作用；完成必要清理、读回或健康查询后返回唯一</x:t>
    </x:r>
    <x:r>
      <x:rPr>
        <x:sz val="1000"/>
        <x:color rgb="FF1F2937"/>
        <x:rFont val="Calibri"/>
      </x:rPr>
      <x:t xml:space="preserve">verdict</x:t>
    </x:r>
  </x:si>
  <x:si>
    <x:t xml:space="preserve">WAVE2_IDENTITY_KEY_PERMISSION</x:t>
  </x:si>
  <x:si>
    <x:t xml:space="preserve">EHSM-OTP-003; EHSM-VECTOR-001</x:t>
  </x:si>
  <x:si>
    <x:t xml:space="preserve">encrypted-key vector + dual-profile oracle</x:t>
  </x:si>
  <x:si>
    <x:r>
      <x:rPr>
        <x:sz val="1000"/>
        <x:color rgb="FF1F2937"/>
        <x:rFont val="Noto Sans CJK SC"/>
        <x:family val="2"/>
      </x:rPr>
      <x:t xml:space="preserve">确认</x:t>
    </x:r>
    <x:r>
      <x:rPr>
        <x:sz val="1000"/>
        <x:color rgb="FF1F2937"/>
        <x:rFont val="Calibri"/>
      </x:rPr>
      <x:t xml:space="preserve">BL</x:t>
    </x:r>
    <x:r>
      <x:rPr>
        <x:sz val="1000"/>
        <x:color rgb="FF1F2937"/>
        <x:rFont val="Noto Sans CJK SC"/>
        <x:family val="2"/>
      </x:rPr>
      <x:t xml:space="preserve">阶段；调用</x:t>
    </x:r>
    <x:r>
      <x:rPr>
        <x:sz val="1000"/>
        <x:color rgb="FF1F2937"/>
        <x:rFont val="Calibri"/>
      </x:rPr>
      <x:t xml:space="preserve">security_case_mb_bl_009_basic()</x:t>
    </x:r>
    <x:r>
      <x:rPr>
        <x:sz val="1000"/>
        <x:color rgb="FF1F2937"/>
        <x:rFont val="Noto Sans CJK SC"/>
        <x:family val="2"/>
      </x:rPr>
      <x:t xml:space="preserve">对应的</x:t>
    </x:r>
    <x:r>
      <x:rPr>
        <x:sz val="1000"/>
        <x:color rgb="FF1F2937"/>
        <x:rFont val="Calibri"/>
      </x:rPr>
      <x:t xml:space="preserve">baremetal eHSM typed API</x:t>
    </x:r>
    <x:r>
      <x:rPr>
        <x:sz val="1000"/>
        <x:color rgb="FF1F2937"/>
        <x:rFont val="Noto Sans CJK SC"/>
        <x:family val="2"/>
      </x:rPr>
      <x:t xml:space="preserve">；按本行参数化覆盖执行真实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事务；比较</x:t>
    </x:r>
    <x:r>
      <x:rPr>
        <x:sz val="1000"/>
        <x:color rgb="FF1F2937"/>
        <x:rFont val="Calibri"/>
      </x:rPr>
      <x:t xml:space="preserve">return/output/</x:t>
    </x:r>
    <x:r>
      <x:rPr>
        <x:sz val="1000"/>
        <x:color rgb="FF1F2937"/>
        <x:rFont val="Noto Sans CJK SC"/>
        <x:family val="2"/>
      </x:rPr>
      <x:t xml:space="preserve">状态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副作用；完成必要清理、读回或健康查询后返回唯一</x:t>
    </x:r>
    <x:r>
      <x:rPr>
        <x:sz val="1000"/>
        <x:color rgb="FF1F2937"/>
        <x:rFont val="Calibri"/>
      </x:rPr>
      <x:t xml:space="preserve">verdict</x:t>
    </x:r>
  </x:si>
  <x:si>
    <x:r>
      <x:rPr>
        <x:sz val="1000"/>
        <x:color rgb="FF1F2937"/>
        <x:rFont val="Noto Sans CJK SC"/>
        <x:family val="2"/>
      </x:rPr>
      <x:t xml:space="preserve">获取</x:t>
    </x:r>
    <x:r>
      <x:rPr>
        <x:sz val="1000"/>
        <x:color rgb="FF1F2937"/>
        <x:rFont val="Calibri"/>
      </x:rPr>
      <x:t xml:space="preserve">48-byte Debug Auth challenge</x:t>
    </x:r>
    <x:r>
      <x:rPr>
        <x:sz val="1000"/>
        <x:color rgb="FF1F2937"/>
        <x:rFont val="Noto Sans CJK SC"/>
        <x:family val="2"/>
      </x:rPr>
      <x:t xml:space="preserve">；检查返回成功、输出被真实覆写和长度正确</x:t>
    </x:r>
  </x:si>
  <x:si>
    <x:r>
      <x:rPr>
        <x:sz val="1000"/>
        <x:color rgb="FF1F2937"/>
        <x:rFont val="Noto Sans CJK SC"/>
        <x:family val="2"/>
      </x:rPr>
      <x:t xml:space="preserve">确认</x:t>
    </x:r>
    <x:r>
      <x:rPr>
        <x:sz val="1000"/>
        <x:color rgb="FF1F2937"/>
        <x:rFont val="Calibri"/>
      </x:rPr>
      <x:t xml:space="preserve">BL</x:t>
    </x:r>
    <x:r>
      <x:rPr>
        <x:sz val="1000"/>
        <x:color rgb="FF1F2937"/>
        <x:rFont val="Noto Sans CJK SC"/>
        <x:family val="2"/>
      </x:rPr>
      <x:t xml:space="preserve">阶段；调用</x:t>
    </x:r>
    <x:r>
      <x:rPr>
        <x:sz val="1000"/>
        <x:color rgb="FF1F2937"/>
        <x:rFont val="Calibri"/>
      </x:rPr>
      <x:t xml:space="preserve">security_case_mb_bl_010_basic()</x:t>
    </x:r>
    <x:r>
      <x:rPr>
        <x:sz val="1000"/>
        <x:color rgb="FF1F2937"/>
        <x:rFont val="Noto Sans CJK SC"/>
        <x:family val="2"/>
      </x:rPr>
      <x:t xml:space="preserve">对应的</x:t>
    </x:r>
    <x:r>
      <x:rPr>
        <x:sz val="1000"/>
        <x:color rgb="FF1F2937"/>
        <x:rFont val="Calibri"/>
      </x:rPr>
      <x:t xml:space="preserve">baremetal eHSM typed API</x:t>
    </x:r>
    <x:r>
      <x:rPr>
        <x:sz val="1000"/>
        <x:color rgb="FF1F2937"/>
        <x:rFont val="Noto Sans CJK SC"/>
        <x:family val="2"/>
      </x:rPr>
      <x:t xml:space="preserve">；按本行参数化覆盖执行真实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事务；比较</x:t>
    </x:r>
    <x:r>
      <x:rPr>
        <x:sz val="1000"/>
        <x:color rgb="FF1F2937"/>
        <x:rFont val="Calibri"/>
      </x:rPr>
      <x:t xml:space="preserve">return/output/</x:t>
    </x:r>
    <x:r>
      <x:rPr>
        <x:sz val="1000"/>
        <x:color rgb="FF1F2937"/>
        <x:rFont val="Noto Sans CJK SC"/>
        <x:family val="2"/>
      </x:rPr>
      <x:t xml:space="preserve">状态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副作用；完成必要清理、读回或健康查询后返回唯一</x:t>
    </x:r>
    <x:r>
      <x:rPr>
        <x:sz val="1000"/>
        <x:color rgb="FF1F2937"/>
        <x:rFont val="Calibri"/>
      </x:rPr>
      <x:t xml:space="preserve">verdict</x:t>
    </x:r>
  </x:si>
  <x:si>
    <x:t xml:space="preserve">EHSM-RECOVERY-001</x:t>
  </x:si>
  <x:si>
    <x:t xml:space="preserve">UART divider 6076 + stage health query</x:t>
  </x:si>
  <x:si>
    <x:r>
      <x:rPr>
        <x:sz val="1000"/>
        <x:color rgb="FF1F2937"/>
        <x:rFont val="Noto Sans CJK SC"/>
        <x:family val="2"/>
      </x:rPr>
      <x:t xml:space="preserve">确认</x:t>
    </x:r>
    <x:r>
      <x:rPr>
        <x:sz val="1000"/>
        <x:color rgb="FF1F2937"/>
        <x:rFont val="Calibri"/>
      </x:rPr>
      <x:t xml:space="preserve">BL</x:t>
    </x:r>
    <x:r>
      <x:rPr>
        <x:sz val="1000"/>
        <x:color rgb="FF1F2937"/>
        <x:rFont val="Noto Sans CJK SC"/>
        <x:family val="2"/>
      </x:rPr>
      <x:t xml:space="preserve">阶段；调用</x:t>
    </x:r>
    <x:r>
      <x:rPr>
        <x:sz val="1000"/>
        <x:color rgb="FF1F2937"/>
        <x:rFont val="Calibri"/>
      </x:rPr>
      <x:t xml:space="preserve">security_case_mb_bl_013_basic()</x:t>
    </x:r>
    <x:r>
      <x:rPr>
        <x:sz val="1000"/>
        <x:color rgb="FF1F2937"/>
        <x:rFont val="Noto Sans CJK SC"/>
        <x:family val="2"/>
      </x:rPr>
      <x:t xml:space="preserve">对应的</x:t>
    </x:r>
    <x:r>
      <x:rPr>
        <x:sz val="1000"/>
        <x:color rgb="FF1F2937"/>
        <x:rFont val="Calibri"/>
      </x:rPr>
      <x:t xml:space="preserve">baremetal eHSM typed API</x:t>
    </x:r>
    <x:r>
      <x:rPr>
        <x:sz val="1000"/>
        <x:color rgb="FF1F2937"/>
        <x:rFont val="Noto Sans CJK SC"/>
        <x:family val="2"/>
      </x:rPr>
      <x:t xml:space="preserve">；按本行参数化覆盖执行真实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事务；比较</x:t>
    </x:r>
    <x:r>
      <x:rPr>
        <x:sz val="1000"/>
        <x:color rgb="FF1F2937"/>
        <x:rFont val="Calibri"/>
      </x:rPr>
      <x:t xml:space="preserve">return/output/</x:t>
    </x:r>
    <x:r>
      <x:rPr>
        <x:sz val="1000"/>
        <x:color rgb="FF1F2937"/>
        <x:rFont val="Noto Sans CJK SC"/>
        <x:family val="2"/>
      </x:rPr>
      <x:t xml:space="preserve">状态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副作用；完成必要清理、读回或健康查询后返回唯一</x:t>
    </x:r>
    <x:r>
      <x:rPr>
        <x:sz val="1000"/>
        <x:color rgb="FF1F2937"/>
        <x:rFont val="Calibri"/>
      </x:rPr>
      <x:t xml:space="preserve">verdict</x:t>
    </x:r>
  </x:si>
  <x:si>
    <x:r>
      <x:rPr>
        <x:sz val="1000"/>
        <x:color rgb="FF1F2937"/>
        <x:rFont val="Noto Sans CJK SC"/>
        <x:family val="2"/>
      </x:rPr>
      <x:t xml:space="preserve">启动</x:t>
    </x:r>
    <x:r>
      <x:rPr>
        <x:sz val="1000"/>
        <x:color rgb="FF1F2937"/>
        <x:rFont val="Calibri"/>
      </x:rPr>
      <x:t xml:space="preserve">BL self-test</x:t>
    </x:r>
    <x:r>
      <x:rPr>
        <x:sz val="1000"/>
        <x:color rgb="FF1F2937"/>
        <x:rFont val="Noto Sans CJK SC"/>
        <x:family val="2"/>
      </x:rPr>
      <x:t xml:space="preserve">；检查命令返回并保持后续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事务可用</x:t>
    </x:r>
  </x:si>
  <x:si>
    <x:r>
      <x:rPr>
        <x:sz val="1000"/>
        <x:color rgb="FF1F2937"/>
        <x:rFont val="Noto Sans CJK SC"/>
        <x:family val="2"/>
      </x:rPr>
      <x:t xml:space="preserve">确认</x:t>
    </x:r>
    <x:r>
      <x:rPr>
        <x:sz val="1000"/>
        <x:color rgb="FF1F2937"/>
        <x:rFont val="Calibri"/>
      </x:rPr>
      <x:t xml:space="preserve">BL</x:t>
    </x:r>
    <x:r>
      <x:rPr>
        <x:sz val="1000"/>
        <x:color rgb="FF1F2937"/>
        <x:rFont val="Noto Sans CJK SC"/>
        <x:family val="2"/>
      </x:rPr>
      <x:t xml:space="preserve">阶段；调用</x:t>
    </x:r>
    <x:r>
      <x:rPr>
        <x:sz val="1000"/>
        <x:color rgb="FF1F2937"/>
        <x:rFont val="Calibri"/>
      </x:rPr>
      <x:t xml:space="preserve">security_case_mb_bl_014_basic()</x:t>
    </x:r>
    <x:r>
      <x:rPr>
        <x:sz val="1000"/>
        <x:color rgb="FF1F2937"/>
        <x:rFont val="Noto Sans CJK SC"/>
        <x:family val="2"/>
      </x:rPr>
      <x:t xml:space="preserve">对应的</x:t>
    </x:r>
    <x:r>
      <x:rPr>
        <x:sz val="1000"/>
        <x:color rgb="FF1F2937"/>
        <x:rFont val="Calibri"/>
      </x:rPr>
      <x:t xml:space="preserve">baremetal eHSM typed API</x:t>
    </x:r>
    <x:r>
      <x:rPr>
        <x:sz val="1000"/>
        <x:color rgb="FF1F2937"/>
        <x:rFont val="Noto Sans CJK SC"/>
        <x:family val="2"/>
      </x:rPr>
      <x:t xml:space="preserve">；按本行参数化覆盖执行真实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事务；比较</x:t>
    </x:r>
    <x:r>
      <x:rPr>
        <x:sz val="1000"/>
        <x:color rgb="FF1F2937"/>
        <x:rFont val="Calibri"/>
      </x:rPr>
      <x:t xml:space="preserve">return/output/</x:t>
    </x:r>
    <x:r>
      <x:rPr>
        <x:sz val="1000"/>
        <x:color rgb="FF1F2937"/>
        <x:rFont val="Noto Sans CJK SC"/>
        <x:family val="2"/>
      </x:rPr>
      <x:t xml:space="preserve">状态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副作用；完成必要清理、读回或健康查询后返回唯一</x:t>
    </x:r>
    <x:r>
      <x:rPr>
        <x:sz val="1000"/>
        <x:color rgb="FF1F2937"/>
        <x:rFont val="Calibri"/>
      </x:rPr>
      <x:t xml:space="preserve">verdict</x:t>
    </x:r>
  </x:si>
  <x:si>
    <x:r>
      <x:rPr>
        <x:sz val="1000"/>
        <x:color rgb="FF1F2937"/>
        <x:rFont val="Noto Sans CJK SC"/>
        <x:family val="2"/>
      </x:rPr>
      <x:t xml:space="preserve">读取</x:t>
    </x:r>
    <x:r>
      <x:rPr>
        <x:sz val="1000"/>
        <x:color rgb="FF1F2937"/>
        <x:rFont val="Calibri"/>
      </x:rPr>
      <x:t xml:space="preserve">BL self-test</x:t>
    </x:r>
    <x:r>
      <x:rPr>
        <x:sz val="1000"/>
        <x:color rgb="FF1F2937"/>
        <x:rFont val="Noto Sans CJK SC"/>
        <x:family val="2"/>
      </x:rPr>
      <x:t xml:space="preserve">结果；检查返回、状态字段和后续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事务</x:t>
    </x:r>
  </x:si>
  <x:si>
    <x:r>
      <x:rPr>
        <x:sz val="1000"/>
        <x:color rgb="FF1F2937"/>
        <x:rFont val="Noto Sans CJK SC"/>
        <x:family val="2"/>
      </x:rPr>
      <x:t xml:space="preserve">确认</x:t>
    </x:r>
    <x:r>
      <x:rPr>
        <x:sz val="1000"/>
        <x:color rgb="FF1F2937"/>
        <x:rFont val="Calibri"/>
      </x:rPr>
      <x:t xml:space="preserve">BL</x:t>
    </x:r>
    <x:r>
      <x:rPr>
        <x:sz val="1000"/>
        <x:color rgb="FF1F2937"/>
        <x:rFont val="Noto Sans CJK SC"/>
        <x:family val="2"/>
      </x:rPr>
      <x:t xml:space="preserve">阶段；调用</x:t>
    </x:r>
    <x:r>
      <x:rPr>
        <x:sz val="1000"/>
        <x:color rgb="FF1F2937"/>
        <x:rFont val="Calibri"/>
      </x:rPr>
      <x:t xml:space="preserve">security_case_mb_bl_015_basic()</x:t>
    </x:r>
    <x:r>
      <x:rPr>
        <x:sz val="1000"/>
        <x:color rgb="FF1F2937"/>
        <x:rFont val="Noto Sans CJK SC"/>
        <x:family val="2"/>
      </x:rPr>
      <x:t xml:space="preserve">对应的</x:t>
    </x:r>
    <x:r>
      <x:rPr>
        <x:sz val="1000"/>
        <x:color rgb="FF1F2937"/>
        <x:rFont val="Calibri"/>
      </x:rPr>
      <x:t xml:space="preserve">baremetal eHSM typed API</x:t>
    </x:r>
    <x:r>
      <x:rPr>
        <x:sz val="1000"/>
        <x:color rgb="FF1F2937"/>
        <x:rFont val="Noto Sans CJK SC"/>
        <x:family val="2"/>
      </x:rPr>
      <x:t xml:space="preserve">；按本行参数化覆盖执行真实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事务；比较</x:t>
    </x:r>
    <x:r>
      <x:rPr>
        <x:sz val="1000"/>
        <x:color rgb="FF1F2937"/>
        <x:rFont val="Calibri"/>
      </x:rPr>
      <x:t xml:space="preserve">return/output/</x:t>
    </x:r>
    <x:r>
      <x:rPr>
        <x:sz val="1000"/>
        <x:color rgb="FF1F2937"/>
        <x:rFont val="Noto Sans CJK SC"/>
        <x:family val="2"/>
      </x:rPr>
      <x:t xml:space="preserve">状态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副作用；完成必要清理、读回或健康查询后返回唯一</x:t>
    </x:r>
    <x:r>
      <x:rPr>
        <x:sz val="1000"/>
        <x:color rgb="FF1F2937"/>
        <x:rFont val="Calibri"/>
      </x:rPr>
      <x:t xml:space="preserve">verdict</x:t>
    </x:r>
  </x:si>
  <x:si>
    <x:t xml:space="preserve">3 vectors × enc/dec × one-pass/stepwise × key-handle/plain-key = 24 Mailbox paths</x:t>
  </x:si>
  <x:si>
    <x:r>
      <x:rPr>
        <x:sz val="1000"/>
        <x:color rgb="FF1F2937"/>
        <x:rFont val="Calibri"/>
      </x:rPr>
      <x:t xml:space="preserve">eHSM</x:t>
    </x:r>
    <x:r>
      <x:rPr>
        <x:sz val="1000"/>
        <x:color rgb="FF1F2937"/>
        <x:rFont val="Noto Sans CJK SC"/>
        <x:family val="2"/>
      </x:rPr>
      <x:t xml:space="preserve">处于</x:t>
    </x:r>
    <x:r>
      <x:rPr>
        <x:sz val="1000"/>
        <x:color rgb="FF1F2937"/>
        <x:rFont val="Calibri"/>
      </x:rPr>
      <x:t xml:space="preserve">FW</x:t>
    </x:r>
    <x:r>
      <x:rPr>
        <x:sz val="1000"/>
        <x:color rgb="FF1F2937"/>
        <x:rFont val="Noto Sans CJK SC"/>
        <x:family val="2"/>
      </x:rPr>
      <x:t xml:space="preserve">阶段；首次</x:t>
    </x:r>
    <x:r>
      <x:rPr>
        <x:sz val="1000"/>
        <x:color rgb="FF1F2937"/>
        <x:rFont val="Calibri"/>
      </x:rPr>
      <x:t xml:space="preserve">runtime</x:t>
    </x:r>
    <x:r>
      <x:rPr>
        <x:sz val="1000"/>
        <x:color rgb="FF1F2937"/>
        <x:rFont val="Noto Sans CJK SC"/>
        <x:family val="2"/>
      </x:rPr>
      <x:t xml:space="preserve">初始化成功；</x:t>
    </x:r>
    <x:r>
      <x:rPr>
        <x:sz val="1000"/>
        <x:color rgb="FF1F2937"/>
        <x:rFont val="Calibri"/>
      </x:rPr>
      <x:t xml:space="preserve">service channel 1/poll/100 ms</x:t>
    </x:r>
    <x:r>
      <x:rPr>
        <x:sz val="1000"/>
        <x:color rgb="FF1F2937"/>
        <x:rFont val="Noto Sans CJK SC"/>
        <x:family val="2"/>
      </x:rPr>
      <x:t xml:space="preserve">合同有效</x:t>
    </x:r>
  </x:si>
  <x:si>
    <x:r>
      <x:rPr>
        <x:sz val="1000"/>
        <x:color rgb="FF1F2937"/>
        <x:rFont val="Noto Sans CJK SC"/>
        <x:family val="2"/>
      </x:rPr>
      <x:t xml:space="preserve">确认</x:t>
    </x:r>
    <x:r>
      <x:rPr>
        <x:sz val="1000"/>
        <x:color rgb="FF1F2937"/>
        <x:rFont val="Calibri"/>
      </x:rPr>
      <x:t xml:space="preserve">FW</x:t>
    </x:r>
    <x:r>
      <x:rPr>
        <x:sz val="1000"/>
        <x:color rgb="FF1F2937"/>
        <x:rFont val="Noto Sans CJK SC"/>
        <x:family val="2"/>
      </x:rPr>
      <x:t xml:space="preserve">阶段；调用</x:t>
    </x:r>
    <x:r>
      <x:rPr>
        <x:sz val="1000"/>
        <x:color rgb="FF1F2937"/>
        <x:rFont val="Calibri"/>
      </x:rPr>
      <x:t xml:space="preserve">security_case_mb_fw_016_basic()</x:t>
    </x:r>
    <x:r>
      <x:rPr>
        <x:sz val="1000"/>
        <x:color rgb="FF1F2937"/>
        <x:rFont val="Noto Sans CJK SC"/>
        <x:family val="2"/>
      </x:rPr>
      <x:t xml:space="preserve">对应的</x:t>
    </x:r>
    <x:r>
      <x:rPr>
        <x:sz val="1000"/>
        <x:color rgb="FF1F2937"/>
        <x:rFont val="Calibri"/>
      </x:rPr>
      <x:t xml:space="preserve">baremetal eHSM typed API</x:t>
    </x:r>
    <x:r>
      <x:rPr>
        <x:sz val="1000"/>
        <x:color rgb="FF1F2937"/>
        <x:rFont val="Noto Sans CJK SC"/>
        <x:family val="2"/>
      </x:rPr>
      <x:t xml:space="preserve">；按本行参数化覆盖执行真实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事务；比较</x:t>
    </x:r>
    <x:r>
      <x:rPr>
        <x:sz val="1000"/>
        <x:color rgb="FF1F2937"/>
        <x:rFont val="Calibri"/>
      </x:rPr>
      <x:t xml:space="preserve">return/output/</x:t>
    </x:r>
    <x:r>
      <x:rPr>
        <x:sz val="1000"/>
        <x:color rgb="FF1F2937"/>
        <x:rFont val="Noto Sans CJK SC"/>
        <x:family val="2"/>
      </x:rPr>
      <x:t xml:space="preserve">状态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副作用；完成必要清理、读回或健康查询后返回唯一</x:t>
    </x:r>
    <x:r>
      <x:rPr>
        <x:sz val="1000"/>
        <x:color rgb="FF1F2937"/>
        <x:rFont val="Calibri"/>
      </x:rPr>
      <x:t xml:space="preserve">verdict</x:t>
    </x:r>
  </x:si>
  <x:si>
    <x:r>
      <x:rPr>
        <x:sz val="1000"/>
        <x:color rgb="FF1F2937"/>
        <x:rFont val="Noto Sans CJK SC"/>
        <x:family val="2"/>
      </x:rPr>
      <x:t xml:space="preserve">本行列出的全部参数化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子路径均满足</x:t>
    </x:r>
    <x:r>
      <x:rPr>
        <x:sz val="1000"/>
        <x:color rgb="FF1F2937"/>
        <x:rFont val="Calibri"/>
      </x:rPr>
      <x:t xml:space="preserve">API</x:t>
    </x:r>
    <x:r>
      <x:rPr>
        <x:sz val="1000"/>
        <x:color rgb="FF1F2937"/>
        <x:rFont val="Noto Sans CJK SC"/>
        <x:family val="2"/>
      </x:rPr>
      <x:t xml:space="preserve">返回、长度、完整向量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闭环、</x:t>
    </x:r>
    <x:r>
      <x:rPr>
        <x:sz val="1000"/>
        <x:color rgb="FF1F2937"/>
        <x:rFont val="Calibri"/>
      </x:rPr>
      <x:t xml:space="preserve">verify flag</x:t>
    </x:r>
    <x:r>
      <x:rPr>
        <x:sz val="1000"/>
        <x:color rgb="FF1F2937"/>
        <x:rFont val="Noto Sans CJK SC"/>
        <x:family val="2"/>
      </x:rPr>
      <x:t xml:space="preserve">和临时</x:t>
    </x:r>
    <x:r>
      <x:rPr>
        <x:sz val="1000"/>
        <x:color rgb="FF1F2937"/>
        <x:rFont val="Calibri"/>
      </x:rPr>
      <x:t xml:space="preserve">key</x:t>
    </x:r>
    <x:r>
      <x:rPr>
        <x:sz val="1000"/>
        <x:color rgb="FF1F2937"/>
        <x:rFont val="Noto Sans CJK SC"/>
        <x:family val="2"/>
      </x:rPr>
      <x:t xml:space="preserve">清理；任一路径失败整条</x:t>
    </x:r>
    <x:r>
      <x:rPr>
        <x:sz val="1000"/>
        <x:color rgb="FF1F2937"/>
        <x:rFont val="Calibri"/>
      </x:rPr>
      <x:t xml:space="preserve">case</x:t>
    </x:r>
    <x:r>
      <x:rPr>
        <x:sz val="1000"/>
        <x:color rgb="FF1F2937"/>
        <x:rFont val="Noto Sans CJK SC"/>
        <x:family val="2"/>
      </x:rPr>
      <x:t xml:space="preserve">非</x:t>
    </x:r>
    <x:r>
      <x:rPr>
        <x:sz val="1000"/>
        <x:color rgb="FF1F2937"/>
        <x:rFont val="Calibri"/>
      </x:rPr>
      <x:t xml:space="preserve">PASS</x:t>
    </x:r>
    <x:r>
      <x:rPr>
        <x:sz val="1000"/>
        <x:color rgb="FF1F2937"/>
        <x:rFont val="Noto Sans CJK SC"/>
        <x:family val="2"/>
      </x:rPr>
      <x:t xml:space="preserve">，固定</x:t>
    </x:r>
    <x:r>
      <x:rPr>
        <x:sz val="1000"/>
        <x:color rgb="FF1F2937"/>
        <x:rFont val="Calibri"/>
      </x:rPr>
      <x:t xml:space="preserve">handle</x:t>
    </x:r>
    <x:r>
      <x:rPr>
        <x:sz val="1000"/>
        <x:color rgb="FF1F2937"/>
        <x:rFont val="Noto Sans CJK SC"/>
        <x:family val="2"/>
      </x:rPr>
      <x:t xml:space="preserve">状态未知时</x:t>
    </x:r>
    <x:r>
      <x:rPr>
        <x:sz val="1000"/>
        <x:color rgb="FF1F2937"/>
        <x:rFont val="Calibri"/>
      </x:rPr>
      <x:t xml:space="preserve">quarantine</x:t>
    </x:r>
    <x:r>
      <x:rPr>
        <x:sz val="1000"/>
        <x:color rgb="FF1F2937"/>
        <x:rFont val="Noto Sans CJK SC"/>
        <x:family val="2"/>
      </x:rPr>
      <x:t xml:space="preserve">并</x:t>
    </x:r>
    <x:r>
      <x:rPr>
        <x:sz val="1000"/>
        <x:color rgb="FF1F2937"/>
        <x:rFont val="Calibri"/>
      </x:rPr>
      <x:t xml:space="preserve">INCONCLUSIVE</x:t>
    </x:r>
  </x:si>
  <x:si>
    <x:t xml:space="preserve">eHSM FW 2.3.3-4019-6234423/inc/mb.h; SRC-0018; Host API/TRM; TASK-SEC-BAREMETAL-EHSM-001</x:t>
  </x:si>
  <x:si>
    <x:t xml:space="preserve">EHSM-BASELINE-001</x:t>
  </x:si>
  <x:si>
    <x:t xml:space="preserve">AES-128-GCM: enc/dec × one-pass/stepwise × key-handle/plain-key = 8 paths</x:t>
  </x:si>
  <x:si>
    <x:r>
      <x:rPr>
        <x:sz val="1000"/>
        <x:color rgb="FF1F2937"/>
        <x:rFont val="Noto Sans CJK SC"/>
        <x:family val="2"/>
      </x:rPr>
      <x:t xml:space="preserve">确认</x:t>
    </x:r>
    <x:r>
      <x:rPr>
        <x:sz val="1000"/>
        <x:color rgb="FF1F2937"/>
        <x:rFont val="Calibri"/>
      </x:rPr>
      <x:t xml:space="preserve">FW</x:t>
    </x:r>
    <x:r>
      <x:rPr>
        <x:sz val="1000"/>
        <x:color rgb="FF1F2937"/>
        <x:rFont val="Noto Sans CJK SC"/>
        <x:family val="2"/>
      </x:rPr>
      <x:t xml:space="preserve">阶段；调用</x:t>
    </x:r>
    <x:r>
      <x:rPr>
        <x:sz val="1000"/>
        <x:color rgb="FF1F2937"/>
        <x:rFont val="Calibri"/>
      </x:rPr>
      <x:t xml:space="preserve">security_case_mb_fw_017_basic()</x:t>
    </x:r>
    <x:r>
      <x:rPr>
        <x:sz val="1000"/>
        <x:color rgb="FF1F2937"/>
        <x:rFont val="Noto Sans CJK SC"/>
        <x:family val="2"/>
      </x:rPr>
      <x:t xml:space="preserve">对应的</x:t>
    </x:r>
    <x:r>
      <x:rPr>
        <x:sz val="1000"/>
        <x:color rgb="FF1F2937"/>
        <x:rFont val="Calibri"/>
      </x:rPr>
      <x:t xml:space="preserve">baremetal eHSM typed API</x:t>
    </x:r>
    <x:r>
      <x:rPr>
        <x:sz val="1000"/>
        <x:color rgb="FF1F2937"/>
        <x:rFont val="Noto Sans CJK SC"/>
        <x:family val="2"/>
      </x:rPr>
      <x:t xml:space="preserve">；按本行参数化覆盖执行真实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事务；比较</x:t>
    </x:r>
    <x:r>
      <x:rPr>
        <x:sz val="1000"/>
        <x:color rgb="FF1F2937"/>
        <x:rFont val="Calibri"/>
      </x:rPr>
      <x:t xml:space="preserve">return/output/</x:t>
    </x:r>
    <x:r>
      <x:rPr>
        <x:sz val="1000"/>
        <x:color rgb="FF1F2937"/>
        <x:rFont val="Noto Sans CJK SC"/>
        <x:family val="2"/>
      </x:rPr>
      <x:t xml:space="preserve">状态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副作用；完成必要清理、读回或健康查询后返回唯一</x:t>
    </x:r>
    <x:r>
      <x:rPr>
        <x:sz val="1000"/>
        <x:color rgb="FF1F2937"/>
        <x:rFont val="Calibri"/>
      </x:rPr>
      <x:t xml:space="preserve">verdict</x:t>
    </x:r>
  </x:si>
  <x:si>
    <x:t xml:space="preserve">SM4-CCM: enc/dec × one-pass/stepwise × key-handle/plain-key = 8 paths</x:t>
  </x:si>
  <x:si>
    <x:r>
      <x:rPr>
        <x:sz val="1000"/>
        <x:color rgb="FF1F2937"/>
        <x:rFont val="Noto Sans CJK SC"/>
        <x:family val="2"/>
      </x:rPr>
      <x:t xml:space="preserve">确认</x:t>
    </x:r>
    <x:r>
      <x:rPr>
        <x:sz val="1000"/>
        <x:color rgb="FF1F2937"/>
        <x:rFont val="Calibri"/>
      </x:rPr>
      <x:t xml:space="preserve">FW</x:t>
    </x:r>
    <x:r>
      <x:rPr>
        <x:sz val="1000"/>
        <x:color rgb="FF1F2937"/>
        <x:rFont val="Noto Sans CJK SC"/>
        <x:family val="2"/>
      </x:rPr>
      <x:t xml:space="preserve">阶段；调用</x:t>
    </x:r>
    <x:r>
      <x:rPr>
        <x:sz val="1000"/>
        <x:color rgb="FF1F2937"/>
        <x:rFont val="Calibri"/>
      </x:rPr>
      <x:t xml:space="preserve">security_case_mb_fw_018_basic()</x:t>
    </x:r>
    <x:r>
      <x:rPr>
        <x:sz val="1000"/>
        <x:color rgb="FF1F2937"/>
        <x:rFont val="Noto Sans CJK SC"/>
        <x:family val="2"/>
      </x:rPr>
      <x:t xml:space="preserve">对应的</x:t>
    </x:r>
    <x:r>
      <x:rPr>
        <x:sz val="1000"/>
        <x:color rgb="FF1F2937"/>
        <x:rFont val="Calibri"/>
      </x:rPr>
      <x:t xml:space="preserve">baremetal eHSM typed API</x:t>
    </x:r>
    <x:r>
      <x:rPr>
        <x:sz val="1000"/>
        <x:color rgb="FF1F2937"/>
        <x:rFont val="Noto Sans CJK SC"/>
        <x:family val="2"/>
      </x:rPr>
      <x:t xml:space="preserve">；按本行参数化覆盖执行真实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事务；比较</x:t>
    </x:r>
    <x:r>
      <x:rPr>
        <x:sz val="1000"/>
        <x:color rgb="FF1F2937"/>
        <x:rFont val="Calibri"/>
      </x:rPr>
      <x:t xml:space="preserve">return/output/</x:t>
    </x:r>
    <x:r>
      <x:rPr>
        <x:sz val="1000"/>
        <x:color rgb="FF1F2937"/>
        <x:rFont val="Noto Sans CJK SC"/>
        <x:family val="2"/>
      </x:rPr>
      <x:t xml:space="preserve">状态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副作用；完成必要清理、读回或健康查询后返回唯一</x:t>
    </x:r>
    <x:r>
      <x:rPr>
        <x:sz val="1000"/>
        <x:color rgb="FF1F2937"/>
        <x:rFont val="Calibri"/>
      </x:rPr>
      <x:t xml:space="preserve">verdict</x:t>
    </x:r>
  </x:si>
  <x:si>
    <x:t xml:space="preserve">SHA-256 one-pass + stepwise (10/70/16 bytes)</x:t>
  </x:si>
  <x:si>
    <x:r>
      <x:rPr>
        <x:sz val="1000"/>
        <x:color rgb="FF1F2937"/>
        <x:rFont val="Noto Sans CJK SC"/>
        <x:family val="2"/>
      </x:rPr>
      <x:t xml:space="preserve">确认</x:t>
    </x:r>
    <x:r>
      <x:rPr>
        <x:sz val="1000"/>
        <x:color rgb="FF1F2937"/>
        <x:rFont val="Calibri"/>
      </x:rPr>
      <x:t xml:space="preserve">FW</x:t>
    </x:r>
    <x:r>
      <x:rPr>
        <x:sz val="1000"/>
        <x:color rgb="FF1F2937"/>
        <x:rFont val="Noto Sans CJK SC"/>
        <x:family val="2"/>
      </x:rPr>
      <x:t xml:space="preserve">阶段；调用</x:t>
    </x:r>
    <x:r>
      <x:rPr>
        <x:sz val="1000"/>
        <x:color rgb="FF1F2937"/>
        <x:rFont val="Calibri"/>
      </x:rPr>
      <x:t xml:space="preserve">security_case_mb_fw_019_basic()</x:t>
    </x:r>
    <x:r>
      <x:rPr>
        <x:sz val="1000"/>
        <x:color rgb="FF1F2937"/>
        <x:rFont val="Noto Sans CJK SC"/>
        <x:family val="2"/>
      </x:rPr>
      <x:t xml:space="preserve">对应的</x:t>
    </x:r>
    <x:r>
      <x:rPr>
        <x:sz val="1000"/>
        <x:color rgb="FF1F2937"/>
        <x:rFont val="Calibri"/>
      </x:rPr>
      <x:t xml:space="preserve">baremetal eHSM typed API</x:t>
    </x:r>
    <x:r>
      <x:rPr>
        <x:sz val="1000"/>
        <x:color rgb="FF1F2937"/>
        <x:rFont val="Noto Sans CJK SC"/>
        <x:family val="2"/>
      </x:rPr>
      <x:t xml:space="preserve">；按本行参数化覆盖执行真实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事务；比较</x:t>
    </x:r>
    <x:r>
      <x:rPr>
        <x:sz val="1000"/>
        <x:color rgb="FF1F2937"/>
        <x:rFont val="Calibri"/>
      </x:rPr>
      <x:t xml:space="preserve">return/output/</x:t>
    </x:r>
    <x:r>
      <x:rPr>
        <x:sz val="1000"/>
        <x:color rgb="FF1F2937"/>
        <x:rFont val="Noto Sans CJK SC"/>
        <x:family val="2"/>
      </x:rPr>
      <x:t xml:space="preserve">状态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副作用；完成必要清理、读回或健康查询后返回唯一</x:t>
    </x:r>
    <x:r>
      <x:rPr>
        <x:sz val="1000"/>
        <x:color rgb="FF1F2937"/>
        <x:rFont val="Calibri"/>
      </x:rPr>
      <x:t xml:space="preserve">verdict</x:t>
    </x:r>
  </x:si>
  <x:si>
    <x:t xml:space="preserve">HMAC-SHA-256: gen/verify × one-pass/stepwise × key-handle/plain-key = 8 paths</x:t>
  </x:si>
  <x:si>
    <x:r>
      <x:rPr>
        <x:sz val="1000"/>
        <x:color rgb="FF1F2937"/>
        <x:rFont val="Noto Sans CJK SC"/>
        <x:family val="2"/>
      </x:rPr>
      <x:t xml:space="preserve">确认</x:t>
    </x:r>
    <x:r>
      <x:rPr>
        <x:sz val="1000"/>
        <x:color rgb="FF1F2937"/>
        <x:rFont val="Calibri"/>
      </x:rPr>
      <x:t xml:space="preserve">FW</x:t>
    </x:r>
    <x:r>
      <x:rPr>
        <x:sz val="1000"/>
        <x:color rgb="FF1F2937"/>
        <x:rFont val="Noto Sans CJK SC"/>
        <x:family val="2"/>
      </x:rPr>
      <x:t xml:space="preserve">阶段；调用</x:t>
    </x:r>
    <x:r>
      <x:rPr>
        <x:sz val="1000"/>
        <x:color rgb="FF1F2937"/>
        <x:rFont val="Calibri"/>
      </x:rPr>
      <x:t xml:space="preserve">security_case_mb_fw_020_basic()</x:t>
    </x:r>
    <x:r>
      <x:rPr>
        <x:sz val="1000"/>
        <x:color rgb="FF1F2937"/>
        <x:rFont val="Noto Sans CJK SC"/>
        <x:family val="2"/>
      </x:rPr>
      <x:t xml:space="preserve">对应的</x:t>
    </x:r>
    <x:r>
      <x:rPr>
        <x:sz val="1000"/>
        <x:color rgb="FF1F2937"/>
        <x:rFont val="Calibri"/>
      </x:rPr>
      <x:t xml:space="preserve">baremetal eHSM typed API</x:t>
    </x:r>
    <x:r>
      <x:rPr>
        <x:sz val="1000"/>
        <x:color rgb="FF1F2937"/>
        <x:rFont val="Noto Sans CJK SC"/>
        <x:family val="2"/>
      </x:rPr>
      <x:t xml:space="preserve">；按本行参数化覆盖执行真实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事务；比较</x:t>
    </x:r>
    <x:r>
      <x:rPr>
        <x:sz val="1000"/>
        <x:color rgb="FF1F2937"/>
        <x:rFont val="Calibri"/>
      </x:rPr>
      <x:t xml:space="preserve">return/output/</x:t>
    </x:r>
    <x:r>
      <x:rPr>
        <x:sz val="1000"/>
        <x:color rgb="FF1F2937"/>
        <x:rFont val="Noto Sans CJK SC"/>
        <x:family val="2"/>
      </x:rPr>
      <x:t xml:space="preserve">状态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副作用；完成必要清理、读回或健康查询后返回唯一</x:t>
    </x:r>
    <x:r>
      <x:rPr>
        <x:sz val="1000"/>
        <x:color rgb="FF1F2937"/>
        <x:rFont val="Calibri"/>
      </x:rPr>
      <x:t xml:space="preserve">verdict</x:t>
    </x:r>
  </x:si>
  <x:si>
    <x:r>
      <x:rPr>
        <x:sz val="1000"/>
        <x:color rgb="FF1F2937"/>
        <x:rFont val="Calibri"/>
      </x:rPr>
      <x:t xml:space="preserve">AES128-CMAC</x:t>
    </x:r>
    <x:r>
      <x:rPr>
        <x:sz val="1000"/>
        <x:color rgb="FF1F2937"/>
        <x:rFont val="Noto Sans CJK SC"/>
        <x:family val="2"/>
      </x:rPr>
      <x:t xml:space="preserve">、</x:t>
    </x:r>
    <x:r>
      <x:rPr>
        <x:sz val="1000"/>
        <x:color rgb="FF1F2937"/>
        <x:rFont val="Calibri"/>
      </x:rPr>
      <x:t xml:space="preserve">AES256-CBCMAC</x:t>
    </x:r>
    <x:r>
      <x:rPr>
        <x:sz val="1000"/>
        <x:color rgb="FF1F2937"/>
        <x:rFont val="Noto Sans CJK SC"/>
        <x:family val="2"/>
      </x:rPr>
      <x:t xml:space="preserve">、</x:t>
    </x:r>
    <x:r>
      <x:rPr>
        <x:sz val="1000"/>
        <x:color rgb="FF1F2937"/>
        <x:rFont val="Calibri"/>
      </x:rPr>
      <x:t xml:space="preserve">SM4-GMAC</x:t>
    </x:r>
    <x:r>
      <x:rPr>
        <x:sz val="1000"/>
        <x:color rgb="FF1F2937"/>
        <x:rFont val="Noto Sans CJK SC"/>
        <x:family val="2"/>
      </x:rPr>
      <x:t xml:space="preserve">，各执行 </x:t>
    </x:r>
    <x:r>
      <x:rPr>
        <x:sz val="1000"/>
        <x:color rgb="FF1F2937"/>
        <x:rFont val="Calibri"/>
      </x:rPr>
      <x:t xml:space="preserve">8-path matrix = 24 paths</x:t>
    </x:r>
  </x:si>
  <x:si>
    <x:r>
      <x:rPr>
        <x:sz val="1000"/>
        <x:color rgb="FF1F2937"/>
        <x:rFont val="Noto Sans CJK SC"/>
        <x:family val="2"/>
      </x:rPr>
      <x:t xml:space="preserve">确认</x:t>
    </x:r>
    <x:r>
      <x:rPr>
        <x:sz val="1000"/>
        <x:color rgb="FF1F2937"/>
        <x:rFont val="Calibri"/>
      </x:rPr>
      <x:t xml:space="preserve">FW</x:t>
    </x:r>
    <x:r>
      <x:rPr>
        <x:sz val="1000"/>
        <x:color rgb="FF1F2937"/>
        <x:rFont val="Noto Sans CJK SC"/>
        <x:family val="2"/>
      </x:rPr>
      <x:t xml:space="preserve">阶段；调用</x:t>
    </x:r>
    <x:r>
      <x:rPr>
        <x:sz val="1000"/>
        <x:color rgb="FF1F2937"/>
        <x:rFont val="Calibri"/>
      </x:rPr>
      <x:t xml:space="preserve">security_case_mb_fw_021_basic()</x:t>
    </x:r>
    <x:r>
      <x:rPr>
        <x:sz val="1000"/>
        <x:color rgb="FF1F2937"/>
        <x:rFont val="Noto Sans CJK SC"/>
        <x:family val="2"/>
      </x:rPr>
      <x:t xml:space="preserve">对应的</x:t>
    </x:r>
    <x:r>
      <x:rPr>
        <x:sz val="1000"/>
        <x:color rgb="FF1F2937"/>
        <x:rFont val="Calibri"/>
      </x:rPr>
      <x:t xml:space="preserve">baremetal eHSM typed API</x:t>
    </x:r>
    <x:r>
      <x:rPr>
        <x:sz val="1000"/>
        <x:color rgb="FF1F2937"/>
        <x:rFont val="Noto Sans CJK SC"/>
        <x:family val="2"/>
      </x:rPr>
      <x:t xml:space="preserve">；按本行参数化覆盖执行真实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事务；比较</x:t>
    </x:r>
    <x:r>
      <x:rPr>
        <x:sz val="1000"/>
        <x:color rgb="FF1F2937"/>
        <x:rFont val="Calibri"/>
      </x:rPr>
      <x:t xml:space="preserve">return/output/</x:t>
    </x:r>
    <x:r>
      <x:rPr>
        <x:sz val="1000"/>
        <x:color rgb="FF1F2937"/>
        <x:rFont val="Noto Sans CJK SC"/>
        <x:family val="2"/>
      </x:rPr>
      <x:t xml:space="preserve">状态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副作用；完成必要清理、读回或健康查询后返回唯一</x:t>
    </x:r>
    <x:r>
      <x:rPr>
        <x:sz val="1000"/>
        <x:color rgb="FF1F2937"/>
        <x:rFont val="Calibri"/>
      </x:rPr>
      <x:t xml:space="preserve">verdict</x:t>
    </x:r>
  </x:si>
  <x:si>
    <x:t xml:space="preserve">SM2 fixed decrypt + encrypt/decrypt closure × key-handle/plain-key = 4 paths</x:t>
  </x:si>
  <x:si>
    <x:r>
      <x:rPr>
        <x:sz val="1000"/>
        <x:color rgb="FF1F2937"/>
        <x:rFont val="Noto Sans CJK SC"/>
        <x:family val="2"/>
      </x:rPr>
      <x:t xml:space="preserve">确认</x:t>
    </x:r>
    <x:r>
      <x:rPr>
        <x:sz val="1000"/>
        <x:color rgb="FF1F2937"/>
        <x:rFont val="Calibri"/>
      </x:rPr>
      <x:t xml:space="preserve">FW</x:t>
    </x:r>
    <x:r>
      <x:rPr>
        <x:sz val="1000"/>
        <x:color rgb="FF1F2937"/>
        <x:rFont val="Noto Sans CJK SC"/>
        <x:family val="2"/>
      </x:rPr>
      <x:t xml:space="preserve">阶段；调用</x:t>
    </x:r>
    <x:r>
      <x:rPr>
        <x:sz val="1000"/>
        <x:color rgb="FF1F2937"/>
        <x:rFont val="Calibri"/>
      </x:rPr>
      <x:t xml:space="preserve">security_case_mb_fw_022_basic()</x:t>
    </x:r>
    <x:r>
      <x:rPr>
        <x:sz val="1000"/>
        <x:color rgb="FF1F2937"/>
        <x:rFont val="Noto Sans CJK SC"/>
        <x:family val="2"/>
      </x:rPr>
      <x:t xml:space="preserve">对应的</x:t>
    </x:r>
    <x:r>
      <x:rPr>
        <x:sz val="1000"/>
        <x:color rgb="FF1F2937"/>
        <x:rFont val="Calibri"/>
      </x:rPr>
      <x:t xml:space="preserve">baremetal eHSM typed API</x:t>
    </x:r>
    <x:r>
      <x:rPr>
        <x:sz val="1000"/>
        <x:color rgb="FF1F2937"/>
        <x:rFont val="Noto Sans CJK SC"/>
        <x:family val="2"/>
      </x:rPr>
      <x:t xml:space="preserve">；按本行参数化覆盖执行真实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事务；比较</x:t>
    </x:r>
    <x:r>
      <x:rPr>
        <x:sz val="1000"/>
        <x:color rgb="FF1F2937"/>
        <x:rFont val="Calibri"/>
      </x:rPr>
      <x:t xml:space="preserve">return/output/</x:t>
    </x:r>
    <x:r>
      <x:rPr>
        <x:sz val="1000"/>
        <x:color rgb="FF1F2937"/>
        <x:rFont val="Noto Sans CJK SC"/>
        <x:family val="2"/>
      </x:rPr>
      <x:t xml:space="preserve">状态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副作用；完成必要清理、读回或健康查询后返回唯一</x:t>
    </x:r>
    <x:r>
      <x:rPr>
        <x:sz val="1000"/>
        <x:color rgb="FF1F2937"/>
        <x:rFont val="Calibri"/>
      </x:rPr>
      <x:t xml:space="preserve">verdict</x:t>
    </x:r>
  </x:si>
  <x:si>
    <x:t xml:space="preserve">SM2: fixed verify/generated reverify × one-pass/stepwise × key-handle/plain-key = 8 Mailbox paths</x:t>
  </x:si>
  <x:si>
    <x:r>
      <x:rPr>
        <x:sz val="1000"/>
        <x:color rgb="FF1F2937"/>
        <x:rFont val="Noto Sans CJK SC"/>
        <x:family val="2"/>
      </x:rPr>
      <x:t xml:space="preserve">确认</x:t>
    </x:r>
    <x:r>
      <x:rPr>
        <x:sz val="1000"/>
        <x:color rgb="FF1F2937"/>
        <x:rFont val="Calibri"/>
      </x:rPr>
      <x:t xml:space="preserve">FW</x:t>
    </x:r>
    <x:r>
      <x:rPr>
        <x:sz val="1000"/>
        <x:color rgb="FF1F2937"/>
        <x:rFont val="Noto Sans CJK SC"/>
        <x:family val="2"/>
      </x:rPr>
      <x:t xml:space="preserve">阶段；调用</x:t>
    </x:r>
    <x:r>
      <x:rPr>
        <x:sz val="1000"/>
        <x:color rgb="FF1F2937"/>
        <x:rFont val="Calibri"/>
      </x:rPr>
      <x:t xml:space="preserve">security_case_mb_fw_023_basic()</x:t>
    </x:r>
    <x:r>
      <x:rPr>
        <x:sz val="1000"/>
        <x:color rgb="FF1F2937"/>
        <x:rFont val="Noto Sans CJK SC"/>
        <x:family val="2"/>
      </x:rPr>
      <x:t xml:space="preserve">对应的</x:t>
    </x:r>
    <x:r>
      <x:rPr>
        <x:sz val="1000"/>
        <x:color rgb="FF1F2937"/>
        <x:rFont val="Calibri"/>
      </x:rPr>
      <x:t xml:space="preserve">baremetal eHSM typed API</x:t>
    </x:r>
    <x:r>
      <x:rPr>
        <x:sz val="1000"/>
        <x:color rgb="FF1F2937"/>
        <x:rFont val="Noto Sans CJK SC"/>
        <x:family val="2"/>
      </x:rPr>
      <x:t xml:space="preserve">；按本行参数化覆盖执行真实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事务；比较</x:t>
    </x:r>
    <x:r>
      <x:rPr>
        <x:sz val="1000"/>
        <x:color rgb="FF1F2937"/>
        <x:rFont val="Calibri"/>
      </x:rPr>
      <x:t xml:space="preserve">return/output/</x:t>
    </x:r>
    <x:r>
      <x:rPr>
        <x:sz val="1000"/>
        <x:color rgb="FF1F2937"/>
        <x:rFont val="Noto Sans CJK SC"/>
        <x:family val="2"/>
      </x:rPr>
      <x:t xml:space="preserve">状态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副作用；完成必要清理、读回或健康查询后返回唯一</x:t>
    </x:r>
    <x:r>
      <x:rPr>
        <x:sz val="1000"/>
        <x:color rgb="FF1F2937"/>
        <x:rFont val="Calibri"/>
      </x:rPr>
      <x:t xml:space="preserve">verdict</x:t>
    </x:r>
  </x:si>
  <x:si>
    <x:t xml:space="preserve">RSA1024 normal/CRT × fixed decrypt/encrypt × key-handle/plain-key = 8 paths</x:t>
  </x:si>
  <x:si>
    <x:r>
      <x:rPr>
        <x:sz val="1000"/>
        <x:color rgb="FF1F2937"/>
        <x:rFont val="Noto Sans CJK SC"/>
        <x:family val="2"/>
      </x:rPr>
      <x:t xml:space="preserve">确认</x:t>
    </x:r>
    <x:r>
      <x:rPr>
        <x:sz val="1000"/>
        <x:color rgb="FF1F2937"/>
        <x:rFont val="Calibri"/>
      </x:rPr>
      <x:t xml:space="preserve">FW</x:t>
    </x:r>
    <x:r>
      <x:rPr>
        <x:sz val="1000"/>
        <x:color rgb="FF1F2937"/>
        <x:rFont val="Noto Sans CJK SC"/>
        <x:family val="2"/>
      </x:rPr>
      <x:t xml:space="preserve">阶段；调用</x:t>
    </x:r>
    <x:r>
      <x:rPr>
        <x:sz val="1000"/>
        <x:color rgb="FF1F2937"/>
        <x:rFont val="Calibri"/>
      </x:rPr>
      <x:t xml:space="preserve">security_case_mb_fw_024_basic()</x:t>
    </x:r>
    <x:r>
      <x:rPr>
        <x:sz val="1000"/>
        <x:color rgb="FF1F2937"/>
        <x:rFont val="Noto Sans CJK SC"/>
        <x:family val="2"/>
      </x:rPr>
      <x:t xml:space="preserve">对应的</x:t>
    </x:r>
    <x:r>
      <x:rPr>
        <x:sz val="1000"/>
        <x:color rgb="FF1F2937"/>
        <x:rFont val="Calibri"/>
      </x:rPr>
      <x:t xml:space="preserve">baremetal eHSM typed API</x:t>
    </x:r>
    <x:r>
      <x:rPr>
        <x:sz val="1000"/>
        <x:color rgb="FF1F2937"/>
        <x:rFont val="Noto Sans CJK SC"/>
        <x:family val="2"/>
      </x:rPr>
      <x:t xml:space="preserve">；按本行参数化覆盖执行真实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事务；比较</x:t>
    </x:r>
    <x:r>
      <x:rPr>
        <x:sz val="1000"/>
        <x:color rgb="FF1F2937"/>
        <x:rFont val="Calibri"/>
      </x:rPr>
      <x:t xml:space="preserve">return/output/</x:t>
    </x:r>
    <x:r>
      <x:rPr>
        <x:sz val="1000"/>
        <x:color rgb="FF1F2937"/>
        <x:rFont val="Noto Sans CJK SC"/>
        <x:family val="2"/>
      </x:rPr>
      <x:t xml:space="preserve">状态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副作用；完成必要清理、读回或健康查询后返回唯一</x:t>
    </x:r>
    <x:r>
      <x:rPr>
        <x:sz val="1000"/>
        <x:color rgb="FF1F2937"/>
        <x:rFont val="Calibri"/>
      </x:rPr>
      <x:t xml:space="preserve">verdict</x:t>
    </x:r>
  </x:si>
  <x:si>
    <x:t xml:space="preserve">RSA1024 normal/CRT × NONE/PSS × SHA1/SHA256: 4 vectors × 8 = 32 Mailbox paths</x:t>
  </x:si>
  <x:si>
    <x:r>
      <x:rPr>
        <x:sz val="1000"/>
        <x:color rgb="FF1F2937"/>
        <x:rFont val="Noto Sans CJK SC"/>
        <x:family val="2"/>
      </x:rPr>
      <x:t xml:space="preserve">确认</x:t>
    </x:r>
    <x:r>
      <x:rPr>
        <x:sz val="1000"/>
        <x:color rgb="FF1F2937"/>
        <x:rFont val="Calibri"/>
      </x:rPr>
      <x:t xml:space="preserve">FW</x:t>
    </x:r>
    <x:r>
      <x:rPr>
        <x:sz val="1000"/>
        <x:color rgb="FF1F2937"/>
        <x:rFont val="Noto Sans CJK SC"/>
        <x:family val="2"/>
      </x:rPr>
      <x:t xml:space="preserve">阶段；调用</x:t>
    </x:r>
    <x:r>
      <x:rPr>
        <x:sz val="1000"/>
        <x:color rgb="FF1F2937"/>
        <x:rFont val="Calibri"/>
      </x:rPr>
      <x:t xml:space="preserve">security_case_mb_fw_025_basic()</x:t>
    </x:r>
    <x:r>
      <x:rPr>
        <x:sz val="1000"/>
        <x:color rgb="FF1F2937"/>
        <x:rFont val="Noto Sans CJK SC"/>
        <x:family val="2"/>
      </x:rPr>
      <x:t xml:space="preserve">对应的</x:t>
    </x:r>
    <x:r>
      <x:rPr>
        <x:sz val="1000"/>
        <x:color rgb="FF1F2937"/>
        <x:rFont val="Calibri"/>
      </x:rPr>
      <x:t xml:space="preserve">baremetal eHSM typed API</x:t>
    </x:r>
    <x:r>
      <x:rPr>
        <x:sz val="1000"/>
        <x:color rgb="FF1F2937"/>
        <x:rFont val="Noto Sans CJK SC"/>
        <x:family val="2"/>
      </x:rPr>
      <x:t xml:space="preserve">；按本行参数化覆盖执行真实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事务；比较</x:t>
    </x:r>
    <x:r>
      <x:rPr>
        <x:sz val="1000"/>
        <x:color rgb="FF1F2937"/>
        <x:rFont val="Calibri"/>
      </x:rPr>
      <x:t xml:space="preserve">return/output/</x:t>
    </x:r>
    <x:r>
      <x:rPr>
        <x:sz val="1000"/>
        <x:color rgb="FF1F2937"/>
        <x:rFont val="Noto Sans CJK SC"/>
        <x:family val="2"/>
      </x:rPr>
      <x:t xml:space="preserve">状态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副作用；完成必要清理、读回或健康查询后返回唯一</x:t>
    </x:r>
    <x:r>
      <x:rPr>
        <x:sz val="1000"/>
        <x:color rgb="FF1F2937"/>
        <x:rFont val="Calibri"/>
      </x:rPr>
      <x:t xml:space="preserve">verdict</x:t>
    </x:r>
  </x:si>
  <x:si>
    <x:t xml:space="preserve">ECDSA P-256: fixed verify/generated reverify × one-pass/stepwise × key-handle/plain-key = 8 Mailbox paths</x:t>
  </x:si>
  <x:si>
    <x:r>
      <x:rPr>
        <x:sz val="1000"/>
        <x:color rgb="FF1F2937"/>
        <x:rFont val="Noto Sans CJK SC"/>
        <x:family val="2"/>
      </x:rPr>
      <x:t xml:space="preserve">确认</x:t>
    </x:r>
    <x:r>
      <x:rPr>
        <x:sz val="1000"/>
        <x:color rgb="FF1F2937"/>
        <x:rFont val="Calibri"/>
      </x:rPr>
      <x:t xml:space="preserve">FW</x:t>
    </x:r>
    <x:r>
      <x:rPr>
        <x:sz val="1000"/>
        <x:color rgb="FF1F2937"/>
        <x:rFont val="Noto Sans CJK SC"/>
        <x:family val="2"/>
      </x:rPr>
      <x:t xml:space="preserve">阶段；调用</x:t>
    </x:r>
    <x:r>
      <x:rPr>
        <x:sz val="1000"/>
        <x:color rgb="FF1F2937"/>
        <x:rFont val="Calibri"/>
      </x:rPr>
      <x:t xml:space="preserve">security_case_mb_fw_026_basic()</x:t>
    </x:r>
    <x:r>
      <x:rPr>
        <x:sz val="1000"/>
        <x:color rgb="FF1F2937"/>
        <x:rFont val="Noto Sans CJK SC"/>
        <x:family val="2"/>
      </x:rPr>
      <x:t xml:space="preserve">对应的</x:t>
    </x:r>
    <x:r>
      <x:rPr>
        <x:sz val="1000"/>
        <x:color rgb="FF1F2937"/>
        <x:rFont val="Calibri"/>
      </x:rPr>
      <x:t xml:space="preserve">baremetal eHSM typed API</x:t>
    </x:r>
    <x:r>
      <x:rPr>
        <x:sz val="1000"/>
        <x:color rgb="FF1F2937"/>
        <x:rFont val="Noto Sans CJK SC"/>
        <x:family val="2"/>
      </x:rPr>
      <x:t xml:space="preserve">；按本行参数化覆盖执行真实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事务；比较</x:t>
    </x:r>
    <x:r>
      <x:rPr>
        <x:sz val="1000"/>
        <x:color rgb="FF1F2937"/>
        <x:rFont val="Calibri"/>
      </x:rPr>
      <x:t xml:space="preserve">return/output/</x:t>
    </x:r>
    <x:r>
      <x:rPr>
        <x:sz val="1000"/>
        <x:color rgb="FF1F2937"/>
        <x:rFont val="Noto Sans CJK SC"/>
        <x:family val="2"/>
      </x:rPr>
      <x:t xml:space="preserve">状态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副作用；完成必要清理、读回或健康查询后返回唯一</x:t>
    </x:r>
    <x:r>
      <x:rPr>
        <x:sz val="1000"/>
        <x:color rgb="FF1F2937"/>
        <x:rFont val="Calibri"/>
      </x:rPr>
      <x:t xml:space="preserve">verdict</x:t>
    </x:r>
  </x:si>
  <x:si>
    <x:t xml:space="preserve">AES/SM4 CTR-DRBG × 1/128/129/1024-byte = 8 paths</x:t>
  </x:si>
  <x:si>
    <x:r>
      <x:rPr>
        <x:sz val="1000"/>
        <x:color rgb="FF1F2937"/>
        <x:rFont val="Noto Sans CJK SC"/>
        <x:family val="2"/>
      </x:rPr>
      <x:t xml:space="preserve">确认</x:t>
    </x:r>
    <x:r>
      <x:rPr>
        <x:sz val="1000"/>
        <x:color rgb="FF1F2937"/>
        <x:rFont val="Calibri"/>
      </x:rPr>
      <x:t xml:space="preserve">FW</x:t>
    </x:r>
    <x:r>
      <x:rPr>
        <x:sz val="1000"/>
        <x:color rgb="FF1F2937"/>
        <x:rFont val="Noto Sans CJK SC"/>
        <x:family val="2"/>
      </x:rPr>
      <x:t xml:space="preserve">阶段；调用</x:t>
    </x:r>
    <x:r>
      <x:rPr>
        <x:sz val="1000"/>
        <x:color rgb="FF1F2937"/>
        <x:rFont val="Calibri"/>
      </x:rPr>
      <x:t xml:space="preserve">security_case_mb_fw_027_basic()</x:t>
    </x:r>
    <x:r>
      <x:rPr>
        <x:sz val="1000"/>
        <x:color rgb="FF1F2937"/>
        <x:rFont val="Noto Sans CJK SC"/>
        <x:family val="2"/>
      </x:rPr>
      <x:t xml:space="preserve">对应的</x:t>
    </x:r>
    <x:r>
      <x:rPr>
        <x:sz val="1000"/>
        <x:color rgb="FF1F2937"/>
        <x:rFont val="Calibri"/>
      </x:rPr>
      <x:t xml:space="preserve">baremetal eHSM typed API</x:t>
    </x:r>
    <x:r>
      <x:rPr>
        <x:sz val="1000"/>
        <x:color rgb="FF1F2937"/>
        <x:rFont val="Noto Sans CJK SC"/>
        <x:family val="2"/>
      </x:rPr>
      <x:t xml:space="preserve">；按本行参数化覆盖执行真实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事务；比较</x:t>
    </x:r>
    <x:r>
      <x:rPr>
        <x:sz val="1000"/>
        <x:color rgb="FF1F2937"/>
        <x:rFont val="Calibri"/>
      </x:rPr>
      <x:t xml:space="preserve">return/output/</x:t>
    </x:r>
    <x:r>
      <x:rPr>
        <x:sz val="1000"/>
        <x:color rgb="FF1F2937"/>
        <x:rFont val="Noto Sans CJK SC"/>
        <x:family val="2"/>
      </x:rPr>
      <x:t xml:space="preserve">状态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副作用；完成必要清理、读回或健康查询后返回唯一</x:t>
    </x:r>
    <x:r>
      <x:rPr>
        <x:sz val="1000"/>
        <x:color rgb="FF1F2937"/>
        <x:rFont val="Calibri"/>
      </x:rPr>
      <x:t xml:space="preserve">verdict</x:t>
    </x:r>
  </x:si>
  <x:si>
    <x:t xml:space="preserve">write eHSM counter word 1 at `BASE+0x054` + readback</x:t>
  </x:si>
  <x:si>
    <x:r>
      <x:rPr>
        <x:sz val="1000"/>
        <x:color rgb="FF1F2937"/>
        <x:rFont val="Calibri"/>
      </x:rPr>
      <x:t xml:space="preserve">eHSM</x:t>
    </x:r>
    <x:r>
      <x:rPr>
        <x:sz val="1000"/>
        <x:color rgb="FF1F2937"/>
        <x:rFont val="Noto Sans CJK SC"/>
        <x:family val="2"/>
      </x:rPr>
      <x:t xml:space="preserve">处于</x:t>
    </x:r>
    <x:r>
      <x:rPr>
        <x:sz val="1000"/>
        <x:color rgb="FF1F2937"/>
        <x:rFont val="Calibri"/>
      </x:rPr>
      <x:t xml:space="preserve">FW</x:t>
    </x:r>
    <x:r>
      <x:rPr>
        <x:sz val="1000"/>
        <x:color rgb="FF1F2937"/>
        <x:rFont val="Noto Sans CJK SC"/>
        <x:family val="2"/>
      </x:rPr>
      <x:t xml:space="preserve">阶段；首次</x:t>
    </x:r>
    <x:r>
      <x:rPr>
        <x:sz val="1000"/>
        <x:color rgb="FF1F2937"/>
        <x:rFont val="Calibri"/>
      </x:rPr>
      <x:t xml:space="preserve">runtime</x:t>
    </x:r>
    <x:r>
      <x:rPr>
        <x:sz val="1000"/>
        <x:color rgb="FF1F2937"/>
        <x:rFont val="Noto Sans CJK SC"/>
        <x:family val="2"/>
      </x:rPr>
      <x:t xml:space="preserve">初始化成功；</x:t>
    </x:r>
    <x:r>
      <x:rPr>
        <x:sz val="1000"/>
        <x:color rgb="FF1F2937"/>
        <x:rFont val="Calibri"/>
      </x:rPr>
      <x:t xml:space="preserve">service channel 1/poll/100 ms</x:t>
    </x:r>
    <x:r>
      <x:rPr>
        <x:sz val="1000"/>
        <x:color rgb="FF1F2937"/>
        <x:rFont val="Noto Sans CJK SC"/>
        <x:family val="2"/>
      </x:rPr>
      <x:t xml:space="preserve">合同有效；使用获批可恢复</x:t>
    </x:r>
    <x:r>
      <x:rPr>
        <x:sz val="1000"/>
        <x:color rgb="FF1F2937"/>
        <x:rFont val="Calibri"/>
      </x:rPr>
      <x:t xml:space="preserve">EMU/FPGA TEST</x:t>
    </x:r>
    <x:r>
      <x:rPr>
        <x:sz val="1000"/>
        <x:color rgb="FF1F2937"/>
        <x:rFont val="Noto Sans CJK SC"/>
        <x:family val="2"/>
      </x:rPr>
      <x:t xml:space="preserve">资源及</x:t>
    </x:r>
    <x:r>
      <x:rPr>
        <x:sz val="1000"/>
        <x:color rgb="FF1F2937"/>
        <x:rFont val="Calibri"/>
      </x:rPr>
      <x:t xml:space="preserve">fresh/reloaded</x:t>
    </x:r>
    <x:r>
      <x:rPr>
        <x:sz val="1000"/>
        <x:color rgb="FF1F2937"/>
        <x:rFont val="Noto Sans CJK SC"/>
        <x:family val="2"/>
      </x:rPr>
      <x:t xml:space="preserve">初态</x:t>
    </x:r>
  </x:si>
  <x:si>
    <x:r>
      <x:rPr>
        <x:sz val="1000"/>
        <x:color rgb="FF1F2937"/>
        <x:rFont val="Noto Sans CJK SC"/>
        <x:family val="2"/>
      </x:rPr>
      <x:t xml:space="preserve">确认</x:t>
    </x:r>
    <x:r>
      <x:rPr>
        <x:sz val="1000"/>
        <x:color rgb="FF1F2937"/>
        <x:rFont val="Calibri"/>
      </x:rPr>
      <x:t xml:space="preserve">FW</x:t>
    </x:r>
    <x:r>
      <x:rPr>
        <x:sz val="1000"/>
        <x:color rgb="FF1F2937"/>
        <x:rFont val="Noto Sans CJK SC"/>
        <x:family val="2"/>
      </x:rPr>
      <x:t xml:space="preserve">阶段；调用</x:t>
    </x:r>
    <x:r>
      <x:rPr>
        <x:sz val="1000"/>
        <x:color rgb="FF1F2937"/>
        <x:rFont val="Calibri"/>
      </x:rPr>
      <x:t xml:space="preserve">security_case_mb_fw_028_basic()</x:t>
    </x:r>
    <x:r>
      <x:rPr>
        <x:sz val="1000"/>
        <x:color rgb="FF1F2937"/>
        <x:rFont val="Noto Sans CJK SC"/>
        <x:family val="2"/>
      </x:rPr>
      <x:t xml:space="preserve">对应的</x:t>
    </x:r>
    <x:r>
      <x:rPr>
        <x:sz val="1000"/>
        <x:color rgb="FF1F2937"/>
        <x:rFont val="Calibri"/>
      </x:rPr>
      <x:t xml:space="preserve">baremetal eHSM typed API</x:t>
    </x:r>
    <x:r>
      <x:rPr>
        <x:sz val="1000"/>
        <x:color rgb="FF1F2937"/>
        <x:rFont val="Noto Sans CJK SC"/>
        <x:family val="2"/>
      </x:rPr>
      <x:t xml:space="preserve">；按本行参数化覆盖执行真实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事务；比较</x:t>
    </x:r>
    <x:r>
      <x:rPr>
        <x:sz val="1000"/>
        <x:color rgb="FF1F2937"/>
        <x:rFont val="Calibri"/>
      </x:rPr>
      <x:t xml:space="preserve">return/output/</x:t>
    </x:r>
    <x:r>
      <x:rPr>
        <x:sz val="1000"/>
        <x:color rgb="FF1F2937"/>
        <x:rFont val="Noto Sans CJK SC"/>
        <x:family val="2"/>
      </x:rPr>
      <x:t xml:space="preserve">状态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副作用；完成必要清理、读回或健康查询后返回唯一</x:t>
    </x:r>
    <x:r>
      <x:rPr>
        <x:sz val="1000"/>
        <x:color rgb="FF1F2937"/>
        <x:rFont val="Calibri"/>
      </x:rPr>
      <x:t xml:space="preserve">verdict</x:t>
    </x:r>
  </x:si>
  <x:si>
    <x:t xml:space="preserve">EHSM-BASELINE-001; EHSM-MAP-004; EHSM-OTP-001</x:t>
  </x:si>
  <x:si>
    <x:r>
      <x:rPr>
        <x:sz val="1000"/>
        <x:color rgb="FF1F2937"/>
        <x:rFont val="Calibri"/>
      </x:rPr>
      <x:t xml:space="preserve">eHSM</x:t>
    </x:r>
    <x:r>
      <x:rPr>
        <x:sz val="1000"/>
        <x:color rgb="FF1F2937"/>
        <x:rFont val="Noto Sans CJK SC"/>
        <x:family val="2"/>
      </x:rPr>
      <x:t xml:space="preserve">处于</x:t>
    </x:r>
    <x:r>
      <x:rPr>
        <x:sz val="1000"/>
        <x:color rgb="FF1F2937"/>
        <x:rFont val="Calibri"/>
      </x:rPr>
      <x:t xml:space="preserve">FW</x:t>
    </x:r>
    <x:r>
      <x:rPr>
        <x:sz val="1000"/>
        <x:color rgb="FF1F2937"/>
        <x:rFont val="Noto Sans CJK SC"/>
        <x:family val="2"/>
      </x:rPr>
      <x:t xml:space="preserve">阶段；首次</x:t>
    </x:r>
    <x:r>
      <x:rPr>
        <x:sz val="1000"/>
        <x:color rgb="FF1F2937"/>
        <x:rFont val="Calibri"/>
      </x:rPr>
      <x:t xml:space="preserve">runtime</x:t>
    </x:r>
    <x:r>
      <x:rPr>
        <x:sz val="1000"/>
        <x:color rgb="FF1F2937"/>
        <x:rFont val="Noto Sans CJK SC"/>
        <x:family val="2"/>
      </x:rPr>
      <x:t xml:space="preserve">初始化成功；</x:t>
    </x:r>
    <x:r>
      <x:rPr>
        <x:sz val="1000"/>
        <x:color rgb="FF1F2937"/>
        <x:rFont val="Calibri"/>
      </x:rPr>
      <x:t xml:space="preserve">service channel 1/poll/100 ms</x:t>
    </x:r>
    <x:r>
      <x:rPr>
        <x:sz val="1000"/>
        <x:color rgb="FF1F2937"/>
        <x:rFont val="Noto Sans CJK SC"/>
        <x:family val="2"/>
      </x:rPr>
      <x:t xml:space="preserve">合同有效；构建时明确</x:t>
    </x:r>
    <x:r>
      <x:rPr>
        <x:sz val="1000"/>
        <x:color rgb="FF1F2937"/>
        <x:rFont val="Calibri"/>
      </x:rPr>
      <x:t xml:space="preserve">SECURITY_OTP_PRELOADED=0</x:t>
    </x:r>
    <x:r>
      <x:rPr>
        <x:sz val="1000"/>
        <x:color rgb="FF1F2937"/>
        <x:rFont val="Noto Sans CJK SC"/>
        <x:family val="2"/>
      </x:rPr>
      <x:t xml:space="preserve">或</x:t>
    </x:r>
    <x:r>
      <x:rPr>
        <x:sz val="1000"/>
        <x:color rgb="FF1F2937"/>
        <x:rFont val="Calibri"/>
      </x:rPr>
      <x:t xml:space="preserve">1</x:t>
    </x:r>
  </x:si>
  <x:si>
    <x:r>
      <x:rPr>
        <x:sz val="1000"/>
        <x:color rgb="FF1F2937"/>
        <x:rFont val="Noto Sans CJK SC"/>
        <x:family val="2"/>
      </x:rPr>
      <x:t xml:space="preserve">确认</x:t>
    </x:r>
    <x:r>
      <x:rPr>
        <x:sz val="1000"/>
        <x:color rgb="FF1F2937"/>
        <x:rFont val="Calibri"/>
      </x:rPr>
      <x:t xml:space="preserve">FW</x:t>
    </x:r>
    <x:r>
      <x:rPr>
        <x:sz val="1000"/>
        <x:color rgb="FF1F2937"/>
        <x:rFont val="Noto Sans CJK SC"/>
        <x:family val="2"/>
      </x:rPr>
      <x:t xml:space="preserve">阶段；调用</x:t>
    </x:r>
    <x:r>
      <x:rPr>
        <x:sz val="1000"/>
        <x:color rgb="FF1F2937"/>
        <x:rFont val="Calibri"/>
      </x:rPr>
      <x:t xml:space="preserve">security_case_mb_fw_029_basic()</x:t>
    </x:r>
    <x:r>
      <x:rPr>
        <x:sz val="1000"/>
        <x:color rgb="FF1F2937"/>
        <x:rFont val="Noto Sans CJK SC"/>
        <x:family val="2"/>
      </x:rPr>
      <x:t xml:space="preserve">对应的</x:t>
    </x:r>
    <x:r>
      <x:rPr>
        <x:sz val="1000"/>
        <x:color rgb="FF1F2937"/>
        <x:rFont val="Calibri"/>
      </x:rPr>
      <x:t xml:space="preserve">baremetal eHSM typed API</x:t>
    </x:r>
    <x:r>
      <x:rPr>
        <x:sz val="1000"/>
        <x:color rgb="FF1F2937"/>
        <x:rFont val="Noto Sans CJK SC"/>
        <x:family val="2"/>
      </x:rPr>
      <x:t xml:space="preserve">；按本行参数化覆盖执行真实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事务；比较</x:t>
    </x:r>
    <x:r>
      <x:rPr>
        <x:sz val="1000"/>
        <x:color rgb="FF1F2937"/>
        <x:rFont val="Calibri"/>
      </x:rPr>
      <x:t xml:space="preserve">return/output/</x:t>
    </x:r>
    <x:r>
      <x:rPr>
        <x:sz val="1000"/>
        <x:color rgb="FF1F2937"/>
        <x:rFont val="Noto Sans CJK SC"/>
        <x:family val="2"/>
      </x:rPr>
      <x:t xml:space="preserve">状态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副作用；完成必要清理、读回或健康查询后返回唯一</x:t>
    </x:r>
    <x:r>
      <x:rPr>
        <x:sz val="1000"/>
        <x:color rgb="FF1F2937"/>
        <x:rFont val="Calibri"/>
      </x:rPr>
      <x:t xml:space="preserve">verdict</x:t>
    </x:r>
  </x:si>
  <x:si>
    <x:t xml:space="preserve">EHSM-BASELINE-001; EHSM-MAP-004; EHSM-OTP-002</x:t>
  </x:si>
  <x:si>
    <x:r>
      <x:rPr>
        <x:sz val="1000"/>
        <x:color rgb="FF1F2937"/>
        <x:rFont val="Noto Sans CJK SC"/>
        <x:family val="2"/>
      </x:rPr>
      <x:t xml:space="preserve">确认</x:t>
    </x:r>
    <x:r>
      <x:rPr>
        <x:sz val="1000"/>
        <x:color rgb="FF1F2937"/>
        <x:rFont val="Calibri"/>
      </x:rPr>
      <x:t xml:space="preserve">FW</x:t>
    </x:r>
    <x:r>
      <x:rPr>
        <x:sz val="1000"/>
        <x:color rgb="FF1F2937"/>
        <x:rFont val="Noto Sans CJK SC"/>
        <x:family val="2"/>
      </x:rPr>
      <x:t xml:space="preserve">阶段；调用</x:t>
    </x:r>
    <x:r>
      <x:rPr>
        <x:sz val="1000"/>
        <x:color rgb="FF1F2937"/>
        <x:rFont val="Calibri"/>
      </x:rPr>
      <x:t xml:space="preserve">security_case_mb_fw_030_basic()</x:t>
    </x:r>
    <x:r>
      <x:rPr>
        <x:sz val="1000"/>
        <x:color rgb="FF1F2937"/>
        <x:rFont val="Noto Sans CJK SC"/>
        <x:family val="2"/>
      </x:rPr>
      <x:t xml:space="preserve">对应的</x:t>
    </x:r>
    <x:r>
      <x:rPr>
        <x:sz val="1000"/>
        <x:color rgb="FF1F2937"/>
        <x:rFont val="Calibri"/>
      </x:rPr>
      <x:t xml:space="preserve">baremetal eHSM typed API</x:t>
    </x:r>
    <x:r>
      <x:rPr>
        <x:sz val="1000"/>
        <x:color rgb="FF1F2937"/>
        <x:rFont val="Noto Sans CJK SC"/>
        <x:family val="2"/>
      </x:rPr>
      <x:t xml:space="preserve">；按本行参数化覆盖执行真实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事务；比较</x:t>
    </x:r>
    <x:r>
      <x:rPr>
        <x:sz val="1000"/>
        <x:color rgb="FF1F2937"/>
        <x:rFont val="Calibri"/>
      </x:rPr>
      <x:t xml:space="preserve">return/output/</x:t>
    </x:r>
    <x:r>
      <x:rPr>
        <x:sz val="1000"/>
        <x:color rgb="FF1F2937"/>
        <x:rFont val="Noto Sans CJK SC"/>
        <x:family val="2"/>
      </x:rPr>
      <x:t xml:space="preserve">状态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副作用；完成必要清理、读回或健康查询后返回唯一</x:t>
    </x:r>
    <x:r>
      <x:rPr>
        <x:sz val="1000"/>
        <x:color rgb="FF1F2937"/>
        <x:rFont val="Calibri"/>
      </x:rPr>
      <x:t xml:space="preserve">verdict</x:t>
    </x:r>
  </x:si>
  <x:si>
    <x:t xml:space="preserve">EHSM-BASELINE-001; EHSM-OTP-003; EHSM-VECTOR-001</x:t>
  </x:si>
  <x:si>
    <x:t xml:space="preserve">EHSM-BASELINE-001; EHSM-RECOVERY-001</x:t>
  </x:si>
  <x:si>
    <x:t xml:space="preserve">5120-byte Type 1 upgrade image + dual-profile oracle</x:t>
  </x:si>
  <x:si>
    <x:r>
      <x:rPr>
        <x:sz val="1000"/>
        <x:color rgb="FF1F2937"/>
        <x:rFont val="Calibri"/>
      </x:rPr>
      <x:t xml:space="preserve">eHSM</x:t>
    </x:r>
    <x:r>
      <x:rPr>
        <x:sz val="1000"/>
        <x:color rgb="FF1F2937"/>
        <x:rFont val="Noto Sans CJK SC"/>
        <x:family val="2"/>
      </x:rPr>
      <x:t xml:space="preserve">处于</x:t>
    </x:r>
    <x:r>
      <x:rPr>
        <x:sz val="1000"/>
        <x:color rgb="FF1F2937"/>
        <x:rFont val="Calibri"/>
      </x:rPr>
      <x:t xml:space="preserve">FW</x:t>
    </x:r>
    <x:r>
      <x:rPr>
        <x:sz val="1000"/>
        <x:color rgb="FF1F2937"/>
        <x:rFont val="Noto Sans CJK SC"/>
        <x:family val="2"/>
      </x:rPr>
      <x:t xml:space="preserve">阶段；首次</x:t>
    </x:r>
    <x:r>
      <x:rPr>
        <x:sz val="1000"/>
        <x:color rgb="FF1F2937"/>
        <x:rFont val="Calibri"/>
      </x:rPr>
      <x:t xml:space="preserve">runtime</x:t>
    </x:r>
    <x:r>
      <x:rPr>
        <x:sz val="1000"/>
        <x:color rgb="FF1F2937"/>
        <x:rFont val="Noto Sans CJK SC"/>
        <x:family val="2"/>
      </x:rPr>
      <x:t xml:space="preserve">初始化成功；</x:t>
    </x:r>
    <x:r>
      <x:rPr>
        <x:sz val="1000"/>
        <x:color rgb="FF1F2937"/>
        <x:rFont val="Calibri"/>
      </x:rPr>
      <x:t xml:space="preserve">service channel 1/poll/100 ms</x:t>
    </x:r>
    <x:r>
      <x:rPr>
        <x:sz val="1000"/>
        <x:color rgb="FF1F2937"/>
        <x:rFont val="Noto Sans CJK SC"/>
        <x:family val="2"/>
      </x:rPr>
      <x:t xml:space="preserve">合同有效；构建时明确</x:t>
    </x:r>
    <x:r>
      <x:rPr>
        <x:sz val="1000"/>
        <x:color rgb="FF1F2937"/>
        <x:rFont val="Calibri"/>
      </x:rPr>
      <x:t xml:space="preserve">SECURITY_OTP_PRELOADED=0</x:t>
    </x:r>
    <x:r>
      <x:rPr>
        <x:sz val="1000"/>
        <x:color rgb="FF1F2937"/>
        <x:rFont val="Noto Sans CJK SC"/>
        <x:family val="2"/>
      </x:rPr>
      <x:t xml:space="preserve">或</x:t>
    </x:r>
    <x:r>
      <x:rPr>
        <x:sz val="1000"/>
        <x:color rgb="FF1F2937"/>
        <x:rFont val="Calibri"/>
      </x:rPr>
      <x:t xml:space="preserve">1</x:t>
    </x:r>
    <x:r>
      <x:rPr>
        <x:sz val="1000"/>
        <x:color rgb="FF1F2937"/>
        <x:rFont val="Noto Sans CJK SC"/>
        <x:family val="2"/>
      </x:rPr>
      <x:t xml:space="preserve">；</x:t>
    </x:r>
    <x:r>
      <x:rPr>
        <x:sz val="1000"/>
        <x:color rgb="FF1F2937"/>
        <x:rFont val="Calibri"/>
      </x:rPr>
      <x:t xml:space="preserve">PRELOADED</x:t>
    </x:r>
    <x:r>
      <x:rPr>
        <x:sz val="1000"/>
        <x:color rgb="FF1F2937"/>
        <x:rFont val="Noto Sans CJK SC"/>
        <x:family val="2"/>
      </x:rPr>
      <x:t xml:space="preserve">正向执行需匹配</x:t>
    </x:r>
    <x:r>
      <x:rPr>
        <x:sz val="1000"/>
        <x:color rgb="FF1F2937"/>
        <x:rFont val="Calibri"/>
      </x:rPr>
      <x:t xml:space="preserve">fixture</x:t>
    </x:r>
    <x:r>
      <x:rPr>
        <x:sz val="1000"/>
        <x:color rgb="FF1F2937"/>
        <x:rFont val="Noto Sans CJK SC"/>
        <x:family val="2"/>
      </x:rPr>
      <x:t xml:space="preserve">、</x:t>
    </x:r>
    <x:r>
      <x:rPr>
        <x:sz val="1000"/>
        <x:color rgb="FF1F2937"/>
        <x:rFont val="Calibri"/>
      </x:rPr>
      <x:t xml:space="preserve">eHSM Key map</x:t>
    </x:r>
    <x:r>
      <x:rPr>
        <x:sz val="1000"/>
        <x:color rgb="FF1F2937"/>
        <x:rFont val="Noto Sans CJK SC"/>
        <x:family val="2"/>
      </x:rPr>
      <x:t xml:space="preserve">和</x:t>
    </x:r>
    <x:r>
      <x:rPr>
        <x:sz val="1000"/>
        <x:color rgb="FF1F2937"/>
        <x:rFont val="Calibri"/>
      </x:rPr>
      <x:t xml:space="preserve">load receipt</x:t>
    </x:r>
    <x:r>
      <x:rPr>
        <x:sz val="1000"/>
        <x:color rgb="FF1F2937"/>
        <x:rFont val="Noto Sans CJK SC"/>
        <x:family val="2"/>
      </x:rPr>
      <x:t xml:space="preserve">；使用获批可恢复</x:t>
    </x:r>
    <x:r>
      <x:rPr>
        <x:sz val="1000"/>
        <x:color rgb="FF1F2937"/>
        <x:rFont val="Calibri"/>
      </x:rPr>
      <x:t xml:space="preserve">EMU/FPGA TEST</x:t>
    </x:r>
    <x:r>
      <x:rPr>
        <x:sz val="1000"/>
        <x:color rgb="FF1F2937"/>
        <x:rFont val="Noto Sans CJK SC"/>
        <x:family val="2"/>
      </x:rPr>
      <x:t xml:space="preserve">资源及</x:t>
    </x:r>
    <x:r>
      <x:rPr>
        <x:sz val="1000"/>
        <x:color rgb="FF1F2937"/>
        <x:rFont val="Calibri"/>
      </x:rPr>
      <x:t xml:space="preserve">fresh/reloaded</x:t>
    </x:r>
    <x:r>
      <x:rPr>
        <x:sz val="1000"/>
        <x:color rgb="FF1F2937"/>
        <x:rFont val="Noto Sans CJK SC"/>
        <x:family val="2"/>
      </x:rPr>
      <x:t xml:space="preserve">初态</x:t>
    </x:r>
  </x:si>
  <x:si>
    <x:r>
      <x:rPr>
        <x:sz val="1000"/>
        <x:color rgb="FF1F2937"/>
        <x:rFont val="Noto Sans CJK SC"/>
        <x:family val="2"/>
      </x:rPr>
      <x:t xml:space="preserve">确认</x:t>
    </x:r>
    <x:r>
      <x:rPr>
        <x:sz val="1000"/>
        <x:color rgb="FF1F2937"/>
        <x:rFont val="Calibri"/>
      </x:rPr>
      <x:t xml:space="preserve">FW</x:t>
    </x:r>
    <x:r>
      <x:rPr>
        <x:sz val="1000"/>
        <x:color rgb="FF1F2937"/>
        <x:rFont val="Noto Sans CJK SC"/>
        <x:family val="2"/>
      </x:rPr>
      <x:t xml:space="preserve">阶段；调用</x:t>
    </x:r>
    <x:r>
      <x:rPr>
        <x:sz val="1000"/>
        <x:color rgb="FF1F2937"/>
        <x:rFont val="Calibri"/>
      </x:rPr>
      <x:t xml:space="preserve">security_case_mb_fw_033_basic()</x:t>
    </x:r>
    <x:r>
      <x:rPr>
        <x:sz val="1000"/>
        <x:color rgb="FF1F2937"/>
        <x:rFont val="Noto Sans CJK SC"/>
        <x:family val="2"/>
      </x:rPr>
      <x:t xml:space="preserve">对应的</x:t>
    </x:r>
    <x:r>
      <x:rPr>
        <x:sz val="1000"/>
        <x:color rgb="FF1F2937"/>
        <x:rFont val="Calibri"/>
      </x:rPr>
      <x:t xml:space="preserve">baremetal eHSM typed API</x:t>
    </x:r>
    <x:r>
      <x:rPr>
        <x:sz val="1000"/>
        <x:color rgb="FF1F2937"/>
        <x:rFont val="Noto Sans CJK SC"/>
        <x:family val="2"/>
      </x:rPr>
      <x:t xml:space="preserve">；按本行参数化覆盖执行真实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事务；比较</x:t>
    </x:r>
    <x:r>
      <x:rPr>
        <x:sz val="1000"/>
        <x:color rgb="FF1F2937"/>
        <x:rFont val="Calibri"/>
      </x:rPr>
      <x:t xml:space="preserve">return/output/</x:t>
    </x:r>
    <x:r>
      <x:rPr>
        <x:sz val="1000"/>
        <x:color rgb="FF1F2937"/>
        <x:rFont val="Noto Sans CJK SC"/>
        <x:family val="2"/>
      </x:rPr>
      <x:t xml:space="preserve">状态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副作用；完成必要清理、读回或健康查询后返回唯一</x:t>
    </x:r>
    <x:r>
      <x:rPr>
        <x:sz val="1000"/>
        <x:color rgb="FF1F2937"/>
        <x:rFont val="Calibri"/>
      </x:rPr>
      <x:t xml:space="preserve">verdict</x:t>
    </x:r>
  </x:si>
  <x:si>
    <x:t xml:space="preserve">EHSM-BASELINE-001; EHSM-IMAGE-001; EHSM-OTP-003</x:t>
  </x:si>
  <x:si>
    <x:t xml:space="preserve">4096-byte Type 1 verify image + dual-profile oracle</x:t>
  </x:si>
  <x:si>
    <x:r>
      <x:rPr>
        <x:sz val="1000"/>
        <x:color rgb="FF1F2937"/>
        <x:rFont val="Calibri"/>
      </x:rPr>
      <x:t xml:space="preserve">eHSM</x:t>
    </x:r>
    <x:r>
      <x:rPr>
        <x:sz val="1000"/>
        <x:color rgb="FF1F2937"/>
        <x:rFont val="Noto Sans CJK SC"/>
        <x:family val="2"/>
      </x:rPr>
      <x:t xml:space="preserve">处于</x:t>
    </x:r>
    <x:r>
      <x:rPr>
        <x:sz val="1000"/>
        <x:color rgb="FF1F2937"/>
        <x:rFont val="Calibri"/>
      </x:rPr>
      <x:t xml:space="preserve">FW</x:t>
    </x:r>
    <x:r>
      <x:rPr>
        <x:sz val="1000"/>
        <x:color rgb="FF1F2937"/>
        <x:rFont val="Noto Sans CJK SC"/>
        <x:family val="2"/>
      </x:rPr>
      <x:t xml:space="preserve">阶段；首次</x:t>
    </x:r>
    <x:r>
      <x:rPr>
        <x:sz val="1000"/>
        <x:color rgb="FF1F2937"/>
        <x:rFont val="Calibri"/>
      </x:rPr>
      <x:t xml:space="preserve">runtime</x:t>
    </x:r>
    <x:r>
      <x:rPr>
        <x:sz val="1000"/>
        <x:color rgb="FF1F2937"/>
        <x:rFont val="Noto Sans CJK SC"/>
        <x:family val="2"/>
      </x:rPr>
      <x:t xml:space="preserve">初始化成功；</x:t>
    </x:r>
    <x:r>
      <x:rPr>
        <x:sz val="1000"/>
        <x:color rgb="FF1F2937"/>
        <x:rFont val="Calibri"/>
      </x:rPr>
      <x:t xml:space="preserve">service channel 1/poll/100 ms</x:t>
    </x:r>
    <x:r>
      <x:rPr>
        <x:sz val="1000"/>
        <x:color rgb="FF1F2937"/>
        <x:rFont val="Noto Sans CJK SC"/>
        <x:family val="2"/>
      </x:rPr>
      <x:t xml:space="preserve">合同有效；构建时明确</x:t>
    </x:r>
    <x:r>
      <x:rPr>
        <x:sz val="1000"/>
        <x:color rgb="FF1F2937"/>
        <x:rFont val="Calibri"/>
      </x:rPr>
      <x:t xml:space="preserve">SECURITY_OTP_PRELOADED=0</x:t>
    </x:r>
    <x:r>
      <x:rPr>
        <x:sz val="1000"/>
        <x:color rgb="FF1F2937"/>
        <x:rFont val="Noto Sans CJK SC"/>
        <x:family val="2"/>
      </x:rPr>
      <x:t xml:space="preserve">或</x:t>
    </x:r>
    <x:r>
      <x:rPr>
        <x:sz val="1000"/>
        <x:color rgb="FF1F2937"/>
        <x:rFont val="Calibri"/>
      </x:rPr>
      <x:t xml:space="preserve">1</x:t>
    </x:r>
    <x:r>
      <x:rPr>
        <x:sz val="1000"/>
        <x:color rgb="FF1F2937"/>
        <x:rFont val="Noto Sans CJK SC"/>
        <x:family val="2"/>
      </x:rPr>
      <x:t xml:space="preserve">；</x:t>
    </x:r>
    <x:r>
      <x:rPr>
        <x:sz val="1000"/>
        <x:color rgb="FF1F2937"/>
        <x:rFont val="Calibri"/>
      </x:rPr>
      <x:t xml:space="preserve">PRELOADED</x:t>
    </x:r>
    <x:r>
      <x:rPr>
        <x:sz val="1000"/>
        <x:color rgb="FF1F2937"/>
        <x:rFont val="Noto Sans CJK SC"/>
        <x:family val="2"/>
      </x:rPr>
      <x:t xml:space="preserve">正向执行需匹配</x:t>
    </x:r>
    <x:r>
      <x:rPr>
        <x:sz val="1000"/>
        <x:color rgb="FF1F2937"/>
        <x:rFont val="Calibri"/>
      </x:rPr>
      <x:t xml:space="preserve">fixture</x:t>
    </x:r>
    <x:r>
      <x:rPr>
        <x:sz val="1000"/>
        <x:color rgb="FF1F2937"/>
        <x:rFont val="Noto Sans CJK SC"/>
        <x:family val="2"/>
      </x:rPr>
      <x:t xml:space="preserve">、</x:t>
    </x:r>
    <x:r>
      <x:rPr>
        <x:sz val="1000"/>
        <x:color rgb="FF1F2937"/>
        <x:rFont val="Calibri"/>
      </x:rPr>
      <x:t xml:space="preserve">eHSM Key map</x:t>
    </x:r>
    <x:r>
      <x:rPr>
        <x:sz val="1000"/>
        <x:color rgb="FF1F2937"/>
        <x:rFont val="Noto Sans CJK SC"/>
        <x:family val="2"/>
      </x:rPr>
      <x:t xml:space="preserve">和</x:t>
    </x:r>
    <x:r>
      <x:rPr>
        <x:sz val="1000"/>
        <x:color rgb="FF1F2937"/>
        <x:rFont val="Calibri"/>
      </x:rPr>
      <x:t xml:space="preserve">load receipt</x:t>
    </x:r>
  </x:si>
  <x:si>
    <x:r>
      <x:rPr>
        <x:sz val="1000"/>
        <x:color rgb="FF1F2937"/>
        <x:rFont val="Noto Sans CJK SC"/>
        <x:family val="2"/>
      </x:rPr>
      <x:t xml:space="preserve">确认</x:t>
    </x:r>
    <x:r>
      <x:rPr>
        <x:sz val="1000"/>
        <x:color rgb="FF1F2937"/>
        <x:rFont val="Calibri"/>
      </x:rPr>
      <x:t xml:space="preserve">FW</x:t>
    </x:r>
    <x:r>
      <x:rPr>
        <x:sz val="1000"/>
        <x:color rgb="FF1F2937"/>
        <x:rFont val="Noto Sans CJK SC"/>
        <x:family val="2"/>
      </x:rPr>
      <x:t xml:space="preserve">阶段；调用</x:t>
    </x:r>
    <x:r>
      <x:rPr>
        <x:sz val="1000"/>
        <x:color rgb="FF1F2937"/>
        <x:rFont val="Calibri"/>
      </x:rPr>
      <x:t xml:space="preserve">security_case_mb_fw_034_basic()</x:t>
    </x:r>
    <x:r>
      <x:rPr>
        <x:sz val="1000"/>
        <x:color rgb="FF1F2937"/>
        <x:rFont val="Noto Sans CJK SC"/>
        <x:family val="2"/>
      </x:rPr>
      <x:t xml:space="preserve">对应的</x:t>
    </x:r>
    <x:r>
      <x:rPr>
        <x:sz val="1000"/>
        <x:color rgb="FF1F2937"/>
        <x:rFont val="Calibri"/>
      </x:rPr>
      <x:t xml:space="preserve">baremetal eHSM typed API</x:t>
    </x:r>
    <x:r>
      <x:rPr>
        <x:sz val="1000"/>
        <x:color rgb="FF1F2937"/>
        <x:rFont val="Noto Sans CJK SC"/>
        <x:family val="2"/>
      </x:rPr>
      <x:t xml:space="preserve">；按本行参数化覆盖执行真实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事务；比较</x:t>
    </x:r>
    <x:r>
      <x:rPr>
        <x:sz val="1000"/>
        <x:color rgb="FF1F2937"/>
        <x:rFont val="Calibri"/>
      </x:rPr>
      <x:t xml:space="preserve">return/output/</x:t>
    </x:r>
    <x:r>
      <x:rPr>
        <x:sz val="1000"/>
        <x:color rgb="FF1F2937"/>
        <x:rFont val="Noto Sans CJK SC"/>
        <x:family val="2"/>
      </x:rPr>
      <x:t xml:space="preserve">状态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副作用；完成必要清理、读回或健康查询后返回唯一</x:t>
    </x:r>
    <x:r>
      <x:rPr>
        <x:sz val="1000"/>
        <x:color rgb="FF1F2937"/>
        <x:rFont val="Calibri"/>
      </x:rPr>
      <x:t xml:space="preserve">verdict</x:t>
    </x:r>
  </x:si>
  <x:si>
    <x:t xml:space="preserve">random OTP key install + before/after readback</x:t>
  </x:si>
  <x:si>
    <x:r>
      <x:rPr>
        <x:sz val="1000"/>
        <x:color rgb="FF1F2937"/>
        <x:rFont val="Noto Sans CJK SC"/>
        <x:family val="2"/>
      </x:rPr>
      <x:t xml:space="preserve">确认</x:t>
    </x:r>
    <x:r>
      <x:rPr>
        <x:sz val="1000"/>
        <x:color rgb="FF1F2937"/>
        <x:rFont val="Calibri"/>
      </x:rPr>
      <x:t xml:space="preserve">FW</x:t>
    </x:r>
    <x:r>
      <x:rPr>
        <x:sz val="1000"/>
        <x:color rgb="FF1F2937"/>
        <x:rFont val="Noto Sans CJK SC"/>
        <x:family val="2"/>
      </x:rPr>
      <x:t xml:space="preserve">阶段；调用</x:t>
    </x:r>
    <x:r>
      <x:rPr>
        <x:sz val="1000"/>
        <x:color rgb="FF1F2937"/>
        <x:rFont val="Calibri"/>
      </x:rPr>
      <x:t xml:space="preserve">security_case_mb_fw_035_basic()</x:t>
    </x:r>
    <x:r>
      <x:rPr>
        <x:sz val="1000"/>
        <x:color rgb="FF1F2937"/>
        <x:rFont val="Noto Sans CJK SC"/>
        <x:family val="2"/>
      </x:rPr>
      <x:t xml:space="preserve">对应的</x:t>
    </x:r>
    <x:r>
      <x:rPr>
        <x:sz val="1000"/>
        <x:color rgb="FF1F2937"/>
        <x:rFont val="Calibri"/>
      </x:rPr>
      <x:t xml:space="preserve">baremetal eHSM typed API</x:t>
    </x:r>
    <x:r>
      <x:rPr>
        <x:sz val="1000"/>
        <x:color rgb="FF1F2937"/>
        <x:rFont val="Noto Sans CJK SC"/>
        <x:family val="2"/>
      </x:rPr>
      <x:t xml:space="preserve">；按本行参数化覆盖执行真实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事务；比较</x:t>
    </x:r>
    <x:r>
      <x:rPr>
        <x:sz val="1000"/>
        <x:color rgb="FF1F2937"/>
        <x:rFont val="Calibri"/>
      </x:rPr>
      <x:t xml:space="preserve">return/output/</x:t>
    </x:r>
    <x:r>
      <x:rPr>
        <x:sz val="1000"/>
        <x:color rgb="FF1F2937"/>
        <x:rFont val="Noto Sans CJK SC"/>
        <x:family val="2"/>
      </x:rPr>
      <x:t xml:space="preserve">状态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副作用；完成必要清理、读回或健康查询后返回唯一</x:t>
    </x:r>
    <x:r>
      <x:rPr>
        <x:sz val="1000"/>
        <x:color rgb="FF1F2937"/>
        <x:rFont val="Calibri"/>
      </x:rPr>
      <x:t xml:space="preserve">verdict</x:t>
    </x:r>
  </x:si>
  <x:si>
    <x:t xml:space="preserve">encrypted OTP key install + before/after readback</x:t>
  </x:si>
  <x:si>
    <x:r>
      <x:rPr>
        <x:sz val="1000"/>
        <x:color rgb="FF1F2937"/>
        <x:rFont val="Noto Sans CJK SC"/>
        <x:family val="2"/>
      </x:rPr>
      <x:t xml:space="preserve">确认</x:t>
    </x:r>
    <x:r>
      <x:rPr>
        <x:sz val="1000"/>
        <x:color rgb="FF1F2937"/>
        <x:rFont val="Calibri"/>
      </x:rPr>
      <x:t xml:space="preserve">FW</x:t>
    </x:r>
    <x:r>
      <x:rPr>
        <x:sz val="1000"/>
        <x:color rgb="FF1F2937"/>
        <x:rFont val="Noto Sans CJK SC"/>
        <x:family val="2"/>
      </x:rPr>
      <x:t xml:space="preserve">阶段；调用</x:t>
    </x:r>
    <x:r>
      <x:rPr>
        <x:sz val="1000"/>
        <x:color rgb="FF1F2937"/>
        <x:rFont val="Calibri"/>
      </x:rPr>
      <x:t xml:space="preserve">security_case_mb_fw_036_basic()</x:t>
    </x:r>
    <x:r>
      <x:rPr>
        <x:sz val="1000"/>
        <x:color rgb="FF1F2937"/>
        <x:rFont val="Noto Sans CJK SC"/>
        <x:family val="2"/>
      </x:rPr>
      <x:t xml:space="preserve">对应的</x:t>
    </x:r>
    <x:r>
      <x:rPr>
        <x:sz val="1000"/>
        <x:color rgb="FF1F2937"/>
        <x:rFont val="Calibri"/>
      </x:rPr>
      <x:t xml:space="preserve">baremetal eHSM typed API</x:t>
    </x:r>
    <x:r>
      <x:rPr>
        <x:sz val="1000"/>
        <x:color rgb="FF1F2937"/>
        <x:rFont val="Noto Sans CJK SC"/>
        <x:family val="2"/>
      </x:rPr>
      <x:t xml:space="preserve">；按本行参数化覆盖执行真实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事务；比较</x:t>
    </x:r>
    <x:r>
      <x:rPr>
        <x:sz val="1000"/>
        <x:color rgb="FF1F2937"/>
        <x:rFont val="Calibri"/>
      </x:rPr>
      <x:t xml:space="preserve">return/output/</x:t>
    </x:r>
    <x:r>
      <x:rPr>
        <x:sz val="1000"/>
        <x:color rgb="FF1F2937"/>
        <x:rFont val="Noto Sans CJK SC"/>
        <x:family val="2"/>
      </x:rPr>
      <x:t xml:space="preserve">状态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副作用；完成必要清理、读回或健康查询后返回唯一</x:t>
    </x:r>
    <x:r>
      <x:rPr>
        <x:sz val="1000"/>
        <x:color rgb="FF1F2937"/>
        <x:rFont val="Calibri"/>
      </x:rPr>
      <x:t xml:space="preserve">verdict</x:t>
    </x:r>
  </x:si>
  <x:si>
    <x:t xml:space="preserve">sensor fields not asserted</x:t>
  </x:si>
  <x:si>
    <x:r>
      <x:rPr>
        <x:sz val="1000"/>
        <x:color rgb="FF1F2937"/>
        <x:rFont val="Noto Sans CJK SC"/>
        <x:family val="2"/>
      </x:rPr>
      <x:t xml:space="preserve">确认</x:t>
    </x:r>
    <x:r>
      <x:rPr>
        <x:sz val="1000"/>
        <x:color rgb="FF1F2937"/>
        <x:rFont val="Calibri"/>
      </x:rPr>
      <x:t xml:space="preserve">FW</x:t>
    </x:r>
    <x:r>
      <x:rPr>
        <x:sz val="1000"/>
        <x:color rgb="FF1F2937"/>
        <x:rFont val="Noto Sans CJK SC"/>
        <x:family val="2"/>
      </x:rPr>
      <x:t xml:space="preserve">阶段；调用</x:t>
    </x:r>
    <x:r>
      <x:rPr>
        <x:sz val="1000"/>
        <x:color rgb="FF1F2937"/>
        <x:rFont val="Calibri"/>
      </x:rPr>
      <x:t xml:space="preserve">security_case_mb_fw_037_basic()</x:t>
    </x:r>
    <x:r>
      <x:rPr>
        <x:sz val="1000"/>
        <x:color rgb="FF1F2937"/>
        <x:rFont val="Noto Sans CJK SC"/>
        <x:family val="2"/>
      </x:rPr>
      <x:t xml:space="preserve">对应的</x:t>
    </x:r>
    <x:r>
      <x:rPr>
        <x:sz val="1000"/>
        <x:color rgb="FF1F2937"/>
        <x:rFont val="Calibri"/>
      </x:rPr>
      <x:t xml:space="preserve">baremetal eHSM typed API</x:t>
    </x:r>
    <x:r>
      <x:rPr>
        <x:sz val="1000"/>
        <x:color rgb="FF1F2937"/>
        <x:rFont val="Noto Sans CJK SC"/>
        <x:family val="2"/>
      </x:rPr>
      <x:t xml:space="preserve">；按本行参数化覆盖执行真实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事务；比较</x:t>
    </x:r>
    <x:r>
      <x:rPr>
        <x:sz val="1000"/>
        <x:color rgb="FF1F2937"/>
        <x:rFont val="Calibri"/>
      </x:rPr>
      <x:t xml:space="preserve">return/output/</x:t>
    </x:r>
    <x:r>
      <x:rPr>
        <x:sz val="1000"/>
        <x:color rgb="FF1F2937"/>
        <x:rFont val="Noto Sans CJK SC"/>
        <x:family val="2"/>
      </x:rPr>
      <x:t xml:space="preserve">状态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副作用；完成必要清理、读回或健康查询后返回唯一</x:t>
    </x:r>
    <x:r>
      <x:rPr>
        <x:sz val="1000"/>
        <x:color rgb="FF1F2937"/>
        <x:rFont val="Calibri"/>
      </x:rPr>
      <x:t xml:space="preserve">verdict</x:t>
    </x:r>
  </x:si>
  <x:si>
    <x:t xml:space="preserve">TEST→DEVELOP + OTP readback</x:t>
  </x:si>
  <x:si>
    <x:r>
      <x:rPr>
        <x:sz val="1000"/>
        <x:color rgb="FF1F2937"/>
        <x:rFont val="Noto Sans CJK SC"/>
        <x:family val="2"/>
      </x:rPr>
      <x:t xml:space="preserve">确认</x:t>
    </x:r>
    <x:r>
      <x:rPr>
        <x:sz val="1000"/>
        <x:color rgb="FF1F2937"/>
        <x:rFont val="Calibri"/>
      </x:rPr>
      <x:t xml:space="preserve">FW</x:t>
    </x:r>
    <x:r>
      <x:rPr>
        <x:sz val="1000"/>
        <x:color rgb="FF1F2937"/>
        <x:rFont val="Noto Sans CJK SC"/>
        <x:family val="2"/>
      </x:rPr>
      <x:t xml:space="preserve">阶段；调用</x:t>
    </x:r>
    <x:r>
      <x:rPr>
        <x:sz val="1000"/>
        <x:color rgb="FF1F2937"/>
        <x:rFont val="Calibri"/>
      </x:rPr>
      <x:t xml:space="preserve">security_case_mb_fw_038_basic()</x:t>
    </x:r>
    <x:r>
      <x:rPr>
        <x:sz val="1000"/>
        <x:color rgb="FF1F2937"/>
        <x:rFont val="Noto Sans CJK SC"/>
        <x:family val="2"/>
      </x:rPr>
      <x:t xml:space="preserve">对应的</x:t>
    </x:r>
    <x:r>
      <x:rPr>
        <x:sz val="1000"/>
        <x:color rgb="FF1F2937"/>
        <x:rFont val="Calibri"/>
      </x:rPr>
      <x:t xml:space="preserve">baremetal eHSM typed API</x:t>
    </x:r>
    <x:r>
      <x:rPr>
        <x:sz val="1000"/>
        <x:color rgb="FF1F2937"/>
        <x:rFont val="Noto Sans CJK SC"/>
        <x:family val="2"/>
      </x:rPr>
      <x:t xml:space="preserve">；按本行参数化覆盖执行真实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事务；比较</x:t>
    </x:r>
    <x:r>
      <x:rPr>
        <x:sz val="1000"/>
        <x:color rgb="FF1F2937"/>
        <x:rFont val="Calibri"/>
      </x:rPr>
      <x:t xml:space="preserve">return/output/</x:t>
    </x:r>
    <x:r>
      <x:rPr>
        <x:sz val="1000"/>
        <x:color rgb="FF1F2937"/>
        <x:rFont val="Noto Sans CJK SC"/>
        <x:family val="2"/>
      </x:rPr>
      <x:t xml:space="preserve">状态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副作用；完成必要清理、读回或健康查询后返回唯一</x:t>
    </x:r>
    <x:r>
      <x:rPr>
        <x:sz val="1000"/>
        <x:color rgb="FF1F2937"/>
        <x:rFont val="Calibri"/>
      </x:rPr>
      <x:t xml:space="preserve">verdict</x:t>
    </x:r>
  </x:si>
  <x:si>
    <x:t xml:space="preserve">SoC control field + OTP readback</x:t>
  </x:si>
  <x:si>
    <x:r>
      <x:rPr>
        <x:sz val="1000"/>
        <x:color rgb="FF1F2937"/>
        <x:rFont val="Noto Sans CJK SC"/>
        <x:family val="2"/>
      </x:rPr>
      <x:t xml:space="preserve">确认</x:t>
    </x:r>
    <x:r>
      <x:rPr>
        <x:sz val="1000"/>
        <x:color rgb="FF1F2937"/>
        <x:rFont val="Calibri"/>
      </x:rPr>
      <x:t xml:space="preserve">FW</x:t>
    </x:r>
    <x:r>
      <x:rPr>
        <x:sz val="1000"/>
        <x:color rgb="FF1F2937"/>
        <x:rFont val="Noto Sans CJK SC"/>
        <x:family val="2"/>
      </x:rPr>
      <x:t xml:space="preserve">阶段；调用</x:t>
    </x:r>
    <x:r>
      <x:rPr>
        <x:sz val="1000"/>
        <x:color rgb="FF1F2937"/>
        <x:rFont val="Calibri"/>
      </x:rPr>
      <x:t xml:space="preserve">security_case_mb_fw_039_basic()</x:t>
    </x:r>
    <x:r>
      <x:rPr>
        <x:sz val="1000"/>
        <x:color rgb="FF1F2937"/>
        <x:rFont val="Noto Sans CJK SC"/>
        <x:family val="2"/>
      </x:rPr>
      <x:t xml:space="preserve">对应的</x:t>
    </x:r>
    <x:r>
      <x:rPr>
        <x:sz val="1000"/>
        <x:color rgb="FF1F2937"/>
        <x:rFont val="Calibri"/>
      </x:rPr>
      <x:t xml:space="preserve">baremetal eHSM typed API</x:t>
    </x:r>
    <x:r>
      <x:rPr>
        <x:sz val="1000"/>
        <x:color rgb="FF1F2937"/>
        <x:rFont val="Noto Sans CJK SC"/>
        <x:family val="2"/>
      </x:rPr>
      <x:t xml:space="preserve">；按本行参数化覆盖执行真实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事务；比较</x:t>
    </x:r>
    <x:r>
      <x:rPr>
        <x:sz val="1000"/>
        <x:color rgb="FF1F2937"/>
        <x:rFont val="Calibri"/>
      </x:rPr>
      <x:t xml:space="preserve">return/output/</x:t>
    </x:r>
    <x:r>
      <x:rPr>
        <x:sz val="1000"/>
        <x:color rgb="FF1F2937"/>
        <x:rFont val="Noto Sans CJK SC"/>
        <x:family val="2"/>
      </x:rPr>
      <x:t xml:space="preserve">状态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副作用；完成必要清理、读回或健康查询后返回唯一</x:t>
    </x:r>
    <x:r>
      <x:rPr>
        <x:sz val="1000"/>
        <x:color rgb="FF1F2937"/>
        <x:rFont val="Calibri"/>
      </x:rPr>
      <x:t xml:space="preserve">verdict</x:t>
    </x:r>
  </x:si>
  <x:si>
    <x:r>
      <x:rPr>
        <x:sz val="1000"/>
        <x:color rgb="FF1F2937"/>
        <x:rFont val="Noto Sans CJK SC"/>
        <x:family val="2"/>
      </x:rPr>
      <x:t xml:space="preserve">确认</x:t>
    </x:r>
    <x:r>
      <x:rPr>
        <x:sz val="1000"/>
        <x:color rgb="FF1F2937"/>
        <x:rFont val="Calibri"/>
      </x:rPr>
      <x:t xml:space="preserve">FW</x:t>
    </x:r>
    <x:r>
      <x:rPr>
        <x:sz val="1000"/>
        <x:color rgb="FF1F2937"/>
        <x:rFont val="Noto Sans CJK SC"/>
        <x:family val="2"/>
      </x:rPr>
      <x:t xml:space="preserve">阶段；调用</x:t>
    </x:r>
    <x:r>
      <x:rPr>
        <x:sz val="1000"/>
        <x:color rgb="FF1F2937"/>
        <x:rFont val="Calibri"/>
      </x:rPr>
      <x:t xml:space="preserve">security_case_mb_fw_040_basic()</x:t>
    </x:r>
    <x:r>
      <x:rPr>
        <x:sz val="1000"/>
        <x:color rgb="FF1F2937"/>
        <x:rFont val="Noto Sans CJK SC"/>
        <x:family val="2"/>
      </x:rPr>
      <x:t xml:space="preserve">对应的</x:t>
    </x:r>
    <x:r>
      <x:rPr>
        <x:sz val="1000"/>
        <x:color rgb="FF1F2937"/>
        <x:rFont val="Calibri"/>
      </x:rPr>
      <x:t xml:space="preserve">baremetal eHSM typed API</x:t>
    </x:r>
    <x:r>
      <x:rPr>
        <x:sz val="1000"/>
        <x:color rgb="FF1F2937"/>
        <x:rFont val="Noto Sans CJK SC"/>
        <x:family val="2"/>
      </x:rPr>
      <x:t xml:space="preserve">；按本行参数化覆盖执行真实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事务；比较</x:t>
    </x:r>
    <x:r>
      <x:rPr>
        <x:sz val="1000"/>
        <x:color rgb="FF1F2937"/>
        <x:rFont val="Calibri"/>
      </x:rPr>
      <x:t xml:space="preserve">return/output/</x:t>
    </x:r>
    <x:r>
      <x:rPr>
        <x:sz val="1000"/>
        <x:color rgb="FF1F2937"/>
        <x:rFont val="Noto Sans CJK SC"/>
        <x:family val="2"/>
      </x:rPr>
      <x:t xml:space="preserve">状态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副作用；完成必要清理、读回或健康查询后返回唯一</x:t>
    </x:r>
    <x:r>
      <x:rPr>
        <x:sz val="1000"/>
        <x:color rgb="FF1F2937"/>
        <x:rFont val="Calibri"/>
      </x:rPr>
      <x:t xml:space="preserve">verdict</x:t>
    </x:r>
  </x:si>
  <x:si>
    <x:t xml:space="preserve">EHSM-BASELINE-001; EHSM-PROFILE-001</x:t>
  </x:si>
  <x:si>
    <x:t xml:space="preserve">CFG backup-write-readback-restore-verify</x:t>
  </x:si>
  <x:si>
    <x:r>
      <x:rPr>
        <x:sz val="1000"/>
        <x:color rgb="FF1F2937"/>
        <x:rFont val="Noto Sans CJK SC"/>
        <x:family val="2"/>
      </x:rPr>
      <x:t xml:space="preserve">确认</x:t>
    </x:r>
    <x:r>
      <x:rPr>
        <x:sz val="1000"/>
        <x:color rgb="FF1F2937"/>
        <x:rFont val="Calibri"/>
      </x:rPr>
      <x:t xml:space="preserve">FW</x:t>
    </x:r>
    <x:r>
      <x:rPr>
        <x:sz val="1000"/>
        <x:color rgb="FF1F2937"/>
        <x:rFont val="Noto Sans CJK SC"/>
        <x:family val="2"/>
      </x:rPr>
      <x:t xml:space="preserve">阶段；调用</x:t>
    </x:r>
    <x:r>
      <x:rPr>
        <x:sz val="1000"/>
        <x:color rgb="FF1F2937"/>
        <x:rFont val="Calibri"/>
      </x:rPr>
      <x:t xml:space="preserve">security_case_mb_fw_041_basic()</x:t>
    </x:r>
    <x:r>
      <x:rPr>
        <x:sz val="1000"/>
        <x:color rgb="FF1F2937"/>
        <x:rFont val="Noto Sans CJK SC"/>
        <x:family val="2"/>
      </x:rPr>
      <x:t xml:space="preserve">对应的</x:t>
    </x:r>
    <x:r>
      <x:rPr>
        <x:sz val="1000"/>
        <x:color rgb="FF1F2937"/>
        <x:rFont val="Calibri"/>
      </x:rPr>
      <x:t xml:space="preserve">baremetal eHSM typed API</x:t>
    </x:r>
    <x:r>
      <x:rPr>
        <x:sz val="1000"/>
        <x:color rgb="FF1F2937"/>
        <x:rFont val="Noto Sans CJK SC"/>
        <x:family val="2"/>
      </x:rPr>
      <x:t xml:space="preserve">；按本行参数化覆盖执行真实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事务；比较</x:t>
    </x:r>
    <x:r>
      <x:rPr>
        <x:sz val="1000"/>
        <x:color rgb="FF1F2937"/>
        <x:rFont val="Calibri"/>
      </x:rPr>
      <x:t xml:space="preserve">return/output/</x:t>
    </x:r>
    <x:r>
      <x:rPr>
        <x:sz val="1000"/>
        <x:color rgb="FF1F2937"/>
        <x:rFont val="Noto Sans CJK SC"/>
        <x:family val="2"/>
      </x:rPr>
      <x:t xml:space="preserve">状态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副作用；完成必要清理、读回或健康查询后返回唯一</x:t>
    </x:r>
    <x:r>
      <x:rPr>
        <x:sz val="1000"/>
        <x:color rgb="FF1F2937"/>
        <x:rFont val="Calibri"/>
      </x:rPr>
      <x:t xml:space="preserve">verdict</x:t>
    </x:r>
  </x:si>
  <x:si>
    <x:t xml:space="preserve">CFG double-read</x:t>
  </x:si>
  <x:si>
    <x:r>
      <x:rPr>
        <x:sz val="1000"/>
        <x:color rgb="FF1F2937"/>
        <x:rFont val="Noto Sans CJK SC"/>
        <x:family val="2"/>
      </x:rPr>
      <x:t xml:space="preserve">确认</x:t>
    </x:r>
    <x:r>
      <x:rPr>
        <x:sz val="1000"/>
        <x:color rgb="FF1F2937"/>
        <x:rFont val="Calibri"/>
      </x:rPr>
      <x:t xml:space="preserve">FW</x:t>
    </x:r>
    <x:r>
      <x:rPr>
        <x:sz val="1000"/>
        <x:color rgb="FF1F2937"/>
        <x:rFont val="Noto Sans CJK SC"/>
        <x:family val="2"/>
      </x:rPr>
      <x:t xml:space="preserve">阶段；调用</x:t>
    </x:r>
    <x:r>
      <x:rPr>
        <x:sz val="1000"/>
        <x:color rgb="FF1F2937"/>
        <x:rFont val="Calibri"/>
      </x:rPr>
      <x:t xml:space="preserve">security_case_mb_fw_042_basic()</x:t>
    </x:r>
    <x:r>
      <x:rPr>
        <x:sz val="1000"/>
        <x:color rgb="FF1F2937"/>
        <x:rFont val="Noto Sans CJK SC"/>
        <x:family val="2"/>
      </x:rPr>
      <x:t xml:space="preserve">对应的</x:t>
    </x:r>
    <x:r>
      <x:rPr>
        <x:sz val="1000"/>
        <x:color rgb="FF1F2937"/>
        <x:rFont val="Calibri"/>
      </x:rPr>
      <x:t xml:space="preserve">baremetal eHSM typed API</x:t>
    </x:r>
    <x:r>
      <x:rPr>
        <x:sz val="1000"/>
        <x:color rgb="FF1F2937"/>
        <x:rFont val="Noto Sans CJK SC"/>
        <x:family val="2"/>
      </x:rPr>
      <x:t xml:space="preserve">；按本行参数化覆盖执行真实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事务；比较</x:t>
    </x:r>
    <x:r>
      <x:rPr>
        <x:sz val="1000"/>
        <x:color rgb="FF1F2937"/>
        <x:rFont val="Calibri"/>
      </x:rPr>
      <x:t xml:space="preserve">return/output/</x:t>
    </x:r>
    <x:r>
      <x:rPr>
        <x:sz val="1000"/>
        <x:color rgb="FF1F2937"/>
        <x:rFont val="Noto Sans CJK SC"/>
        <x:family val="2"/>
      </x:rPr>
      <x:t xml:space="preserve">状态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副作用；完成必要清理、读回或健康查询后返回唯一</x:t>
    </x:r>
    <x:r>
      <x:rPr>
        <x:sz val="1000"/>
        <x:color rgb="FF1F2937"/>
        <x:rFont val="Calibri"/>
      </x:rPr>
      <x:t xml:space="preserve">verdict</x:t>
    </x:r>
  </x:si>
  <x:si>
    <x:r>
      <x:rPr>
        <x:sz val="1000"/>
        <x:color rgb="FF1F2937"/>
        <x:rFont val="Noto Sans CJK SC"/>
        <x:family val="2"/>
      </x:rPr>
      <x:t xml:space="preserve">读取</x:t>
    </x:r>
    <x:r>
      <x:rPr>
        <x:sz val="1000"/>
        <x:color rgb="FF1F2937"/>
        <x:rFont val="Calibri"/>
      </x:rPr>
      <x:t xml:space="preserve">eHSM FW</x:t>
    </x:r>
    <x:r>
      <x:rPr>
        <x:sz val="1000"/>
        <x:color rgb="FF1F2937"/>
        <x:rFont val="Noto Sans CJK SC"/>
        <x:family val="2"/>
      </x:rPr>
      <x:t xml:space="preserve">版本；检查真实</x:t>
    </x:r>
    <x:r>
      <x:rPr>
        <x:sz val="1000"/>
        <x:color rgb="FF1F2937"/>
        <x:rFont val="Calibri"/>
      </x:rPr>
      <x:t xml:space="preserve">typed API</x:t>
    </x:r>
    <x:r>
      <x:rPr>
        <x:sz val="1000"/>
        <x:color rgb="FF1F2937"/>
        <x:rFont val="Noto Sans CJK SC"/>
        <x:family val="2"/>
      </x:rPr>
      <x:t xml:space="preserve">返回、版本输出和</x:t>
    </x:r>
    <x:r>
      <x:rPr>
        <x:sz val="1000"/>
        <x:color rgb="FF1F2937"/>
        <x:rFont val="Calibri"/>
      </x:rPr>
      <x:t xml:space="preserve">FW</x:t>
    </x:r>
    <x:r>
      <x:rPr>
        <x:sz val="1000"/>
        <x:color rgb="FF1F2937"/>
        <x:rFont val="Noto Sans CJK SC"/>
        <x:family val="2"/>
      </x:rPr>
      <x:t xml:space="preserve">阶段连续事务</x:t>
    </x:r>
  </x:si>
  <x:si>
    <x:r>
      <x:rPr>
        <x:sz val="1000"/>
        <x:color rgb="FF1F2937"/>
        <x:rFont val="Noto Sans CJK SC"/>
        <x:family val="2"/>
      </x:rPr>
      <x:t xml:space="preserve">确认</x:t>
    </x:r>
    <x:r>
      <x:rPr>
        <x:sz val="1000"/>
        <x:color rgb="FF1F2937"/>
        <x:rFont val="Calibri"/>
      </x:rPr>
      <x:t xml:space="preserve">FW</x:t>
    </x:r>
    <x:r>
      <x:rPr>
        <x:sz val="1000"/>
        <x:color rgb="FF1F2937"/>
        <x:rFont val="Noto Sans CJK SC"/>
        <x:family val="2"/>
      </x:rPr>
      <x:t xml:space="preserve">阶段；调用</x:t>
    </x:r>
    <x:r>
      <x:rPr>
        <x:sz val="1000"/>
        <x:color rgb="FF1F2937"/>
        <x:rFont val="Calibri"/>
      </x:rPr>
      <x:t xml:space="preserve">security_case_mb_fw_043_basic()</x:t>
    </x:r>
    <x:r>
      <x:rPr>
        <x:sz val="1000"/>
        <x:color rgb="FF1F2937"/>
        <x:rFont val="Noto Sans CJK SC"/>
        <x:family val="2"/>
      </x:rPr>
      <x:t xml:space="preserve">对应的</x:t>
    </x:r>
    <x:r>
      <x:rPr>
        <x:sz val="1000"/>
        <x:color rgb="FF1F2937"/>
        <x:rFont val="Calibri"/>
      </x:rPr>
      <x:t xml:space="preserve">baremetal eHSM typed API</x:t>
    </x:r>
    <x:r>
      <x:rPr>
        <x:sz val="1000"/>
        <x:color rgb="FF1F2937"/>
        <x:rFont val="Noto Sans CJK SC"/>
        <x:family val="2"/>
      </x:rPr>
      <x:t xml:space="preserve">；按本行参数化覆盖执行真实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事务；比较</x:t>
    </x:r>
    <x:r>
      <x:rPr>
        <x:sz val="1000"/>
        <x:color rgb="FF1F2937"/>
        <x:rFont val="Calibri"/>
      </x:rPr>
      <x:t xml:space="preserve">return/output/</x:t>
    </x:r>
    <x:r>
      <x:rPr>
        <x:sz val="1000"/>
        <x:color rgb="FF1F2937"/>
        <x:rFont val="Noto Sans CJK SC"/>
        <x:family val="2"/>
      </x:rPr>
      <x:t xml:space="preserve">状态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副作用；完成必要清理、读回或健康查询后返回唯一</x:t>
    </x:r>
    <x:r>
      <x:rPr>
        <x:sz val="1000"/>
        <x:color rgb="FF1F2937"/>
        <x:rFont val="Calibri"/>
      </x:rPr>
      <x:t xml:space="preserve">verdict</x:t>
    </x:r>
  </x:si>
  <x:si>
    <x:t xml:space="preserve">enter WFI + next Mailbox stage query</x:t>
  </x:si>
  <x:si>
    <x:r>
      <x:rPr>
        <x:sz val="1000"/>
        <x:color rgb="FF1F2937"/>
        <x:rFont val="Noto Sans CJK SC"/>
        <x:family val="2"/>
      </x:rPr>
      <x:t xml:space="preserve">确认</x:t>
    </x:r>
    <x:r>
      <x:rPr>
        <x:sz val="1000"/>
        <x:color rgb="FF1F2937"/>
        <x:rFont val="Calibri"/>
      </x:rPr>
      <x:t xml:space="preserve">FW</x:t>
    </x:r>
    <x:r>
      <x:rPr>
        <x:sz val="1000"/>
        <x:color rgb="FF1F2937"/>
        <x:rFont val="Noto Sans CJK SC"/>
        <x:family val="2"/>
      </x:rPr>
      <x:t xml:space="preserve">阶段；调用</x:t>
    </x:r>
    <x:r>
      <x:rPr>
        <x:sz val="1000"/>
        <x:color rgb="FF1F2937"/>
        <x:rFont val="Calibri"/>
      </x:rPr>
      <x:t xml:space="preserve">security_case_mb_fw_044_basic()</x:t>
    </x:r>
    <x:r>
      <x:rPr>
        <x:sz val="1000"/>
        <x:color rgb="FF1F2937"/>
        <x:rFont val="Noto Sans CJK SC"/>
        <x:family val="2"/>
      </x:rPr>
      <x:t xml:space="preserve">对应的</x:t>
    </x:r>
    <x:r>
      <x:rPr>
        <x:sz val="1000"/>
        <x:color rgb="FF1F2937"/>
        <x:rFont val="Calibri"/>
      </x:rPr>
      <x:t xml:space="preserve">baremetal eHSM typed API</x:t>
    </x:r>
    <x:r>
      <x:rPr>
        <x:sz val="1000"/>
        <x:color rgb="FF1F2937"/>
        <x:rFont val="Noto Sans CJK SC"/>
        <x:family val="2"/>
      </x:rPr>
      <x:t xml:space="preserve">；按本行参数化覆盖执行真实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事务；比较</x:t>
    </x:r>
    <x:r>
      <x:rPr>
        <x:sz val="1000"/>
        <x:color rgb="FF1F2937"/>
        <x:rFont val="Calibri"/>
      </x:rPr>
      <x:t xml:space="preserve">return/output/</x:t>
    </x:r>
    <x:r>
      <x:rPr>
        <x:sz val="1000"/>
        <x:color rgb="FF1F2937"/>
        <x:rFont val="Noto Sans CJK SC"/>
        <x:family val="2"/>
      </x:rPr>
      <x:t xml:space="preserve">状态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副作用；完成必要清理、读回或健康查询后返回唯一</x:t>
    </x:r>
    <x:r>
      <x:rPr>
        <x:sz val="1000"/>
        <x:color rgb="FF1F2937"/>
        <x:rFont val="Calibri"/>
      </x:rPr>
      <x:t xml:space="preserve">verdict</x:t>
    </x:r>
  </x:si>
  <x:si>
    <x:r>
      <x:rPr>
        <x:sz val="1000"/>
        <x:color rgb="FF1F2937"/>
        <x:rFont val="Calibri"/>
      </x:rPr>
      <x:t xml:space="preserve">ENTER_WFI</x:t>
    </x:r>
    <x:r>
      <x:rPr>
        <x:sz val="1000"/>
        <x:color rgb="FF1F2937"/>
        <x:rFont val="Noto Sans CJK SC"/>
        <x:family val="2"/>
      </x:rPr>
      <x:t xml:space="preserve">命令成功后下一条真实</x:t>
    </x:r>
    <x:r>
      <x:rPr>
        <x:sz val="1000"/>
        <x:color rgb="FF1F2937"/>
        <x:rFont val="Calibri"/>
      </x:rPr>
      <x:t xml:space="preserve">stage</x:t>
    </x:r>
    <x:r>
      <x:rPr>
        <x:sz val="1000"/>
        <x:color rgb="FF1F2937"/>
        <x:rFont val="Noto Sans CJK SC"/>
        <x:family val="2"/>
      </x:rPr>
      <x:t xml:space="preserve">查询仍可完成；无法确定休眠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唤醒或事务状态时</x:t>
    </x:r>
    <x:r>
      <x:rPr>
        <x:sz val="1000"/>
        <x:color rgb="FF1F2937"/>
        <x:rFont val="Calibri"/>
      </x:rPr>
      <x:t xml:space="preserve">INCONCLUSIVE</x:t>
    </x:r>
  </x:si>
  <x:si>
    <x:r>
      <x:rPr>
        <x:sz val="1000"/>
        <x:color rgb="FF1F2937"/>
        <x:rFont val="Calibri"/>
      </x:rPr>
      <x:t xml:space="preserve">gen-remove: AES128 auto-handle</x:t>
    </x:r>
    <x:r>
      <x:rPr>
        <x:sz val="1000"/>
        <x:color rgb="FF1F2937"/>
        <x:rFont val="Noto Sans CJK SC"/>
        <x:family val="2"/>
      </x:rPr>
      <x:t xml:space="preserve">、</x:t>
    </x:r>
    <x:r>
      <x:rPr>
        <x:sz val="1000"/>
        <x:color rgb="FF1F2937"/>
        <x:rFont val="Calibri"/>
      </x:rPr>
      <x:t xml:space="preserve">HMAC32 fixed-handle</x:t>
    </x:r>
    <x:r>
      <x:rPr>
        <x:sz val="1000"/>
        <x:color rgb="FF1F2937"/>
        <x:rFont val="Noto Sans CJK SC"/>
        <x:family val="2"/>
      </x:rPr>
      <x:t xml:space="preserve">、</x:t>
    </x:r>
    <x:r>
      <x:rPr>
        <x:sz val="1000"/>
        <x:color rgb="FF1F2937"/>
        <x:rFont val="Calibri"/>
      </x:rPr>
      <x:t xml:space="preserve">DH1024 fixed-handle</x:t>
    </x:r>
  </x:si>
  <x:si>
    <x:r>
      <x:rPr>
        <x:sz val="1000"/>
        <x:color rgb="FF1F2937"/>
        <x:rFont val="Noto Sans CJK SC"/>
        <x:family val="2"/>
      </x:rPr>
      <x:t xml:space="preserve">确认</x:t>
    </x:r>
    <x:r>
      <x:rPr>
        <x:sz val="1000"/>
        <x:color rgb="FF1F2937"/>
        <x:rFont val="Calibri"/>
      </x:rPr>
      <x:t xml:space="preserve">FW</x:t>
    </x:r>
    <x:r>
      <x:rPr>
        <x:sz val="1000"/>
        <x:color rgb="FF1F2937"/>
        <x:rFont val="Noto Sans CJK SC"/>
        <x:family val="2"/>
      </x:rPr>
      <x:t xml:space="preserve">阶段；调用</x:t>
    </x:r>
    <x:r>
      <x:rPr>
        <x:sz val="1000"/>
        <x:color rgb="FF1F2937"/>
        <x:rFont val="Calibri"/>
      </x:rPr>
      <x:t xml:space="preserve">security_case_mb_fw_045_basic()</x:t>
    </x:r>
    <x:r>
      <x:rPr>
        <x:sz val="1000"/>
        <x:color rgb="FF1F2937"/>
        <x:rFont val="Noto Sans CJK SC"/>
        <x:family val="2"/>
      </x:rPr>
      <x:t xml:space="preserve">对应的</x:t>
    </x:r>
    <x:r>
      <x:rPr>
        <x:sz val="1000"/>
        <x:color rgb="FF1F2937"/>
        <x:rFont val="Calibri"/>
      </x:rPr>
      <x:t xml:space="preserve">baremetal eHSM typed API</x:t>
    </x:r>
    <x:r>
      <x:rPr>
        <x:sz val="1000"/>
        <x:color rgb="FF1F2937"/>
        <x:rFont val="Noto Sans CJK SC"/>
        <x:family val="2"/>
      </x:rPr>
      <x:t xml:space="preserve">；按本行参数化覆盖执行真实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事务；比较</x:t>
    </x:r>
    <x:r>
      <x:rPr>
        <x:sz val="1000"/>
        <x:color rgb="FF1F2937"/>
        <x:rFont val="Calibri"/>
      </x:rPr>
      <x:t xml:space="preserve">return/output/</x:t>
    </x:r>
    <x:r>
      <x:rPr>
        <x:sz val="1000"/>
        <x:color rgb="FF1F2937"/>
        <x:rFont val="Noto Sans CJK SC"/>
        <x:family val="2"/>
      </x:rPr>
      <x:t xml:space="preserve">状态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副作用；完成必要清理、读回或健康查询后返回唯一</x:t>
    </x:r>
    <x:r>
      <x:rPr>
        <x:sz val="1000"/>
        <x:color rgb="FF1F2937"/>
        <x:rFont val="Calibri"/>
      </x:rPr>
      <x:t xml:space="preserve">verdict</x:t>
    </x:r>
  </x:si>
  <x:si>
    <x:r>
      <x:rPr>
        <x:sz val="1000"/>
        <x:color rgb="FF1F2937"/>
        <x:rFont val="Calibri"/>
      </x:rPr>
      <x:t xml:space="preserve">derive: X9.63/SHA256→AES256</x:t>
    </x:r>
    <x:r>
      <x:rPr>
        <x:sz val="1000"/>
        <x:color rgb="FF1F2937"/>
        <x:rFont val="Noto Sans CJK SC"/>
        <x:family val="2"/>
      </x:rPr>
      <x:t xml:space="preserve">、</x:t>
    </x:r>
    <x:r>
      <x:rPr>
        <x:sz val="1000"/>
        <x:color rgb="FF1F2937"/>
        <x:rFont val="Calibri"/>
      </x:rPr>
      <x:t xml:space="preserve">PBKDF2/SM3 password→SM4</x:t>
    </x:r>
    <x:r>
      <x:rPr>
        <x:sz val="1000"/>
        <x:color rgb="FF1F2937"/>
        <x:rFont val="Noto Sans CJK SC"/>
        <x:family val="2"/>
      </x:rPr>
      <x:t xml:space="preserve">、</x:t>
    </x:r>
    <x:r>
      <x:rPr>
        <x:sz val="1000"/>
        <x:color rgb="FF1F2937"/>
        <x:rFont val="Calibri"/>
      </x:rPr>
      <x:t xml:space="preserve">PBKDF2/SHA256 parent→HMAC</x:t>
    </x:r>
  </x:si>
  <x:si>
    <x:r>
      <x:rPr>
        <x:sz val="1000"/>
        <x:color rgb="FF1F2937"/>
        <x:rFont val="Noto Sans CJK SC"/>
        <x:family val="2"/>
      </x:rPr>
      <x:t xml:space="preserve">确认</x:t>
    </x:r>
    <x:r>
      <x:rPr>
        <x:sz val="1000"/>
        <x:color rgb="FF1F2937"/>
        <x:rFont val="Calibri"/>
      </x:rPr>
      <x:t xml:space="preserve">FW</x:t>
    </x:r>
    <x:r>
      <x:rPr>
        <x:sz val="1000"/>
        <x:color rgb="FF1F2937"/>
        <x:rFont val="Noto Sans CJK SC"/>
        <x:family val="2"/>
      </x:rPr>
      <x:t xml:space="preserve">阶段；调用</x:t>
    </x:r>
    <x:r>
      <x:rPr>
        <x:sz val="1000"/>
        <x:color rgb="FF1F2937"/>
        <x:rFont val="Calibri"/>
      </x:rPr>
      <x:t xml:space="preserve">security_case_mb_fw_046_basic()</x:t>
    </x:r>
    <x:r>
      <x:rPr>
        <x:sz val="1000"/>
        <x:color rgb="FF1F2937"/>
        <x:rFont val="Noto Sans CJK SC"/>
        <x:family val="2"/>
      </x:rPr>
      <x:t xml:space="preserve">对应的</x:t>
    </x:r>
    <x:r>
      <x:rPr>
        <x:sz val="1000"/>
        <x:color rgb="FF1F2937"/>
        <x:rFont val="Calibri"/>
      </x:rPr>
      <x:t xml:space="preserve">baremetal eHSM typed API</x:t>
    </x:r>
    <x:r>
      <x:rPr>
        <x:sz val="1000"/>
        <x:color rgb="FF1F2937"/>
        <x:rFont val="Noto Sans CJK SC"/>
        <x:family val="2"/>
      </x:rPr>
      <x:t xml:space="preserve">；按本行参数化覆盖执行真实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事务；比较</x:t>
    </x:r>
    <x:r>
      <x:rPr>
        <x:sz val="1000"/>
        <x:color rgb="FF1F2937"/>
        <x:rFont val="Calibri"/>
      </x:rPr>
      <x:t xml:space="preserve">return/output/</x:t>
    </x:r>
    <x:r>
      <x:rPr>
        <x:sz val="1000"/>
        <x:color rgb="FF1F2937"/>
        <x:rFont val="Noto Sans CJK SC"/>
        <x:family val="2"/>
      </x:rPr>
      <x:t xml:space="preserve">状态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副作用；完成必要清理、读回或健康查询后返回唯一</x:t>
    </x:r>
    <x:r>
      <x:rPr>
        <x:sz val="1000"/>
        <x:color rgb="FF1F2937"/>
        <x:rFont val="Calibri"/>
      </x:rPr>
      <x:t xml:space="preserve">verdict</x:t>
    </x:r>
  </x:si>
  <x:si>
    <x:r>
      <x:rPr>
        <x:sz val="1000"/>
        <x:color rgb="FF1F2937"/>
        <x:rFont val="Calibri"/>
      </x:rPr>
      <x:t xml:space="preserve">exchange: DH2048→HMAC64</x:t>
    </x:r>
    <x:r>
      <x:rPr>
        <x:sz val="1000"/>
        <x:color rgb="FF1F2937"/>
        <x:rFont val="Noto Sans CJK SC"/>
        <x:family val="2"/>
      </x:rPr>
      <x:t xml:space="preserve">、</x:t>
    </x:r>
    <x:r>
      <x:rPr>
        <x:sz val="1000"/>
        <x:color rgb="FF1F2937"/>
        <x:rFont val="Calibri"/>
      </x:rPr>
      <x:t xml:space="preserve">P-256→AES256</x:t>
    </x:r>
    <x:r>
      <x:rPr>
        <x:sz val="1000"/>
        <x:color rgb="FF1F2937"/>
        <x:rFont val="Noto Sans CJK SC"/>
        <x:family val="2"/>
      </x:rPr>
      <x:t xml:space="preserve">、</x:t>
    </x:r>
    <x:r>
      <x:rPr>
        <x:sz val="1000"/>
        <x:color rgb="FF1F2937"/>
        <x:rFont val="Calibri"/>
      </x:rPr>
      <x:t xml:space="preserve">SM2→SM4</x:t>
    </x:r>
  </x:si>
  <x:si>
    <x:r>
      <x:rPr>
        <x:sz val="1000"/>
        <x:color rgb="FF1F2937"/>
        <x:rFont val="Noto Sans CJK SC"/>
        <x:family val="2"/>
      </x:rPr>
      <x:t xml:space="preserve">确认</x:t>
    </x:r>
    <x:r>
      <x:rPr>
        <x:sz val="1000"/>
        <x:color rgb="FF1F2937"/>
        <x:rFont val="Calibri"/>
      </x:rPr>
      <x:t xml:space="preserve">FW</x:t>
    </x:r>
    <x:r>
      <x:rPr>
        <x:sz val="1000"/>
        <x:color rgb="FF1F2937"/>
        <x:rFont val="Noto Sans CJK SC"/>
        <x:family val="2"/>
      </x:rPr>
      <x:t xml:space="preserve">阶段；调用</x:t>
    </x:r>
    <x:r>
      <x:rPr>
        <x:sz val="1000"/>
        <x:color rgb="FF1F2937"/>
        <x:rFont val="Calibri"/>
      </x:rPr>
      <x:t xml:space="preserve">security_case_mb_fw_047_basic()</x:t>
    </x:r>
    <x:r>
      <x:rPr>
        <x:sz val="1000"/>
        <x:color rgb="FF1F2937"/>
        <x:rFont val="Noto Sans CJK SC"/>
        <x:family val="2"/>
      </x:rPr>
      <x:t xml:space="preserve">对应的</x:t>
    </x:r>
    <x:r>
      <x:rPr>
        <x:sz val="1000"/>
        <x:color rgb="FF1F2937"/>
        <x:rFont val="Calibri"/>
      </x:rPr>
      <x:t xml:space="preserve">baremetal eHSM typed API</x:t>
    </x:r>
    <x:r>
      <x:rPr>
        <x:sz val="1000"/>
        <x:color rgb="FF1F2937"/>
        <x:rFont val="Noto Sans CJK SC"/>
        <x:family val="2"/>
      </x:rPr>
      <x:t xml:space="preserve">；按本行参数化覆盖执行真实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事务；比较</x:t>
    </x:r>
    <x:r>
      <x:rPr>
        <x:sz val="1000"/>
        <x:color rgb="FF1F2937"/>
        <x:rFont val="Calibri"/>
      </x:rPr>
      <x:t xml:space="preserve">return/output/</x:t>
    </x:r>
    <x:r>
      <x:rPr>
        <x:sz val="1000"/>
        <x:color rgb="FF1F2937"/>
        <x:rFont val="Noto Sans CJK SC"/>
        <x:family val="2"/>
      </x:rPr>
      <x:t xml:space="preserve">状态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副作用；完成必要清理、读回或健康查询后返回唯一</x:t>
    </x:r>
    <x:r>
      <x:rPr>
        <x:sz val="1000"/>
        <x:color rgb="FF1F2937"/>
        <x:rFont val="Calibri"/>
      </x:rPr>
      <x:t xml:space="preserve">verdict</x:t>
    </x:r>
  </x:si>
  <x:si>
    <x:r>
      <x:rPr>
        <x:sz val="1000"/>
        <x:color rgb="FF1F2937"/>
        <x:rFont val="Calibri"/>
      </x:rPr>
      <x:t xml:space="preserve">import-remove: AES128</x:t>
    </x:r>
    <x:r>
      <x:rPr>
        <x:sz val="1000"/>
        <x:color rgb="FF1F2937"/>
        <x:rFont val="Noto Sans CJK SC"/>
        <x:family val="2"/>
      </x:rPr>
      <x:t xml:space="preserve">、</x:t>
    </x:r>
    <x:r>
      <x:rPr>
        <x:sz val="1000"/>
        <x:color rgb="FF1F2937"/>
        <x:rFont val="Calibri"/>
      </x:rPr>
      <x:t xml:space="preserve">P-256 keypair/private/public</x:t>
    </x:r>
  </x:si>
  <x:si>
    <x:r>
      <x:rPr>
        <x:sz val="1000"/>
        <x:color rgb="FF1F2937"/>
        <x:rFont val="Noto Sans CJK SC"/>
        <x:family val="2"/>
      </x:rPr>
      <x:t xml:space="preserve">确认</x:t>
    </x:r>
    <x:r>
      <x:rPr>
        <x:sz val="1000"/>
        <x:color rgb="FF1F2937"/>
        <x:rFont val="Calibri"/>
      </x:rPr>
      <x:t xml:space="preserve">FW</x:t>
    </x:r>
    <x:r>
      <x:rPr>
        <x:sz val="1000"/>
        <x:color rgb="FF1F2937"/>
        <x:rFont val="Noto Sans CJK SC"/>
        <x:family val="2"/>
      </x:rPr>
      <x:t xml:space="preserve">阶段；调用</x:t>
    </x:r>
    <x:r>
      <x:rPr>
        <x:sz val="1000"/>
        <x:color rgb="FF1F2937"/>
        <x:rFont val="Calibri"/>
      </x:rPr>
      <x:t xml:space="preserve">security_case_mb_fw_048_basic()</x:t>
    </x:r>
    <x:r>
      <x:rPr>
        <x:sz val="1000"/>
        <x:color rgb="FF1F2937"/>
        <x:rFont val="Noto Sans CJK SC"/>
        <x:family val="2"/>
      </x:rPr>
      <x:t xml:space="preserve">对应的</x:t>
    </x:r>
    <x:r>
      <x:rPr>
        <x:sz val="1000"/>
        <x:color rgb="FF1F2937"/>
        <x:rFont val="Calibri"/>
      </x:rPr>
      <x:t xml:space="preserve">baremetal eHSM typed API</x:t>
    </x:r>
    <x:r>
      <x:rPr>
        <x:sz val="1000"/>
        <x:color rgb="FF1F2937"/>
        <x:rFont val="Noto Sans CJK SC"/>
        <x:family val="2"/>
      </x:rPr>
      <x:t xml:space="preserve">；按本行参数化覆盖执行真实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事务；比较</x:t>
    </x:r>
    <x:r>
      <x:rPr>
        <x:sz val="1000"/>
        <x:color rgb="FF1F2937"/>
        <x:rFont val="Calibri"/>
      </x:rPr>
      <x:t xml:space="preserve">return/output/</x:t>
    </x:r>
    <x:r>
      <x:rPr>
        <x:sz val="1000"/>
        <x:color rgb="FF1F2937"/>
        <x:rFont val="Noto Sans CJK SC"/>
        <x:family val="2"/>
      </x:rPr>
      <x:t xml:space="preserve">状态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副作用；完成必要清理、读回或健康查询后返回唯一</x:t>
    </x:r>
    <x:r>
      <x:rPr>
        <x:sz val="1000"/>
        <x:color rgb="FF1F2937"/>
        <x:rFont val="Calibri"/>
      </x:rPr>
      <x:t xml:space="preserve">verdict</x:t>
    </x:r>
  </x:si>
  <x:si>
    <x:r>
      <x:rPr>
        <x:sz val="1000"/>
        <x:color rgb="FF1F2937"/>
        <x:rFont val="Calibri"/>
      </x:rPr>
      <x:t xml:space="preserve">AES plaintext</x:t>
    </x:r>
    <x:r>
      <x:rPr>
        <x:sz val="1000"/>
        <x:color rgb="FF1F2937"/>
        <x:rFont val="Noto Sans CJK SC"/>
        <x:family val="2"/>
      </x:rPr>
      <x:t xml:space="preserve">、</x:t>
    </x:r>
    <x:r>
      <x:rPr>
        <x:sz val="1000"/>
        <x:color rgb="FF1F2937"/>
        <x:rFont val="Calibri"/>
      </x:rPr>
      <x:t xml:space="preserve">P-256 keypair/private ciphertext</x:t>
    </x:r>
    <x:r>
      <x:rPr>
        <x:sz val="1000"/>
        <x:color rgb="FF1F2937"/>
        <x:rFont val="Noto Sans CJK SC"/>
        <x:family val="2"/>
      </x:rPr>
      <x:t xml:space="preserve">、</x:t>
    </x:r>
    <x:r>
      <x:rPr>
        <x:sz val="1000"/>
        <x:color rgb="FF1F2937"/>
        <x:rFont val="Calibri"/>
      </x:rPr>
      <x:t xml:space="preserve">P-256 public plaintext export</x:t>
    </x:r>
    <x:r>
      <x:rPr>
        <x:sz val="1000"/>
        <x:color rgb="FF1F2937"/>
        <x:rFont val="Noto Sans CJK SC"/>
        <x:family val="2"/>
      </x:rPr>
      <x:t xml:space="preserve">；</x:t>
    </x:r>
    <x:r>
      <x:rPr>
        <x:sz val="1000"/>
        <x:color rgb="FF1F2937"/>
        <x:rFont val="Calibri"/>
      </x:rPr>
      <x:t xml:space="preserve">ciphertext paths use OTP Profile</x:t>
    </x:r>
  </x:si>
  <x:si>
    <x:r>
      <x:rPr>
        <x:sz val="1000"/>
        <x:color rgb="FF1F2937"/>
        <x:rFont val="Noto Sans CJK SC"/>
        <x:family val="2"/>
      </x:rPr>
      <x:t xml:space="preserve">确认</x:t>
    </x:r>
    <x:r>
      <x:rPr>
        <x:sz val="1000"/>
        <x:color rgb="FF1F2937"/>
        <x:rFont val="Calibri"/>
      </x:rPr>
      <x:t xml:space="preserve">FW</x:t>
    </x:r>
    <x:r>
      <x:rPr>
        <x:sz val="1000"/>
        <x:color rgb="FF1F2937"/>
        <x:rFont val="Noto Sans CJK SC"/>
        <x:family val="2"/>
      </x:rPr>
      <x:t xml:space="preserve">阶段；调用</x:t>
    </x:r>
    <x:r>
      <x:rPr>
        <x:sz val="1000"/>
        <x:color rgb="FF1F2937"/>
        <x:rFont val="Calibri"/>
      </x:rPr>
      <x:t xml:space="preserve">security_case_mb_fw_049_basic()</x:t>
    </x:r>
    <x:r>
      <x:rPr>
        <x:sz val="1000"/>
        <x:color rgb="FF1F2937"/>
        <x:rFont val="Noto Sans CJK SC"/>
        <x:family val="2"/>
      </x:rPr>
      <x:t xml:space="preserve">对应的</x:t>
    </x:r>
    <x:r>
      <x:rPr>
        <x:sz val="1000"/>
        <x:color rgb="FF1F2937"/>
        <x:rFont val="Calibri"/>
      </x:rPr>
      <x:t xml:space="preserve">baremetal eHSM typed API</x:t>
    </x:r>
    <x:r>
      <x:rPr>
        <x:sz val="1000"/>
        <x:color rgb="FF1F2937"/>
        <x:rFont val="Noto Sans CJK SC"/>
        <x:family val="2"/>
      </x:rPr>
      <x:t xml:space="preserve">；按本行参数化覆盖执行真实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事务；比较</x:t>
    </x:r>
    <x:r>
      <x:rPr>
        <x:sz val="1000"/>
        <x:color rgb="FF1F2937"/>
        <x:rFont val="Calibri"/>
      </x:rPr>
      <x:t xml:space="preserve">return/output/</x:t>
    </x:r>
    <x:r>
      <x:rPr>
        <x:sz val="1000"/>
        <x:color rgb="FF1F2937"/>
        <x:rFont val="Noto Sans CJK SC"/>
        <x:family val="2"/>
      </x:rPr>
      <x:t xml:space="preserve">状态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副作用；完成必要清理、读回或健康查询后返回唯一</x:t>
    </x:r>
    <x:r>
      <x:rPr>
        <x:sz val="1000"/>
        <x:color rgb="FF1F2937"/>
        <x:rFont val="Calibri"/>
      </x:rPr>
      <x:t xml:space="preserve">verdict</x:t>
    </x:r>
  </x:si>
  <x:si>
    <x:t xml:space="preserve">generate-remove</x:t>
  </x:si>
  <x:si>
    <x:r>
      <x:rPr>
        <x:sz val="1000"/>
        <x:color rgb="FF1F2937"/>
        <x:rFont val="Noto Sans CJK SC"/>
        <x:family val="2"/>
      </x:rPr>
      <x:t xml:space="preserve">确认</x:t>
    </x:r>
    <x:r>
      <x:rPr>
        <x:sz val="1000"/>
        <x:color rgb="FF1F2937"/>
        <x:rFont val="Calibri"/>
      </x:rPr>
      <x:t xml:space="preserve">FW</x:t>
    </x:r>
    <x:r>
      <x:rPr>
        <x:sz val="1000"/>
        <x:color rgb="FF1F2937"/>
        <x:rFont val="Noto Sans CJK SC"/>
        <x:family val="2"/>
      </x:rPr>
      <x:t xml:space="preserve">阶段；调用</x:t>
    </x:r>
    <x:r>
      <x:rPr>
        <x:sz val="1000"/>
        <x:color rgb="FF1F2937"/>
        <x:rFont val="Calibri"/>
      </x:rPr>
      <x:t xml:space="preserve">security_case_mb_fw_050_basic()</x:t>
    </x:r>
    <x:r>
      <x:rPr>
        <x:sz val="1000"/>
        <x:color rgb="FF1F2937"/>
        <x:rFont val="Noto Sans CJK SC"/>
        <x:family val="2"/>
      </x:rPr>
      <x:t xml:space="preserve">对应的</x:t>
    </x:r>
    <x:r>
      <x:rPr>
        <x:sz val="1000"/>
        <x:color rgb="FF1F2937"/>
        <x:rFont val="Calibri"/>
      </x:rPr>
      <x:t xml:space="preserve">baremetal eHSM typed API</x:t>
    </x:r>
    <x:r>
      <x:rPr>
        <x:sz val="1000"/>
        <x:color rgb="FF1F2937"/>
        <x:rFont val="Noto Sans CJK SC"/>
        <x:family val="2"/>
      </x:rPr>
      <x:t xml:space="preserve">；按本行参数化覆盖执行真实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事务；比较</x:t>
    </x:r>
    <x:r>
      <x:rPr>
        <x:sz val="1000"/>
        <x:color rgb="FF1F2937"/>
        <x:rFont val="Calibri"/>
      </x:rPr>
      <x:t xml:space="preserve">return/output/</x:t>
    </x:r>
    <x:r>
      <x:rPr>
        <x:sz val="1000"/>
        <x:color rgb="FF1F2937"/>
        <x:rFont val="Noto Sans CJK SC"/>
        <x:family val="2"/>
      </x:rPr>
      <x:t xml:space="preserve">状态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副作用；完成必要清理、读回或健康查询后返回唯一</x:t>
    </x:r>
    <x:r>
      <x:rPr>
        <x:sz val="1000"/>
        <x:color rgb="FF1F2937"/>
        <x:rFont val="Calibri"/>
      </x:rPr>
      <x:t xml:space="preserve">verdict</x:t>
    </x:r>
  </x:si>
  <x:si>
    <x:r>
      <x:rPr>
        <x:sz val="1000"/>
        <x:color rgb="FF1F2937"/>
        <x:rFont val="Calibri"/>
      </x:rPr>
      <x:t xml:space="preserve">get-public: P-256</x:t>
    </x:r>
    <x:r>
      <x:rPr>
        <x:sz val="1000"/>
        <x:color rgb="FF1F2937"/>
        <x:rFont val="Noto Sans CJK SC"/>
        <x:family val="2"/>
      </x:rPr>
      <x:t xml:space="preserve">、</x:t>
    </x:r>
    <x:r>
      <x:rPr>
        <x:sz val="1000"/>
        <x:color rgb="FF1F2937"/>
        <x:rFont val="Calibri"/>
      </x:rPr>
      <x:t xml:space="preserve">SM2</x:t>
    </x:r>
    <x:r>
      <x:rPr>
        <x:sz val="1000"/>
        <x:color rgb="FF1F2937"/>
        <x:rFont val="Noto Sans CJK SC"/>
        <x:family val="2"/>
      </x:rPr>
      <x:t xml:space="preserve">、</x:t>
    </x:r>
    <x:r>
      <x:rPr>
        <x:sz val="1000"/>
        <x:color rgb="FF1F2937"/>
        <x:rFont val="Calibri"/>
      </x:rPr>
      <x:t xml:space="preserve">DH1024</x:t>
    </x:r>
  </x:si>
  <x:si>
    <x:r>
      <x:rPr>
        <x:sz val="1000"/>
        <x:color rgb="FF1F2937"/>
        <x:rFont val="Noto Sans CJK SC"/>
        <x:family val="2"/>
      </x:rPr>
      <x:t xml:space="preserve">确认</x:t>
    </x:r>
    <x:r>
      <x:rPr>
        <x:sz val="1000"/>
        <x:color rgb="FF1F2937"/>
        <x:rFont val="Calibri"/>
      </x:rPr>
      <x:t xml:space="preserve">FW</x:t>
    </x:r>
    <x:r>
      <x:rPr>
        <x:sz val="1000"/>
        <x:color rgb="FF1F2937"/>
        <x:rFont val="Noto Sans CJK SC"/>
        <x:family val="2"/>
      </x:rPr>
      <x:t xml:space="preserve">阶段；调用</x:t>
    </x:r>
    <x:r>
      <x:rPr>
        <x:sz val="1000"/>
        <x:color rgb="FF1F2937"/>
        <x:rFont val="Calibri"/>
      </x:rPr>
      <x:t xml:space="preserve">security_case_mb_fw_051_basic()</x:t>
    </x:r>
    <x:r>
      <x:rPr>
        <x:sz val="1000"/>
        <x:color rgb="FF1F2937"/>
        <x:rFont val="Noto Sans CJK SC"/>
        <x:family val="2"/>
      </x:rPr>
      <x:t xml:space="preserve">对应的</x:t>
    </x:r>
    <x:r>
      <x:rPr>
        <x:sz val="1000"/>
        <x:color rgb="FF1F2937"/>
        <x:rFont val="Calibri"/>
      </x:rPr>
      <x:t xml:space="preserve">baremetal eHSM typed API</x:t>
    </x:r>
    <x:r>
      <x:rPr>
        <x:sz val="1000"/>
        <x:color rgb="FF1F2937"/>
        <x:rFont val="Noto Sans CJK SC"/>
        <x:family val="2"/>
      </x:rPr>
      <x:t xml:space="preserve">；按本行参数化覆盖执行真实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事务；比较</x:t>
    </x:r>
    <x:r>
      <x:rPr>
        <x:sz val="1000"/>
        <x:color rgb="FF1F2937"/>
        <x:rFont val="Calibri"/>
      </x:rPr>
      <x:t xml:space="preserve">return/output/</x:t>
    </x:r>
    <x:r>
      <x:rPr>
        <x:sz val="1000"/>
        <x:color rgb="FF1F2937"/>
        <x:rFont val="Noto Sans CJK SC"/>
        <x:family val="2"/>
      </x:rPr>
      <x:t xml:space="preserve">状态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副作用；完成必要清理、读回或健康查询后返回唯一</x:t>
    </x:r>
    <x:r>
      <x:rPr>
        <x:sz val="1000"/>
        <x:color rgb="FF1F2937"/>
        <x:rFont val="Calibri"/>
      </x:rPr>
      <x:t xml:space="preserve">verdict</x:t>
    </x:r>
  </x:si>
  <x:si>
    <x:t xml:space="preserve">test command `0xfffe` + counter word 2 readback; command disabled → runtime INCONCLUSIVE</x:t>
  </x:si>
  <x:si>
    <x:r>
      <x:rPr>
        <x:sz val="1000"/>
        <x:color rgb="FF1F2937"/>
        <x:rFont val="Noto Sans CJK SC"/>
        <x:family val="2"/>
      </x:rPr>
      <x:t xml:space="preserve">确认</x:t>
    </x:r>
    <x:r>
      <x:rPr>
        <x:sz val="1000"/>
        <x:color rgb="FF1F2937"/>
        <x:rFont val="Calibri"/>
      </x:rPr>
      <x:t xml:space="preserve">FW</x:t>
    </x:r>
    <x:r>
      <x:rPr>
        <x:sz val="1000"/>
        <x:color rgb="FF1F2937"/>
        <x:rFont val="Noto Sans CJK SC"/>
        <x:family val="2"/>
      </x:rPr>
      <x:t xml:space="preserve">阶段；调用</x:t>
    </x:r>
    <x:r>
      <x:rPr>
        <x:sz val="1000"/>
        <x:color rgb="FF1F2937"/>
        <x:rFont val="Calibri"/>
      </x:rPr>
      <x:t xml:space="preserve">security_case_mb_fw_052_basic()</x:t>
    </x:r>
    <x:r>
      <x:rPr>
        <x:sz val="1000"/>
        <x:color rgb="FF1F2937"/>
        <x:rFont val="Noto Sans CJK SC"/>
        <x:family val="2"/>
      </x:rPr>
      <x:t xml:space="preserve">对应的</x:t>
    </x:r>
    <x:r>
      <x:rPr>
        <x:sz val="1000"/>
        <x:color rgb="FF1F2937"/>
        <x:rFont val="Calibri"/>
      </x:rPr>
      <x:t xml:space="preserve">baremetal eHSM typed API</x:t>
    </x:r>
    <x:r>
      <x:rPr>
        <x:sz val="1000"/>
        <x:color rgb="FF1F2937"/>
        <x:rFont val="Noto Sans CJK SC"/>
        <x:family val="2"/>
      </x:rPr>
      <x:t xml:space="preserve">；按本行参数化覆盖执行真实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事务；比较</x:t>
    </x:r>
    <x:r>
      <x:rPr>
        <x:sz val="1000"/>
        <x:color rgb="FF1F2937"/>
        <x:rFont val="Calibri"/>
      </x:rPr>
      <x:t xml:space="preserve">return/output/</x:t>
    </x:r>
    <x:r>
      <x:rPr>
        <x:sz val="1000"/>
        <x:color rgb="FF1F2937"/>
        <x:rFont val="Noto Sans CJK SC"/>
        <x:family val="2"/>
      </x:rPr>
      <x:t xml:space="preserve">状态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副作用；完成必要清理、读回或健康查询后返回唯一</x:t>
    </x:r>
    <x:r>
      <x:rPr>
        <x:sz val="1000"/>
        <x:color rgb="FF1F2937"/>
        <x:rFont val="Calibri"/>
      </x:rPr>
      <x:t xml:space="preserve">verdict</x:t>
    </x:r>
  </x:si>
  <x:si>
    <x:r>
      <x:rPr>
        <x:sz val="1000"/>
        <x:color rgb="FF1F2937"/>
        <x:rFont val="Noto Sans CJK SC"/>
        <x:family val="2"/>
      </x:rPr>
      <x:t xml:space="preserve">真实执行</x:t>
    </x:r>
    <x:r>
      <x:rPr>
        <x:sz val="1000"/>
        <x:color rgb="FF1F2937"/>
        <x:rFont val="Calibri"/>
      </x:rPr>
      <x:t xml:space="preserve">0xfffe</x:t>
    </x:r>
    <x:r>
      <x:rPr>
        <x:sz val="1000"/>
        <x:color rgb="FF1F2937"/>
        <x:rFont val="Noto Sans CJK SC"/>
        <x:family val="2"/>
      </x:rPr>
      <x:t xml:space="preserve">测试命令并读回</x:t>
    </x:r>
    <x:r>
      <x:rPr>
        <x:sz val="1000"/>
        <x:color rgb="FF1F2937"/>
        <x:rFont val="Calibri"/>
      </x:rPr>
      <x:t xml:space="preserve">counter word 2</x:t>
    </x:r>
    <x:r>
      <x:rPr>
        <x:sz val="1000"/>
        <x:color rgb="FF1F2937"/>
        <x:rFont val="Noto Sans CJK SC"/>
        <x:family val="2"/>
      </x:rPr>
      <x:t xml:space="preserve">；目标</x:t>
    </x:r>
    <x:r>
      <x:rPr>
        <x:sz val="1000"/>
        <x:color rgb="FF1F2937"/>
        <x:rFont val="Calibri"/>
      </x:rPr>
      <x:t xml:space="preserve">FW</x:t>
    </x:r>
    <x:r>
      <x:rPr>
        <x:sz val="1000"/>
        <x:color rgb="FF1F2937"/>
        <x:rFont val="Noto Sans CJK SC"/>
        <x:family val="2"/>
      </x:rPr>
      <x:t xml:space="preserve">未启用</x:t>
    </x:r>
    <x:r>
      <x:rPr>
        <x:sz val="1000"/>
        <x:color rgb="FF1F2937"/>
        <x:rFont val="Calibri"/>
      </x:rPr>
      <x:t xml:space="preserve">CONFIG_EHSM_TEST_CMDS_ENABLE</x:t>
    </x:r>
    <x:r>
      <x:rPr>
        <x:sz val="1000"/>
        <x:color rgb="FF1F2937"/>
        <x:rFont val="Noto Sans CJK SC"/>
        <x:family val="2"/>
      </x:rPr>
      <x:t xml:space="preserve">时返回</x:t>
    </x:r>
    <x:r>
      <x:rPr>
        <x:sz val="1000"/>
        <x:color rgb="FF1F2937"/>
        <x:rFont val="Calibri"/>
      </x:rPr>
      <x:t xml:space="preserve">INCONCLUSIVE/OTP_TEST_COMMAND_DISABLED</x:t>
    </x:r>
    <x:r>
      <x:rPr>
        <x:sz val="1000"/>
        <x:color rgb="FF1F2937"/>
        <x:rFont val="Noto Sans CJK SC"/>
        <x:family val="2"/>
      </x:rPr>
      <x:t xml:space="preserve">，不得</x:t>
    </x:r>
    <x:r>
      <x:rPr>
        <x:sz val="1000"/>
        <x:color rgb="FF1F2937"/>
        <x:rFont val="Calibri"/>
      </x:rPr>
      <x:t xml:space="preserve">fallback</x:t>
    </x:r>
  </x:si>
  <x:si>
    <x:t xml:space="preserve">EHSM-NEG-VERIFY-001</x:t>
  </x:si>
  <x:si>
    <x:t xml:space="preserve">EHSM_NEGATIVE</x:t>
  </x:si>
  <x:si>
    <x:t xml:space="preserve">EHSM_FIRMWARE_OR_HARDWARE</x:t>
  </x:si>
  <x:si>
    <x:t xml:space="preserve">BL/FW</x:t>
  </x:si>
  <x:si>
    <x:t xml:space="preserve">N/A</x:t>
  </x:si>
  <x:si>
    <x:r>
      <x:rPr>
        <x:sz val="1000"/>
        <x:color rgb="FF1F2937"/>
        <x:rFont val="Noto Sans CJK SC"/>
        <x:family val="2"/>
      </x:rPr>
      <x:t xml:space="preserve">从可通过的已验证正确的基准样本镜像分别翻转签名</x:t>
    </x:r>
    <x:r>
      <x:rPr>
        <x:sz val="1000"/>
        <x:color rgb="FF1F2937"/>
        <x:rFont val="Calibri"/>
      </x:rPr>
      <x:t xml:space="preserve">1 bit</x:t>
    </x:r>
    <x:r>
      <x:rPr>
        <x:sz val="1000"/>
        <x:color rgb="FF1F2937"/>
        <x:rFont val="Noto Sans CJK SC"/>
        <x:family val="2"/>
      </x:rPr>
      <x:t xml:space="preserve">、有效载荷 </x:t>
    </x:r>
    <x:r>
      <x:rPr>
        <x:sz val="1000"/>
        <x:color rgb="FF1F2937"/>
        <x:rFont val="Calibri"/>
      </x:rPr>
      <x:t xml:space="preserve">1 bit</x:t>
    </x:r>
    <x:r>
      <x:rPr>
        <x:sz val="1000"/>
        <x:color rgb="FF1F2937"/>
        <x:rFont val="Noto Sans CJK SC"/>
        <x:family val="2"/>
      </x:rPr>
      <x:t xml:space="preserve">、摘要相关字段</x:t>
    </x:r>
    <x:r>
      <x:rPr>
        <x:sz val="1000"/>
        <x:color rgb="FF1F2937"/>
        <x:rFont val="Calibri"/>
      </x:rPr>
      <x:t xml:space="preserve">1 bit</x:t>
    </x:r>
    <x:r>
      <x:rPr>
        <x:sz val="1000"/>
        <x:color rgb="FF1F2937"/>
        <x:rFont val="Noto Sans CJK SC"/>
        <x:family val="2"/>
      </x:rPr>
      <x:t xml:space="preserve">；结构和地址保持合法</x:t>
    </x:r>
  </x:si>
  <x:si>
    <x:r>
      <x:rPr>
        <x:sz val="1000"/>
        <x:color rgb="FF1F2937"/>
        <x:rFont val="Noto Sans CJK SC"/>
        <x:family val="2"/>
      </x:rPr>
      <x:t xml:space="preserve">验证</x:t>
    </x:r>
    <x:r>
      <x:rPr>
        <x:sz val="1000"/>
        <x:color rgb="FF1F2937"/>
        <x:rFont val="Calibri"/>
      </x:rPr>
      <x:t xml:space="preserve">eHSM BL</x:t>
    </x:r>
    <x:r>
      <x:rPr>
        <x:sz val="1000"/>
        <x:color rgb="FF1F2937"/>
        <x:rFont val="Noto Sans CJK SC"/>
        <x:family val="2"/>
      </x:rPr>
      <x:t xml:space="preserve">不会接受被篡改镜像</x:t>
    </x:r>
  </x:si>
  <x:si>
    <x:r>
      <x:rPr>
        <x:sz val="1000"/>
        <x:color rgb="FF1F2937"/>
        <x:rFont val="Noto Sans CJK SC"/>
        <x:family val="2"/>
      </x:rPr>
      <x:t xml:space="preserve">验证对象是</x:t>
    </x:r>
    <x:r>
      <x:rPr>
        <x:sz val="1000"/>
        <x:color rgb="FF1F2937"/>
        <x:rFont val="Calibri"/>
      </x:rPr>
      <x:t xml:space="preserve">eHSM</x:t>
    </x:r>
    <x:r>
      <x:rPr>
        <x:sz val="1000"/>
        <x:color rgb="FF1F2937"/>
        <x:rFont val="Noto Sans CJK SC"/>
        <x:family val="2"/>
      </x:rPr>
      <x:t xml:space="preserve">固件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硬件拒绝路径；</x:t>
    </x:r>
    <x:r>
      <x:rPr>
        <x:sz val="1000"/>
        <x:color rgb="FF1F2937"/>
        <x:rFont val="Calibri"/>
      </x:rPr>
      <x:t xml:space="preserve">Host</x:t>
    </x:r>
    <x:r>
      <x:rPr>
        <x:sz val="1000"/>
        <x:color rgb="FF1F2937"/>
        <x:rFont val="Noto Sans CJK SC"/>
        <x:family val="2"/>
      </x:rPr>
      <x:t xml:space="preserve">仅负责构造并提交刺激。必须证明请求已到达</x:t>
    </x:r>
    <x:r>
      <x:rPr>
        <x:sz val="1000"/>
        <x:color rgb="FF1F2937"/>
        <x:rFont val="Calibri"/>
      </x:rPr>
      <x:t xml:space="preserve">eHSM</x:t>
    </x:r>
    <x:r>
      <x:rPr>
        <x:sz val="1000"/>
        <x:color rgb="FF1F2937"/>
        <x:rFont val="Noto Sans CJK SC"/>
        <x:family val="2"/>
      </x:rPr>
      <x:t xml:space="preserve">，不能把</x:t>
    </x:r>
    <x:r>
      <x:rPr>
        <x:sz val="1000"/>
        <x:color rgb="FF1F2937"/>
        <x:rFont val="Calibri"/>
      </x:rPr>
      <x:t xml:space="preserve">Host</x:t>
    </x:r>
    <x:r>
      <x:rPr>
        <x:sz val="1000"/>
        <x:color rgb="FF1F2937"/>
        <x:rFont val="Noto Sans CJK SC"/>
        <x:family val="2"/>
      </x:rPr>
      <x:t xml:space="preserve">本地拒绝当作本用例</x:t>
    </x:r>
    <x:r>
      <x:rPr>
        <x:sz val="1000"/>
        <x:color rgb="FF1F2937"/>
        <x:rFont val="Calibri"/>
      </x:rPr>
      <x:t xml:space="preserve">PASS</x:t>
    </x:r>
    <x:r>
      <x:rPr>
        <x:sz val="1000"/>
        <x:color rgb="FF1F2937"/>
        <x:rFont val="Noto Sans CJK SC"/>
        <x:family val="2"/>
      </x:rPr>
      <x:t xml:space="preserve">。</x:t>
    </x:r>
  </x:si>
  <x:si>
    <x:r>
      <x:rPr>
        <x:sz val="1000"/>
        <x:color rgb="FF1F2937"/>
        <x:rFont val="Noto Sans CJK SC"/>
        <x:family val="2"/>
      </x:rPr>
      <x:t xml:space="preserve">已验证正确的基准样本镜像和签名链可用；</x:t>
    </x:r>
    <x:r>
      <x:rPr>
        <x:sz val="1000"/>
        <x:color rgb="FF1F2937"/>
        <x:rFont val="Calibri"/>
      </x:rPr>
      <x:t xml:space="preserve">boot_after_verify</x:t>
    </x:r>
    <x:r>
      <x:rPr>
        <x:sz val="1000"/>
        <x:color rgb="FF1F2937"/>
        <x:rFont val="Noto Sans CJK SC"/>
        <x:family val="2"/>
      </x:rPr>
      <x:t xml:space="preserve">关闭或使用可恢复专用测试环境与资源</x:t>
    </x:r>
  </x:si>
  <x:si>
    <x:r>
      <x:rPr>
        <x:sz val="1000"/>
        <x:color rgb="FF1F2937"/>
        <x:rFont val="Noto Sans CJK SC"/>
        <x:family val="2"/>
      </x:rPr>
      <x:t xml:space="preserve">先验证已验证正确的基准样本通过；逐参数化测试输入篡改后重新提交；记录原始返回、目标区域、</x:t>
    </x:r>
    <x:r>
      <x:rPr>
        <x:sz val="1000"/>
        <x:color rgb="FF1F2937"/>
        <x:rFont val="Calibri"/>
      </x:rPr>
      <x:t xml:space="preserve">boot/</x:t>
    </x:r>
    <x:r>
      <x:rPr>
        <x:sz val="1000"/>
        <x:color rgb="FF1F2937"/>
        <x:rFont val="Noto Sans CJK SC"/>
        <x:family val="2"/>
      </x:rPr>
      <x:t xml:space="preserve">解除隔离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放行和计数器状态；最后重新验证已验证正确的基准样本</x:t>
    </x:r>
  </x:si>
  <x:si>
    <x:r>
      <x:rPr>
        <x:sz val="1000"/>
        <x:color rgb="FF1F2937"/>
        <x:rFont val="Noto Sans CJK SC"/>
        <x:family val="2"/>
      </x:rPr>
      <x:t xml:space="preserve">篡改参数化测试输入均不得验证成功、复制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启动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解除隔离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放行或推进计数器；已验证正确的基准样本复测仍成功</x:t>
    </x:r>
  </x:si>
  <x:si>
    <x:r>
      <x:rPr>
        <x:sz val="1000"/>
        <x:color rgb="FF1F2937"/>
        <x:rFont val="Calibri"/>
      </x:rPr>
      <x:t xml:space="preserve">eHSM</x:t>
    </x:r>
    <x:r>
      <x:rPr>
        <x:sz val="1000"/>
        <x:color rgb="FF1F2937"/>
        <x:rFont val="Noto Sans CJK SC"/>
        <x:family val="2"/>
      </x:rPr>
      <x:t xml:space="preserve">明确返回验签失败或等价的批准拒绝码；验证证据必须包含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已提交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ID/eHSM</x:t>
    </x:r>
    <x:r>
      <x:rPr>
        <x:sz val="1000"/>
        <x:color rgb="FF1F2937"/>
        <x:rFont val="Noto Sans CJK SC"/>
        <x:family val="2"/>
      </x:rPr>
      <x:t xml:space="preserve">原始响应，随后执行健康</x:t>
    </x:r>
    <x:r>
      <x:rPr>
        <x:sz val="1000"/>
        <x:color rgb="FF1F2937"/>
        <x:rFont val="Calibri"/>
      </x:rPr>
      <x:t xml:space="preserve">BASIC</x:t>
    </x:r>
    <x:r>
      <x:rPr>
        <x:sz val="1000"/>
        <x:color rgb="FF1F2937"/>
        <x:rFont val="Noto Sans CJK SC"/>
        <x:family val="2"/>
      </x:rPr>
      <x:t xml:space="preserve">证明服务未失效</x:t>
    </x:r>
  </x:si>
  <x:si>
    <x:t xml:space="preserve">NOT_IMPLEMENTED</x:t>
  </x:si>
  <x:si>
    <x:t xml:space="preserve">PLANNED</x:t>
  </x:si>
  <x:si>
    <x:t xml:space="preserve">MUST_PASS_IF_CONTRACT_AND_FIXTURE_AVAILABLE; OTHERWISE INCONCLUSIVE_WITH_OWNER</x:t>
  </x:si>
  <x:si>
    <x:t xml:space="preserve">NEEDS_SIGNED_IMAGE_CORPUS</x:t>
  </x:si>
  <x:si>
    <x:t xml:space="preserve">SRC-0012/SRC-0014/SRC-0018; ADR-0014/0019/0024</x:t>
  </x:si>
  <x:si>
    <x:t xml:space="preserve">EHSM-NEG-VERIFY-002</x:t>
  </x:si>
  <x:si>
    <x:t xml:space="preserve">错误签名、有效载荷篡改、低于已提交值的防回滚 计数器（仅在专用计数器 专用测试环境与资源）</x:t>
  </x:si>
  <x:si>
    <x:r>
      <x:rPr>
        <x:sz val="1000"/>
        <x:color rgb="FF1F2937"/>
        <x:rFont val="Noto Sans CJK SC"/>
        <x:family val="2"/>
      </x:rPr>
      <x:t xml:space="preserve">验证</x:t>
    </x:r>
    <x:r>
      <x:rPr>
        <x:sz val="1000"/>
        <x:color rgb="FF1F2937"/>
        <x:rFont val="Calibri"/>
      </x:rPr>
      <x:t xml:space="preserve">eHSM FW</x:t>
    </x:r>
    <x:r>
      <x:rPr>
        <x:sz val="1000"/>
        <x:color rgb="FF1F2937"/>
        <x:rFont val="Noto Sans CJK SC"/>
        <x:family val="2"/>
      </x:rPr>
      <x:t xml:space="preserve">的</x:t>
    </x:r>
    <x:r>
      <x:rPr>
        <x:sz val="1000"/>
        <x:color rgb="FF1F2937"/>
        <x:rFont val="Calibri"/>
      </x:rPr>
      <x:t xml:space="preserve">SoC Verify</x:t>
    </x:r>
    <x:r>
      <x:rPr>
        <x:sz val="1000"/>
        <x:color rgb="FF1F2937"/>
        <x:rFont val="Noto Sans CJK SC"/>
        <x:family val="2"/>
      </x:rPr>
      <x:t xml:space="preserve">失败关闭</x:t>
    </x:r>
  </x:si>
  <x:si>
    <x:r>
      <x:rPr>
        <x:sz val="1000"/>
        <x:color rgb="FF1F2937"/>
        <x:rFont val="Noto Sans CJK SC"/>
        <x:family val="2"/>
      </x:rPr>
      <x:t xml:space="preserve">已验证正确的基准样本 </x:t>
    </x:r>
    <x:r>
      <x:rPr>
        <x:sz val="1000"/>
        <x:color rgb="FF1F2937"/>
        <x:rFont val="Calibri"/>
      </x:rPr>
      <x:t xml:space="preserve">SoC</x:t>
    </x:r>
    <x:r>
      <x:rPr>
        <x:sz val="1000"/>
        <x:color rgb="FF1F2937"/>
        <x:rFont val="Noto Sans CJK SC"/>
        <x:family val="2"/>
      </x:rPr>
      <x:t xml:space="preserve">包可通过；回滚参数化测试输入仅在可恢复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专用计数器环境执行</x:t>
    </x:r>
  </x:si>
  <x:si>
    <x:r>
      <x:rPr>
        <x:sz val="1000"/>
        <x:color rgb="FF1F2937"/>
        <x:rFont val="Noto Sans CJK SC"/>
        <x:family val="2"/>
      </x:rPr>
      <x:t xml:space="preserve">先执行已验证正确的基准样本；逐参数化测试输入提交；读取原始返回、解除隔离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放行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度量记录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计数器；最后复测已验证正确的基准样本</x:t>
    </x:r>
  </x:si>
  <x:si>
    <x:r>
      <x:rPr>
        <x:sz val="1000"/>
        <x:color rgb="FF1F2937"/>
        <x:rFont val="Noto Sans CJK SC"/>
        <x:family val="2"/>
      </x:rPr>
      <x:t xml:space="preserve">错误签名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摘要不得通过、解除隔离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放行或提交度量记录；回滚参数化测试输入不得推进计数器；已验证正确的基准样本复测成功</x:t>
    </x:r>
  </x:si>
  <x:si>
    <x:r>
      <x:rPr>
        <x:sz val="1000"/>
        <x:color rgb="FF1F2937"/>
        <x:rFont val="Calibri"/>
      </x:rPr>
      <x:t xml:space="preserve">eHSM</x:t>
    </x:r>
    <x:r>
      <x:rPr>
        <x:sz val="1000"/>
        <x:color rgb="FF1F2937"/>
        <x:rFont val="Noto Sans CJK SC"/>
        <x:family val="2"/>
      </x:rPr>
      <x:t xml:space="preserve">返回</x:t>
    </x:r>
    <x:r>
      <x:rPr>
        <x:sz val="1000"/>
        <x:color rgb="FF1F2937"/>
        <x:rFont val="Calibri"/>
      </x:rPr>
      <x:t xml:space="preserve">verify failed/</x:t>
    </x:r>
    <x:r>
      <x:rPr>
        <x:sz val="1000"/>
        <x:color rgb="FF1F2937"/>
        <x:rFont val="Noto Sans CJK SC"/>
        <x:family val="2"/>
      </x:rPr>
      <x:t xml:space="preserve">防回滚拒绝的批准原始结果；验证证据必须包含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已提交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ID/eHSM</x:t>
    </x:r>
    <x:r>
      <x:rPr>
        <x:sz val="1000"/>
        <x:color rgb="FF1F2937"/>
        <x:rFont val="Noto Sans CJK SC"/>
        <x:family val="2"/>
      </x:rPr>
      <x:t xml:space="preserve">原始响应，随后执行健康</x:t>
    </x:r>
    <x:r>
      <x:rPr>
        <x:sz val="1000"/>
        <x:color rgb="FF1F2937"/>
        <x:rFont val="Calibri"/>
      </x:rPr>
      <x:t xml:space="preserve">BASIC</x:t>
    </x:r>
    <x:r>
      <x:rPr>
        <x:sz val="1000"/>
        <x:color rgb="FF1F2937"/>
        <x:rFont val="Noto Sans CJK SC"/>
        <x:family val="2"/>
      </x:rPr>
      <x:t xml:space="preserve">证明服务未失效</x:t>
    </x:r>
  </x:si>
  <x:si>
    <x:t xml:space="preserve">NEEDS_SIGNED_SOC_PACKAGE_AND_COUNTER_FIXTURE</x:t>
  </x:si>
  <x:si>
    <x:t xml:space="preserve">SRC-0016/SRC-0017/SRC-0018; ADR-0014/0019/0024</x:t>
  </x:si>
  <x:si>
    <x:t xml:space="preserve">EHSM-NEG-UPGRADE-001</x:t>
  </x:si>
  <x:si>
    <x:r>
      <x:rPr>
        <x:sz val="1000"/>
        <x:color rgb="FF1F2937"/>
        <x:rFont val="Noto Sans CJK SC"/>
        <x:family val="2"/>
      </x:rPr>
      <x:t xml:space="preserve">已验证正确的基准样本升级包的签名、有效载荷、头部长度或计数器各单点篡改；只使用能真实送达</x:t>
    </x:r>
    <x:r>
      <x:rPr>
        <x:sz val="1000"/>
        <x:color rgb="FF1F2937"/>
        <x:rFont val="Calibri"/>
      </x:rPr>
      <x:t xml:space="preserve">eHSM</x:t>
    </x:r>
    <x:r>
      <x:rPr>
        <x:sz val="1000"/>
        <x:color rgb="FF1F2937"/>
        <x:rFont val="Noto Sans CJK SC"/>
        <x:family val="2"/>
      </x:rPr>
      <x:t xml:space="preserve">的参数化测试输入</x:t>
    </x:r>
  </x:si>
  <x:si>
    <x:r>
      <x:rPr>
        <x:sz val="1000"/>
        <x:color rgb="FF1F2937"/>
        <x:rFont val="Noto Sans CJK SC"/>
        <x:family val="2"/>
      </x:rPr>
      <x:t xml:space="preserve">验证</x:t>
    </x:r>
    <x:r>
      <x:rPr>
        <x:sz val="1000"/>
        <x:color rgb="FF1F2937"/>
        <x:rFont val="Calibri"/>
      </x:rPr>
      <x:t xml:space="preserve">eHSM BL</x:t>
    </x:r>
    <x:r>
      <x:rPr>
        <x:sz val="1000"/>
        <x:color rgb="FF1F2937"/>
        <x:rFont val="Noto Sans CJK SC"/>
        <x:family val="2"/>
      </x:rPr>
      <x:t xml:space="preserve">升级服务不写入或激活未认证固件</x:t>
    </x:r>
  </x:si>
  <x:si>
    <x:r>
      <x:rPr>
        <x:sz val="1000"/>
        <x:color rgb="FF1F2937"/>
        <x:rFont val="Noto Sans CJK SC"/>
        <x:family val="2"/>
      </x:rPr>
      <x:t xml:space="preserve">专用可恢复升级专用测试环境与资源；</x:t>
    </x:r>
    <x:r>
      <x:rPr>
        <x:sz val="1000"/>
        <x:color rgb="FF1F2937"/>
        <x:rFont val="Calibri"/>
      </x:rPr>
      <x:t xml:space="preserve">active/inactive</x:t>
    </x:r>
    <x:r>
      <x:rPr>
        <x:sz val="1000"/>
        <x:color rgb="FF1F2937"/>
        <x:rFont val="Noto Sans CJK SC"/>
        <x:family val="2"/>
      </x:rPr>
      <x:t xml:space="preserve">与计数器基线可观测</x:t>
    </x:r>
  </x:si>
  <x:si>
    <x:r>
      <x:rPr>
        <x:sz val="1000"/>
        <x:color rgb="FF1F2937"/>
        <x:rFont val="Noto Sans CJK SC"/>
        <x:family val="2"/>
      </x:rPr>
      <x:t xml:space="preserve">记录基线；提交篡改包；读取原始返回和闪存（</x:t>
    </x:r>
    <x:r>
      <x:rPr>
        <x:sz val="1000"/>
        <x:color rgb="FF1F2937"/>
        <x:rFont val="Calibri"/>
      </x:rPr>
      <x:t xml:space="preserve">Flash</x:t>
    </x:r>
    <x:r>
      <x:rPr>
        <x:sz val="1000"/>
        <x:color rgb="FF1F2937"/>
        <x:rFont val="Noto Sans CJK SC"/>
        <x:family val="2"/>
      </x:rPr>
      <x:t xml:space="preserve">）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计数器</x:t>
    </x:r>
    <x:r>
      <x:rPr>
        <x:sz val="1000"/>
        <x:color rgb="FF1F2937"/>
        <x:rFont val="Calibri"/>
      </x:rPr>
      <x:t xml:space="preserve">/active</x:t>
    </x:r>
    <x:r>
      <x:rPr>
        <x:sz val="1000"/>
        <x:color rgb="FF1F2937"/>
        <x:rFont val="Noto Sans CJK SC"/>
        <x:family val="2"/>
      </x:rPr>
      <x:t xml:space="preserve">状态；复位后确认旧版本仍可启动</x:t>
    </x:r>
  </x:si>
  <x:si>
    <x:r>
      <x:rPr>
        <x:sz val="1000"/>
        <x:color rgb="FF1F2937"/>
        <x:rFont val="Noto Sans CJK SC"/>
        <x:family val="2"/>
      </x:rPr>
      <x:t xml:space="preserve">篡改包拒绝；不改</x:t>
    </x:r>
    <x:r>
      <x:rPr>
        <x:sz val="1000"/>
        <x:color rgb="FF1F2937"/>
        <x:rFont val="Calibri"/>
      </x:rPr>
      <x:t xml:space="preserve">active</x:t>
    </x:r>
    <x:r>
      <x:rPr>
        <x:sz val="1000"/>
        <x:color rgb="FF1F2937"/>
        <x:rFont val="Noto Sans CJK SC"/>
        <x:family val="2"/>
      </x:rPr>
      <x:t xml:space="preserve">内容、不激活、不推进计数器；旧版本保持可启动</x:t>
    </x:r>
  </x:si>
  <x:si>
    <x:r>
      <x:rPr>
        <x:sz val="1000"/>
        <x:color rgb="FF1F2937"/>
        <x:rFont val="Noto Sans CJK SC"/>
        <x:family val="2"/>
      </x:rPr>
      <x:t xml:space="preserve">原始 </x:t>
    </x:r>
    <x:r>
      <x:rPr>
        <x:sz val="1000"/>
        <x:color rgb="FF1F2937"/>
        <x:rFont val="Calibri"/>
      </x:rPr>
      <x:t xml:space="preserve">eHSM</x:t>
    </x:r>
    <x:r>
      <x:rPr>
        <x:sz val="1000"/>
        <x:color rgb="FF1F2937"/>
        <x:rFont val="Noto Sans CJK SC"/>
        <x:family val="2"/>
      </x:rPr>
      <x:t xml:space="preserve">拒绝 </x:t>
    </x:r>
    <x:r>
      <x:rPr>
        <x:sz val="1000"/>
        <x:color rgb="FF1F2937"/>
        <x:rFont val="Calibri"/>
      </x:rPr>
      <x:t xml:space="preserve">+ </x:t>
    </x:r>
    <x:r>
      <x:rPr>
        <x:sz val="1000"/>
        <x:color rgb="FF1F2937"/>
        <x:rFont val="Noto Sans CJK SC"/>
        <x:family val="2"/>
      </x:rPr>
      <x:t xml:space="preserve">闪存（</x:t>
    </x:r>
    <x:r>
      <x:rPr>
        <x:sz val="1000"/>
        <x:color rgb="FF1F2937"/>
        <x:rFont val="Calibri"/>
      </x:rPr>
      <x:t xml:space="preserve">Flash</x:t>
    </x:r>
    <x:r>
      <x:rPr>
        <x:sz val="1000"/>
        <x:color rgb="FF1F2937"/>
        <x:rFont val="Noto Sans CJK SC"/>
        <x:family val="2"/>
      </x:rPr>
      <x:t xml:space="preserve">）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计数器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版本无副作用；验证证据必须包含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已提交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ID/eHSM</x:t>
    </x:r>
    <x:r>
      <x:rPr>
        <x:sz val="1000"/>
        <x:color rgb="FF1F2937"/>
        <x:rFont val="Noto Sans CJK SC"/>
        <x:family val="2"/>
      </x:rPr>
      <x:t xml:space="preserve">原始响应，随后执行健康</x:t>
    </x:r>
    <x:r>
      <x:rPr>
        <x:sz val="1000"/>
        <x:color rgb="FF1F2937"/>
        <x:rFont val="Calibri"/>
      </x:rPr>
      <x:t xml:space="preserve">BASIC</x:t>
    </x:r>
    <x:r>
      <x:rPr>
        <x:sz val="1000"/>
        <x:color rgb="FF1F2937"/>
        <x:rFont val="Noto Sans CJK SC"/>
        <x:family val="2"/>
      </x:rPr>
      <x:t xml:space="preserve">证明服务未失效</x:t>
    </x:r>
  </x:si>
  <x:si>
    <x:t xml:space="preserve">NEEDS_RECOVERABLE_UPGRADE_FIXTURE</x:t>
  </x:si>
  <x:si>
    <x:t xml:space="preserve">SRC-0012/SRC-0018; ADR-0014/0019/0024</x:t>
  </x:si>
  <x:si>
    <x:t xml:space="preserve">EHSM-NEG-UPGRADE-002</x:t>
  </x:si>
  <x:si>
    <x:t xml:space="preserve">已验证正确的基准样本升级包的签名、有效载荷、头部或计数器单点篡改</x:t>
  </x:si>
  <x:si>
    <x:r>
      <x:rPr>
        <x:sz val="1000"/>
        <x:color rgb="FF1F2937"/>
        <x:rFont val="Noto Sans CJK SC"/>
        <x:family val="2"/>
      </x:rPr>
      <x:t xml:space="preserve">验证</x:t>
    </x:r>
    <x:r>
      <x:rPr>
        <x:sz val="1000"/>
        <x:color rgb="FF1F2937"/>
        <x:rFont val="Calibri"/>
      </x:rPr>
      <x:t xml:space="preserve">eHSM FW</x:t>
    </x:r>
    <x:r>
      <x:rPr>
        <x:sz val="1000"/>
        <x:color rgb="FF1F2937"/>
        <x:rFont val="Noto Sans CJK SC"/>
        <x:family val="2"/>
      </x:rPr>
      <x:t xml:space="preserve">升级服务失败关闭</x:t>
    </x:r>
  </x:si>
  <x:si>
    <x:r>
      <x:rPr>
        <x:sz val="1000"/>
        <x:color rgb="FF1F2937"/>
        <x:rFont val="Noto Sans CJK SC"/>
        <x:family val="2"/>
      </x:rPr>
      <x:t xml:space="preserve">专用可恢复升级专用测试环境与资源；目标槽位、</x:t>
    </x:r>
    <x:r>
      <x:rPr>
        <x:sz val="1000"/>
        <x:color rgb="FF1F2937"/>
        <x:rFont val="Calibri"/>
      </x:rPr>
      <x:t xml:space="preserve">active</x:t>
    </x:r>
    <x:r>
      <x:rPr>
        <x:sz val="1000"/>
        <x:color rgb="FF1F2937"/>
        <x:rFont val="Noto Sans CJK SC"/>
        <x:family val="2"/>
      </x:rPr>
      <x:t xml:space="preserve">状态和计数器可观测</x:t>
    </x:r>
  </x:si>
  <x:si>
    <x:r>
      <x:rPr>
        <x:sz val="1000"/>
        <x:color rgb="FF1F2937"/>
        <x:rFont val="Noto Sans CJK SC"/>
        <x:family val="2"/>
      </x:rPr>
      <x:t xml:space="preserve">记录基线；逐参数化测试输入提交；检查原始返回、目标槽位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计数器；复位后复核版本</x:t>
    </x:r>
  </x:si>
  <x:si>
    <x:r>
      <x:rPr>
        <x:sz val="1000"/>
        <x:color rgb="FF1F2937"/>
        <x:rFont val="Noto Sans CJK SC"/>
        <x:family val="2"/>
      </x:rPr>
      <x:t xml:space="preserve">篡改包拒绝；不写入有效候选、不切</x:t>
    </x:r>
    <x:r>
      <x:rPr>
        <x:sz val="1000"/>
        <x:color rgb="FF1F2937"/>
        <x:rFont val="Calibri"/>
      </x:rPr>
      <x:t xml:space="preserve">active</x:t>
    </x:r>
    <x:r>
      <x:rPr>
        <x:sz val="1000"/>
        <x:color rgb="FF1F2937"/>
        <x:rFont val="Noto Sans CJK SC"/>
        <x:family val="2"/>
      </x:rPr>
      <x:t xml:space="preserve">、不推进计数器、不静默降级</x:t>
    </x:r>
  </x:si>
  <x:si>
    <x:r>
      <x:rPr>
        <x:sz val="1000"/>
        <x:color rgb="FF1F2937"/>
        <x:rFont val="Noto Sans CJK SC"/>
        <x:family val="2"/>
      </x:rPr>
      <x:t xml:space="preserve">原始 </x:t>
    </x:r>
    <x:r>
      <x:rPr>
        <x:sz val="1000"/>
        <x:color rgb="FF1F2937"/>
        <x:rFont val="Calibri"/>
      </x:rPr>
      <x:t xml:space="preserve">eHSM</x:t>
    </x:r>
    <x:r>
      <x:rPr>
        <x:sz val="1000"/>
        <x:color rgb="FF1F2937"/>
        <x:rFont val="Noto Sans CJK SC"/>
        <x:family val="2"/>
      </x:rPr>
      <x:t xml:space="preserve">拒绝 </x:t>
    </x:r>
    <x:r>
      <x:rPr>
        <x:sz val="1000"/>
        <x:color rgb="FF1F2937"/>
        <x:rFont val="Calibri"/>
      </x:rPr>
      <x:t xml:space="preserve">+ </x:t>
    </x:r>
    <x:r>
      <x:rPr>
        <x:sz val="1000"/>
        <x:color rgb="FF1F2937"/>
        <x:rFont val="Noto Sans CJK SC"/>
        <x:family val="2"/>
      </x:rPr>
      <x:t xml:space="preserve">持久化状态无副作用；验证证据必须包含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已提交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ID/eHSM</x:t>
    </x:r>
    <x:r>
      <x:rPr>
        <x:sz val="1000"/>
        <x:color rgb="FF1F2937"/>
        <x:rFont val="Noto Sans CJK SC"/>
        <x:family val="2"/>
      </x:rPr>
      <x:t xml:space="preserve">原始响应，随后执行健康</x:t>
    </x:r>
    <x:r>
      <x:rPr>
        <x:sz val="1000"/>
        <x:color rgb="FF1F2937"/>
        <x:rFont val="Calibri"/>
      </x:rPr>
      <x:t xml:space="preserve">BASIC</x:t>
    </x:r>
    <x:r>
      <x:rPr>
        <x:sz val="1000"/>
        <x:color rgb="FF1F2937"/>
        <x:rFont val="Noto Sans CJK SC"/>
        <x:family val="2"/>
      </x:rPr>
      <x:t xml:space="preserve">证明服务未失效</x:t>
    </x:r>
  </x:si>
  <x:si>
    <x:t xml:space="preserve">SRC-0018; ADR-0014/0019/0024</x:t>
  </x:si>
  <x:si>
    <x:t xml:space="preserve">EHSM-NEG-CRYPTO-001</x:t>
  </x:si>
  <x:si>
    <x:t xml:space="preserve">MB_CMD_ID_SM2_SIGN / MB_CMD_ID_RSA_SIGN / MB_CMD_ID_ECDSA</x:t>
  </x:si>
  <x:si>
    <x:r>
      <x:rPr>
        <x:sz val="1000"/>
        <x:color rgb="FF1F2937"/>
        <x:rFont val="Noto Sans CJK SC"/>
        <x:family val="2"/>
      </x:rPr>
      <x:t xml:space="preserve">每个算法先生成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取得正确签名，再分别翻转签名</x:t>
    </x:r>
    <x:r>
      <x:rPr>
        <x:sz val="1000"/>
        <x:color rgb="FF1F2937"/>
        <x:rFont val="Calibri"/>
      </x:rPr>
      <x:t xml:space="preserve">1 bit</x:t>
    </x:r>
    <x:r>
      <x:rPr>
        <x:sz val="1000"/>
        <x:color rgb="FF1F2937"/>
        <x:rFont val="Noto Sans CJK SC"/>
        <x:family val="2"/>
      </x:rPr>
      <x:t xml:space="preserve">和消息</x:t>
    </x:r>
    <x:r>
      <x:rPr>
        <x:sz val="1000"/>
        <x:color rgb="FF1F2937"/>
        <x:rFont val="Calibri"/>
      </x:rPr>
      <x:t xml:space="preserve">1 bit</x:t>
    </x:r>
  </x:si>
  <x:si>
    <x:r>
      <x:rPr>
        <x:sz val="1000"/>
        <x:color rgb="FF1F2937"/>
        <x:rFont val="Noto Sans CJK SC"/>
        <x:family val="2"/>
      </x:rPr>
      <x:t xml:space="preserve">验证</x:t>
    </x:r>
    <x:r>
      <x:rPr>
        <x:sz val="1000"/>
        <x:color rgb="FF1F2937"/>
        <x:rFont val="Calibri"/>
      </x:rPr>
      <x:t xml:space="preserve">eHSM SM2/RSA/ECDSA</x:t>
    </x:r>
    <x:r>
      <x:rPr>
        <x:sz val="1000"/>
        <x:color rgb="FF1F2937"/>
        <x:rFont val="Noto Sans CJK SC"/>
        <x:family val="2"/>
      </x:rPr>
      <x:t xml:space="preserve">验证不会接受错误签名</x:t>
    </x:r>
  </x:si>
  <x:si>
    <x:r>
      <x:rPr>
        <x:sz val="1000"/>
        <x:color rgb="FF1F2937"/>
        <x:rFont val="Noto Sans CJK SC"/>
        <x:family val="2"/>
      </x:rPr>
      <x:t xml:space="preserve">公开测试</x:t>
    </x:r>
    <x:r>
      <x:rPr>
        <x:sz val="1000"/>
        <x:color rgb="FF1F2937"/>
        <x:rFont val="Calibri"/>
      </x:rPr>
      <x:t xml:space="preserve">key</x:t>
    </x:r>
    <x:r>
      <x:rPr>
        <x:sz val="1000"/>
        <x:color rgb="FF1F2937"/>
        <x:rFont val="Noto Sans CJK SC"/>
        <x:family val="2"/>
      </x:rPr>
      <x:t xml:space="preserve">和消息可用；使用</x:t>
    </x:r>
    <x:r>
      <x:rPr>
        <x:sz val="1000"/>
        <x:color rgb="FF1F2937"/>
        <x:rFont val="Calibri"/>
      </x:rPr>
      <x:t xml:space="preserve">Vendor</x:t>
    </x:r>
    <x:r>
      <x:rPr>
        <x:sz val="1000"/>
        <x:color rgb="FF1F2937"/>
        <x:rFont val="Noto Sans CJK SC"/>
        <x:family val="2"/>
      </x:rPr>
      <x:t xml:space="preserve">正式</x:t>
    </x:r>
    <x:r>
      <x:rPr>
        <x:sz val="1000"/>
        <x:color rgb="FF1F2937"/>
        <x:rFont val="Calibri"/>
      </x:rPr>
      <x:t xml:space="preserve">verify API</x:t>
    </x:r>
  </x:si>
  <x:si>
    <x:r>
      <x:rPr>
        <x:sz val="1000"/>
        <x:color rgb="FF1F2937"/>
        <x:rFont val="Noto Sans CJK SC"/>
        <x:family val="2"/>
      </x:rPr>
      <x:t xml:space="preserve">正确签名先验证为</x:t>
    </x:r>
    <x:r>
      <x:rPr>
        <x:sz val="1000"/>
        <x:color rgb="FF1F2937"/>
        <x:rFont val="Calibri"/>
      </x:rPr>
      <x:t xml:space="preserve">true</x:t>
    </x:r>
    <x:r>
      <x:rPr>
        <x:sz val="1000"/>
        <x:color rgb="FF1F2937"/>
        <x:rFont val="Noto Sans CJK SC"/>
        <x:family val="2"/>
      </x:rPr>
      <x:t xml:space="preserve">；逐参数化测试输入提交错误签名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消息；记录</x:t>
    </x:r>
    <x:r>
      <x:rPr>
        <x:sz val="1000"/>
        <x:color rgb="FF1F2937"/>
        <x:rFont val="Calibri"/>
      </x:rPr>
      <x:t xml:space="preserve">ret</x:t>
    </x:r>
    <x:r>
      <x:rPr>
        <x:sz val="1000"/>
        <x:color rgb="FF1F2937"/>
        <x:rFont val="Noto Sans CJK SC"/>
        <x:family val="2"/>
      </x:rPr>
      <x:t xml:space="preserve">、</x:t>
    </x:r>
    <x:r>
      <x:rPr>
        <x:sz val="1000"/>
        <x:color rgb="FF1F2937"/>
        <x:rFont val="Calibri"/>
      </x:rPr>
      <x:t xml:space="preserve">verify_result</x:t>
    </x:r>
    <x:r>
      <x:rPr>
        <x:sz val="1000"/>
        <x:color rgb="FF1F2937"/>
        <x:rFont val="Noto Sans CJK SC"/>
        <x:family val="2"/>
      </x:rPr>
      <x:t xml:space="preserve">和原始响应；最后复测正确签名</x:t>
    </x:r>
  </x:si>
  <x:si>
    <x:r>
      <x:rPr>
        <x:sz val="1000"/>
        <x:color rgb="FF1F2937"/>
        <x:rFont val="Noto Sans CJK SC"/>
        <x:family val="2"/>
      </x:rPr>
      <x:t xml:space="preserve">错误参数化测试输入的</x:t>
    </x:r>
    <x:r>
      <x:rPr>
        <x:sz val="1000"/>
        <x:color rgb="FF1F2937"/>
        <x:rFont val="Calibri"/>
      </x:rPr>
      <x:t xml:space="preserve">verify_result=false</x:t>
    </x:r>
    <x:r>
      <x:rPr>
        <x:sz val="1000"/>
        <x:color rgb="FF1F2937"/>
        <x:rFont val="Noto Sans CJK SC"/>
        <x:family val="2"/>
      </x:rPr>
      <x:t xml:space="preserve">或返回文档化验签失败，绝不能为</x:t>
    </x:r>
    <x:r>
      <x:rPr>
        <x:sz val="1000"/>
        <x:color rgb="FF1F2937"/>
        <x:rFont val="Calibri"/>
      </x:rPr>
      <x:t xml:space="preserve">true</x:t>
    </x:r>
    <x:r>
      <x:rPr>
        <x:sz val="1000"/>
        <x:color rgb="FF1F2937"/>
        <x:rFont val="Noto Sans CJK SC"/>
        <x:family val="2"/>
      </x:rPr>
      <x:t xml:space="preserve">；正确签名复测为</x:t>
    </x:r>
    <x:r>
      <x:rPr>
        <x:sz val="1000"/>
        <x:color rgb="FF1F2937"/>
        <x:rFont val="Calibri"/>
      </x:rPr>
      <x:t xml:space="preserve">true</x:t>
    </x:r>
  </x:si>
  <x:si>
    <x:r>
      <x:rPr>
        <x:sz val="1000"/>
        <x:color rgb="FF1F2937"/>
        <x:rFont val="Calibri"/>
      </x:rPr>
      <x:t xml:space="preserve">eHSM</x:t>
    </x:r>
    <x:r>
      <x:rPr>
        <x:sz val="1000"/>
        <x:color rgb="FF1F2937"/>
        <x:rFont val="Noto Sans CJK SC"/>
        <x:family val="2"/>
      </x:rPr>
      <x:t xml:space="preserve">返回的</x:t>
    </x:r>
    <x:r>
      <x:rPr>
        <x:sz val="1000"/>
        <x:color rgb="FF1F2937"/>
        <x:rFont val="Calibri"/>
      </x:rPr>
      <x:t xml:space="preserve">verify_result/</x:t>
    </x:r>
    <x:r>
      <x:rPr>
        <x:sz val="1000"/>
        <x:color rgb="FF1F2937"/>
        <x:rFont val="Noto Sans CJK SC"/>
        <x:family val="2"/>
      </x:rPr>
      <x:t xml:space="preserve">原始结果，而非</x:t>
    </x:r>
    <x:r>
      <x:rPr>
        <x:sz val="1000"/>
        <x:color rgb="FF1F2937"/>
        <x:rFont val="Calibri"/>
      </x:rPr>
      <x:t xml:space="preserve">Host</x:t>
    </x:r>
    <x:r>
      <x:rPr>
        <x:sz val="1000"/>
        <x:color rgb="FF1F2937"/>
        <x:rFont val="Noto Sans CJK SC"/>
        <x:family val="2"/>
      </x:rPr>
      <x:t xml:space="preserve">自行比较；验证证据必须包含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已提交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ID/eHSM</x:t>
    </x:r>
    <x:r>
      <x:rPr>
        <x:sz val="1000"/>
        <x:color rgb="FF1F2937"/>
        <x:rFont val="Noto Sans CJK SC"/>
        <x:family val="2"/>
      </x:rPr>
      <x:t xml:space="preserve">原始响应，随后执行健康</x:t>
    </x:r>
    <x:r>
      <x:rPr>
        <x:sz val="1000"/>
        <x:color rgb="FF1F2937"/>
        <x:rFont val="Calibri"/>
      </x:rPr>
      <x:t xml:space="preserve">BASIC</x:t>
    </x:r>
    <x:r>
      <x:rPr>
        <x:sz val="1000"/>
        <x:color rgb="FF1F2937"/>
        <x:rFont val="Noto Sans CJK SC"/>
        <x:family val="2"/>
      </x:rPr>
      <x:t xml:space="preserve">证明服务未失效</x:t>
    </x:r>
  </x:si>
  <x:si>
    <x:t xml:space="preserve">READY_AFTER_VENDOR_VERIFY_API_PORT</x:t>
  </x:si>
  <x:si>
    <x:t xml:space="preserve">SRC-0014/SRC-0018; Vendor PKE Demo</x:t>
  </x:si>
  <x:si>
    <x:t xml:space="preserve">EHSM-NEG-CRYPTO-002</x:t>
  </x:si>
  <x:si>
    <x:t xml:space="preserve">MB_CMD_ID_MAC / MB_CMD_ID_HMAC</x:t>
  </x:si>
  <x:si>
    <x:r>
      <x:rPr>
        <x:sz val="1000"/>
        <x:color rgb="FF1F2937"/>
        <x:rFont val="Noto Sans CJK SC"/>
        <x:family val="2"/>
      </x:rPr>
      <x:t xml:space="preserve">正确</x:t>
    </x:r>
    <x:r>
      <x:rPr>
        <x:sz val="1000"/>
        <x:color rgb="FF1F2937"/>
        <x:rFont val="Calibri"/>
      </x:rPr>
      <x:t xml:space="preserve">MAC/HMAC</x:t>
    </x:r>
    <x:r>
      <x:rPr>
        <x:sz val="1000"/>
        <x:color rgb="FF1F2937"/>
        <x:rFont val="Noto Sans CJK SC"/>
        <x:family val="2"/>
      </x:rPr>
      <x:t xml:space="preserve">基线；翻转认证值</x:t>
    </x:r>
    <x:r>
      <x:rPr>
        <x:sz val="1000"/>
        <x:color rgb="FF1F2937"/>
        <x:rFont val="Calibri"/>
      </x:rPr>
      <x:t xml:space="preserve">1 bit</x:t>
    </x:r>
    <x:r>
      <x:rPr>
        <x:sz val="1000"/>
        <x:color rgb="FF1F2937"/>
        <x:rFont val="Noto Sans CJK SC"/>
        <x:family val="2"/>
      </x:rPr>
      <x:t xml:space="preserve">和消息</x:t>
    </x:r>
    <x:r>
      <x:rPr>
        <x:sz val="1000"/>
        <x:color rgb="FF1F2937"/>
        <x:rFont val="Calibri"/>
      </x:rPr>
      <x:t xml:space="preserve">1 bit</x:t>
    </x:r>
  </x:si>
  <x:si>
    <x:r>
      <x:rPr>
        <x:sz val="1000"/>
        <x:color rgb="FF1F2937"/>
        <x:rFont val="Noto Sans CJK SC"/>
        <x:family val="2"/>
      </x:rPr>
      <x:t xml:space="preserve">验证</x:t>
    </x:r>
    <x:r>
      <x:rPr>
        <x:sz val="1000"/>
        <x:color rgb="FF1F2937"/>
        <x:rFont val="Calibri"/>
      </x:rPr>
      <x:t xml:space="preserve">eHSM</x:t>
    </x:r>
    <x:r>
      <x:rPr>
        <x:sz val="1000"/>
        <x:color rgb="FF1F2937"/>
        <x:rFont val="Noto Sans CJK SC"/>
        <x:family val="2"/>
      </x:rPr>
      <x:t xml:space="preserve">认证码验证拒绝被篡改数据</x:t>
    </x:r>
  </x:si>
  <x:si>
    <x:r>
      <x:rPr>
        <x:sz val="1000"/>
        <x:color rgb="FF1F2937"/>
        <x:rFont val="Noto Sans CJK SC"/>
        <x:family val="2"/>
      </x:rPr>
      <x:t xml:space="preserve">公开测试</x:t>
    </x:r>
    <x:r>
      <x:rPr>
        <x:sz val="1000"/>
        <x:color rgb="FF1F2937"/>
        <x:rFont val="Calibri"/>
      </x:rPr>
      <x:t xml:space="preserve">key</x:t>
    </x:r>
    <x:r>
      <x:rPr>
        <x:sz val="1000"/>
        <x:color rgb="FF1F2937"/>
        <x:rFont val="Noto Sans CJK SC"/>
        <x:family val="2"/>
      </x:rPr>
      <x:t xml:space="preserve">和向量可用；使用</x:t>
    </x:r>
    <x:r>
      <x:rPr>
        <x:sz val="1000"/>
        <x:color rgb="FF1F2937"/>
        <x:rFont val="Calibri"/>
      </x:rPr>
      <x:t xml:space="preserve">Vendor verify API</x:t>
    </x:r>
  </x:si>
  <x:si>
    <x:r>
      <x:rPr>
        <x:sz val="1000"/>
        <x:color rgb="FF1F2937"/>
        <x:rFont val="Noto Sans CJK SC"/>
        <x:family val="2"/>
      </x:rPr>
      <x:t xml:space="preserve">先验证正确值；逐参数化测试输入调用验证；记录</x:t>
    </x:r>
    <x:r>
      <x:rPr>
        <x:sz val="1000"/>
        <x:color rgb="FF1F2937"/>
        <x:rFont val="Calibri"/>
      </x:rPr>
      <x:t xml:space="preserve">ret</x:t>
    </x:r>
    <x:r>
      <x:rPr>
        <x:sz val="1000"/>
        <x:color rgb="FF1F2937"/>
        <x:rFont val="Noto Sans CJK SC"/>
        <x:family val="2"/>
      </x:rPr>
      <x:t xml:space="preserve">、</x:t>
    </x:r>
    <x:r>
      <x:rPr>
        <x:sz val="1000"/>
        <x:color rgb="FF1F2937"/>
        <x:rFont val="Calibri"/>
      </x:rPr>
      <x:t xml:space="preserve">verify_result/</x:t>
    </x:r>
    <x:r>
      <x:rPr>
        <x:sz val="1000"/>
        <x:color rgb="FF1F2937"/>
        <x:rFont val="Noto Sans CJK SC"/>
        <x:family val="2"/>
      </x:rPr>
      <x:t xml:space="preserve">原始响应；复测正确值</x:t>
    </x:r>
  </x:si>
  <x:si>
    <x:r>
      <x:rPr>
        <x:sz val="1000"/>
        <x:color rgb="FF1F2937"/>
        <x:rFont val="Noto Sans CJK SC"/>
        <x:family val="2"/>
      </x:rPr>
      <x:t xml:space="preserve">错误参数化测试输入的</x:t>
    </x:r>
    <x:r>
      <x:rPr>
        <x:sz val="1000"/>
        <x:color rgb="FF1F2937"/>
        <x:rFont val="Calibri"/>
      </x:rPr>
      <x:t xml:space="preserve">verify_result=false</x:t>
    </x:r>
    <x:r>
      <x:rPr>
        <x:sz val="1000"/>
        <x:color rgb="FF1F2937"/>
        <x:rFont val="Noto Sans CJK SC"/>
        <x:family val="2"/>
      </x:rPr>
      <x:t xml:space="preserve">或文档化失败；正确值复测为</x:t>
    </x:r>
    <x:r>
      <x:rPr>
        <x:sz val="1000"/>
        <x:color rgb="FF1F2937"/>
        <x:rFont val="Calibri"/>
      </x:rPr>
      <x:t xml:space="preserve">true</x:t>
    </x:r>
  </x:si>
  <x:si>
    <x:r>
      <x:rPr>
        <x:sz val="1000"/>
        <x:color rgb="FF1F2937"/>
        <x:rFont val="Calibri"/>
      </x:rPr>
      <x:t xml:space="preserve">eHSM verify_result/</x:t>
    </x:r>
    <x:r>
      <x:rPr>
        <x:sz val="1000"/>
        <x:color rgb="FF1F2937"/>
        <x:rFont val="Noto Sans CJK SC"/>
        <x:family val="2"/>
      </x:rPr>
      <x:t xml:space="preserve">原始结果；验证证据必须包含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已提交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ID/eHSM</x:t>
    </x:r>
    <x:r>
      <x:rPr>
        <x:sz val="1000"/>
        <x:color rgb="FF1F2937"/>
        <x:rFont val="Noto Sans CJK SC"/>
        <x:family val="2"/>
      </x:rPr>
      <x:t xml:space="preserve">原始响应，随后执行健康</x:t>
    </x:r>
    <x:r>
      <x:rPr>
        <x:sz val="1000"/>
        <x:color rgb="FF1F2937"/>
        <x:rFont val="Calibri"/>
      </x:rPr>
      <x:t xml:space="preserve">BASIC</x:t>
    </x:r>
    <x:r>
      <x:rPr>
        <x:sz val="1000"/>
        <x:color rgb="FF1F2937"/>
        <x:rFont val="Noto Sans CJK SC"/>
        <x:family val="2"/>
      </x:rPr>
      <x:t xml:space="preserve">证明服务未失效</x:t>
    </x:r>
  </x:si>
  <x:si>
    <x:t xml:space="preserve">SRC-0014/SRC-0018; Vendor MAC/HMAC Demo</x:t>
  </x:si>
  <x:si>
    <x:t xml:space="preserve">EHSM-NEG-CRYPTO-003</x:t>
  </x:si>
  <x:si>
    <x:t xml:space="preserve">MB_CMD_ID_AEAD_GCM / MB_CMD_ID_AEAD_CCM</x:t>
  </x:si>
  <x:si>
    <x:r>
      <x:rPr>
        <x:sz val="1000"/>
        <x:color rgb="FF1F2937"/>
        <x:rFont val="Noto Sans CJK SC"/>
        <x:family val="2"/>
      </x:rPr>
      <x:t xml:space="preserve">正确密文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认证标签基线；分别翻转认证标签、附加认证数据（</x:t>
    </x:r>
    <x:r>
      <x:rPr>
        <x:sz val="1000"/>
        <x:color rgb="FF1F2937"/>
        <x:rFont val="Calibri"/>
      </x:rPr>
      <x:t xml:space="preserve">AAD</x:t>
    </x:r>
    <x:r>
      <x:rPr>
        <x:sz val="1000"/>
        <x:color rgb="FF1F2937"/>
        <x:rFont val="Noto Sans CJK SC"/>
        <x:family val="2"/>
      </x:rPr>
      <x:t xml:space="preserve">）和密文</x:t>
    </x:r>
    <x:r>
      <x:rPr>
        <x:sz val="1000"/>
        <x:color rgb="FF1F2937"/>
        <x:rFont val="Calibri"/>
      </x:rPr>
      <x:t xml:space="preserve">1 bit</x:t>
    </x:r>
  </x:si>
  <x:si>
    <x:r>
      <x:rPr>
        <x:sz val="1000"/>
        <x:color rgb="FF1F2937"/>
        <x:rFont val="Noto Sans CJK SC"/>
        <x:family val="2"/>
      </x:rPr>
      <x:t xml:space="preserve">验证</x:t>
    </x:r>
    <x:r>
      <x:rPr>
        <x:sz val="1000"/>
        <x:color rgb="FF1F2937"/>
        <x:rFont val="Calibri"/>
      </x:rPr>
      <x:t xml:space="preserve">eHSM AEAD</x:t>
    </x:r>
    <x:r>
      <x:rPr>
        <x:sz val="1000"/>
        <x:color rgb="FF1F2937"/>
        <x:rFont val="Noto Sans CJK SC"/>
        <x:family val="2"/>
      </x:rPr>
      <x:t xml:space="preserve">解密认证不会把篡改数据判为有效</x:t>
    </x:r>
  </x:si>
  <x:si>
    <x:r>
      <x:rPr>
        <x:sz val="1000"/>
        <x:color rgb="FF1F2937"/>
        <x:rFont val="Noto Sans CJK SC"/>
        <x:family val="2"/>
      </x:rPr>
      <x:t xml:space="preserve">公开</x:t>
    </x:r>
    <x:r>
      <x:rPr>
        <x:sz val="1000"/>
        <x:color rgb="FF1F2937"/>
        <x:rFont val="Calibri"/>
      </x:rPr>
      <x:t xml:space="preserve">GCM/CCM</x:t>
    </x:r>
    <x:r>
      <x:rPr>
        <x:sz val="1000"/>
        <x:color rgb="FF1F2937"/>
        <x:rFont val="Noto Sans CJK SC"/>
        <x:family val="2"/>
      </x:rPr>
      <x:t xml:space="preserve">向量可用；输出缓冲区预填预置检查值</x:t>
    </x:r>
  </x:si>
  <x:si>
    <x:r>
      <x:rPr>
        <x:sz val="1000"/>
        <x:color rgb="FF1F2937"/>
        <x:rFont val="Noto Sans CJK SC"/>
        <x:family val="2"/>
      </x:rPr>
      <x:t xml:space="preserve">先验证正确向量；逐参数化测试输入解密；记录</x:t>
    </x:r>
    <x:r>
      <x:rPr>
        <x:sz val="1000"/>
        <x:color rgb="FF1F2937"/>
        <x:rFont val="Calibri"/>
      </x:rPr>
      <x:t xml:space="preserve">ret</x:t>
    </x:r>
    <x:r>
      <x:rPr>
        <x:sz val="1000"/>
        <x:color rgb="FF1F2937"/>
        <x:rFont val="Noto Sans CJK SC"/>
        <x:family val="2"/>
      </x:rPr>
      <x:t xml:space="preserve">、</x:t>
    </x:r>
    <x:r>
      <x:rPr>
        <x:sz val="1000"/>
        <x:color rgb="FF1F2937"/>
        <x:rFont val="Calibri"/>
      </x:rPr>
      <x:t xml:space="preserve">verify_result</x:t>
    </x:r>
    <x:r>
      <x:rPr>
        <x:sz val="1000"/>
        <x:color rgb="FF1F2937"/>
        <x:rFont val="Noto Sans CJK SC"/>
        <x:family val="2"/>
      </x:rPr>
      <x:t xml:space="preserve">、原始响应和输出缓冲区；复测正确向量</x:t>
    </x:r>
  </x:si>
  <x:si>
    <x:r>
      <x:rPr>
        <x:sz val="1000"/>
        <x:color rgb="FF1F2937"/>
        <x:rFont val="Noto Sans CJK SC"/>
        <x:family val="2"/>
      </x:rPr>
      <x:t xml:space="preserve">错误参数化测试输入的</x:t>
    </x:r>
    <x:r>
      <x:rPr>
        <x:sz val="1000"/>
        <x:color rgb="FF1F2937"/>
        <x:rFont val="Calibri"/>
      </x:rPr>
      <x:t xml:space="preserve">verify_result=false</x:t>
    </x:r>
    <x:r>
      <x:rPr>
        <x:sz val="1000"/>
        <x:color rgb="FF1F2937"/>
        <x:rFont val="Noto Sans CJK SC"/>
        <x:family val="2"/>
      </x:rPr>
      <x:t xml:space="preserve">或文档化认证失败；不得被上层当成有效明文；是否要求输出缓冲区不变按</x:t>
    </x:r>
    <x:r>
      <x:rPr>
        <x:sz val="1000"/>
        <x:color rgb="FF1F2937"/>
        <x:rFont val="Calibri"/>
      </x:rPr>
      <x:t xml:space="preserve">Vendor</x:t>
    </x:r>
    <x:r>
      <x:rPr>
        <x:sz val="1000"/>
        <x:color rgb="FF1F2937"/>
        <x:rFont val="Noto Sans CJK SC"/>
        <x:family val="2"/>
      </x:rPr>
      <x:t xml:space="preserve">合同冻结</x:t>
    </x:r>
  </x:si>
  <x:si>
    <x:r>
      <x:rPr>
        <x:sz val="1000"/>
        <x:color rgb="FF1F2937"/>
        <x:rFont val="Calibri"/>
      </x:rPr>
      <x:t xml:space="preserve">eHSM verify_result/</x:t>
    </x:r>
    <x:r>
      <x:rPr>
        <x:sz val="1000"/>
        <x:color rgb="FF1F2937"/>
        <x:rFont val="Noto Sans CJK SC"/>
        <x:family val="2"/>
      </x:rPr>
      <x:t xml:space="preserve">原始结果；明文发布规则缺失时该子判据为</x:t>
    </x:r>
    <x:r>
      <x:rPr>
        <x:sz val="1000"/>
        <x:color rgb="FF1F2937"/>
        <x:rFont val="Calibri"/>
      </x:rPr>
      <x:t xml:space="preserve">INCONCLUSIVE</x:t>
    </x:r>
    <x:r>
      <x:rPr>
        <x:sz val="1000"/>
        <x:color rgb="FF1F2937"/>
        <x:rFont val="Noto Sans CJK SC"/>
        <x:family val="2"/>
      </x:rPr>
      <x:t xml:space="preserve">而非猜测；验证证据必须包含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已提交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ID/eHSM</x:t>
    </x:r>
    <x:r>
      <x:rPr>
        <x:sz val="1000"/>
        <x:color rgb="FF1F2937"/>
        <x:rFont val="Noto Sans CJK SC"/>
        <x:family val="2"/>
      </x:rPr>
      <x:t xml:space="preserve">原始响应，随后执行健康</x:t>
    </x:r>
    <x:r>
      <x:rPr>
        <x:sz val="1000"/>
        <x:color rgb="FF1F2937"/>
        <x:rFont val="Calibri"/>
      </x:rPr>
      <x:t xml:space="preserve">BASIC</x:t>
    </x:r>
    <x:r>
      <x:rPr>
        <x:sz val="1000"/>
        <x:color rgb="FF1F2937"/>
        <x:rFont val="Noto Sans CJK SC"/>
        <x:family val="2"/>
      </x:rPr>
      <x:t xml:space="preserve">证明服务未失效</x:t>
    </x:r>
  </x:si>
  <x:si>
    <x:t xml:space="preserve">READY_AFTER_AEAD_OUTPUT_CONTRACT</x:t>
  </x:si>
  <x:si>
    <x:t xml:space="preserve">SRC-0005/SRC-0014/SRC-0018; Vendor AEAD Demo</x:t>
  </x:si>
  <x:si>
    <x:t xml:space="preserve">EHSM-NEG-AUTH-001</x:t>
  </x:si>
  <x:si>
    <x:t xml:space="preserve">MB_CMD_ID_BL_GET_CHALLENGE / MB_CMD_ID_BL_DEBUG_AUTH</x:t>
  </x:si>
  <x:si>
    <x:r>
      <x:rPr>
        <x:sz val="1000"/>
        <x:color rgb="FF1F2937"/>
        <x:rFont val="Noto Sans CJK SC"/>
        <x:family val="2"/>
      </x:rPr>
      <x:t xml:space="preserve">验证</x:t>
    </x:r>
    <x:r>
      <x:rPr>
        <x:sz val="1000"/>
        <x:color rgb="FF1F2937"/>
        <x:rFont val="Calibri"/>
      </x:rPr>
      <x:t xml:space="preserve">eHSM BL</x:t>
    </x:r>
    <x:r>
      <x:rPr>
        <x:sz val="1000"/>
        <x:color rgb="FF1F2937"/>
        <x:rFont val="Noto Sans CJK SC"/>
        <x:family val="2"/>
      </x:rPr>
      <x:t xml:space="preserve">不会因错误认证材料开启调试</x:t>
    </x:r>
  </x:si>
  <x:si>
    <x:r>
      <x:rPr>
        <x:sz val="1000"/>
        <x:color rgb="FF1F2937"/>
        <x:rFont val="Calibri"/>
      </x:rPr>
      <x:t xml:space="preserve">SRC-0012/SRC-0014/SRC-0018; Debug Auth</x:t>
    </x:r>
    <x:r>
      <x:rPr>
        <x:sz val="1000"/>
        <x:color rgb="FF1F2937"/>
        <x:rFont val="Noto Sans CJK SC"/>
        <x:family val="2"/>
      </x:rPr>
      <x:t xml:space="preserve">合同</x:t>
    </x:r>
  </x:si>
  <x:si>
    <x:t xml:space="preserve">EHSM-NEG-AUTH-002</x:t>
  </x:si>
  <x:si>
    <x:t xml:space="preserve">MB_CMD_ID_GET_CHALLENGE / MB_CMD_ID_AUTH</x:t>
  </x:si>
  <x:si>
    <x:r>
      <x:rPr>
        <x:sz val="1000"/>
        <x:color rgb="FF1F2937"/>
        <x:rFont val="Noto Sans CJK SC"/>
        <x:family val="2"/>
      </x:rPr>
      <x:t xml:space="preserve">验证</x:t>
    </x:r>
    <x:r>
      <x:rPr>
        <x:sz val="1000"/>
        <x:color rgb="FF1F2937"/>
        <x:rFont val="Calibri"/>
      </x:rPr>
      <x:t xml:space="preserve">eHSM FW</x:t>
    </x:r>
    <x:r>
      <x:rPr>
        <x:sz val="1000"/>
        <x:color rgb="FF1F2937"/>
        <x:rFont val="Noto Sans CJK SC"/>
        <x:family val="2"/>
      </x:rPr>
      <x:t xml:space="preserve">认证状态不会被错误材料提升</x:t>
    </x:r>
  </x:si>
  <x:si>
    <x:r>
      <x:rPr>
        <x:sz val="1000"/>
        <x:color rgb="FF1F2937"/>
        <x:rFont val="Calibri"/>
      </x:rPr>
      <x:t xml:space="preserve">SRC-0005/SRC-0014/SRC-0018; Auth</x:t>
    </x:r>
    <x:r>
      <x:rPr>
        <x:sz val="1000"/>
        <x:color rgb="FF1F2937"/>
        <x:rFont val="Noto Sans CJK SC"/>
        <x:family val="2"/>
      </x:rPr>
      <x:t xml:space="preserve">合同</x:t>
    </x:r>
  </x:si>
  <x:si>
    <x:t xml:space="preserve">EHSM-NEG-KEY-001</x:t>
  </x:si>
  <x:si>
    <x:t xml:space="preserve">MB_CMD_ID_INSTALL_RANDOM_KEY / MB_CMD_ID_INSTALL_ENCRYPT_KEY / MB_CMD_ID_EHSM_IMPORT_KEY</x:t>
  </x:si>
  <x:si>
    <x:r>
      <x:rPr>
        <x:sz val="1000"/>
        <x:color rgb="FF1F2937"/>
        <x:rFont val="Noto Sans CJK SC"/>
        <x:family val="2"/>
      </x:rPr>
      <x:t xml:space="preserve">从可成功安装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导入的</x:t>
    </x:r>
    <x:r>
      <x:rPr>
        <x:sz val="1000"/>
        <x:color rgb="FF1F2937"/>
        <x:rFont val="Calibri"/>
      </x:rPr>
      <x:t xml:space="preserve">wrapped key</x:t>
    </x:r>
    <x:r>
      <x:rPr>
        <x:sz val="1000"/>
        <x:color rgb="FF1F2937"/>
        <x:rFont val="Noto Sans CJK SC"/>
        <x:family val="2"/>
      </x:rPr>
      <x:t xml:space="preserve">或认证数据翻转数据块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签名</x:t>
    </x:r>
    <x:r>
      <x:rPr>
        <x:sz val="1000"/>
        <x:color rgb="FF1F2937"/>
        <x:rFont val="Calibri"/>
      </x:rPr>
      <x:t xml:space="preserve">/MAC 1 bit</x:t>
    </x:r>
  </x:si>
  <x:si>
    <x:r>
      <x:rPr>
        <x:sz val="1000"/>
        <x:color rgb="FF1F2937"/>
        <x:rFont val="Noto Sans CJK SC"/>
        <x:family val="2"/>
      </x:rPr>
      <x:t xml:space="preserve">验证</x:t>
    </x:r>
    <x:r>
      <x:rPr>
        <x:sz val="1000"/>
        <x:color rgb="FF1F2937"/>
        <x:rFont val="Calibri"/>
      </x:rPr>
      <x:t xml:space="preserve">eHSM </x:t>
    </x:r>
    <x:r>
      <x:rPr>
        <x:sz val="1000"/>
        <x:color rgb="FF1F2937"/>
        <x:rFont val="Noto Sans CJK SC"/>
        <x:family val="2"/>
      </x:rPr>
      <x:t xml:space="preserve">密钥 </x:t>
    </x:r>
    <x:r>
      <x:rPr>
        <x:sz val="1000"/>
        <x:color rgb="FF1F2937"/>
        <x:rFont val="Calibri"/>
      </x:rPr>
      <x:t xml:space="preserve">Manager</x:t>
    </x:r>
    <x:r>
      <x:rPr>
        <x:sz val="1000"/>
        <x:color rgb="FF1F2937"/>
        <x:rFont val="Noto Sans CJK SC"/>
        <x:family val="2"/>
      </x:rPr>
      <x:t xml:space="preserve">不创建未经认证的密钥对象</x:t>
    </x:r>
  </x:si>
  <x:si>
    <x:r>
      <x:rPr>
        <x:sz val="1000"/>
        <x:color rgb="FF1F2937"/>
        <x:rFont val="Noto Sans CJK SC"/>
        <x:family val="2"/>
      </x:rPr>
      <x:t xml:space="preserve">专用非量产</x:t>
    </x:r>
    <x:r>
      <x:rPr>
        <x:sz val="1000"/>
        <x:color rgb="FF1F2937"/>
        <x:rFont val="Calibri"/>
      </x:rPr>
      <x:t xml:space="preserve">key </x:t>
    </x:r>
    <x:r>
      <x:rPr>
        <x:sz val="1000"/>
        <x:color rgb="FF1F2937"/>
        <x:rFont val="Noto Sans CJK SC"/>
        <x:family val="2"/>
      </x:rPr>
      <x:t xml:space="preserve">专用测试环境与资源；对象清单可查询；正确测试基线可成功</x:t>
    </x:r>
  </x:si>
  <x:si>
    <x:t xml:space="preserve">记录对象清单；提交篡改参数化测试输入；检查原始结果和对象状态；最后用正确材料复测并清理</x:t>
  </x:si>
  <x:si>
    <x:t xml:space="preserve">篡改参数化测试输入拒绝；不创建、覆盖或部分更新对象；正确材料复测成功</x:t>
  </x:si>
  <x:si>
    <x:r>
      <x:rPr>
        <x:sz val="1000"/>
        <x:color rgb="FF1F2937"/>
        <x:rFont val="Noto Sans CJK SC"/>
        <x:family val="2"/>
      </x:rPr>
      <x:t xml:space="preserve">原始 </x:t>
    </x:r>
    <x:r>
      <x:rPr>
        <x:sz val="1000"/>
        <x:color rgb="FF1F2937"/>
        <x:rFont val="Calibri"/>
      </x:rPr>
      <x:t xml:space="preserve">eHSM</x:t>
    </x:r>
    <x:r>
      <x:rPr>
        <x:sz val="1000"/>
        <x:color rgb="FF1F2937"/>
        <x:rFont val="Noto Sans CJK SC"/>
        <x:family val="2"/>
      </x:rPr>
      <x:t xml:space="preserve">拒绝 </x:t>
    </x:r>
    <x:r>
      <x:rPr>
        <x:sz val="1000"/>
        <x:color rgb="FF1F2937"/>
        <x:rFont val="Calibri"/>
      </x:rPr>
      <x:t xml:space="preserve">+ </x:t>
    </x:r>
    <x:r>
      <x:rPr>
        <x:sz val="1000"/>
        <x:color rgb="FF1F2937"/>
        <x:rFont val="Noto Sans CJK SC"/>
        <x:family val="2"/>
      </x:rPr>
      <x:t xml:space="preserve">密钥对象状态无变化；验证证据必须包含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已提交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ID/eHSM</x:t>
    </x:r>
    <x:r>
      <x:rPr>
        <x:sz val="1000"/>
        <x:color rgb="FF1F2937"/>
        <x:rFont val="Noto Sans CJK SC"/>
        <x:family val="2"/>
      </x:rPr>
      <x:t xml:space="preserve">原始响应，随后执行健康</x:t>
    </x:r>
    <x:r>
      <x:rPr>
        <x:sz val="1000"/>
        <x:color rgb="FF1F2937"/>
        <x:rFont val="Calibri"/>
      </x:rPr>
      <x:t xml:space="preserve">BASIC</x:t>
    </x:r>
    <x:r>
      <x:rPr>
        <x:sz val="1000"/>
        <x:color rgb="FF1F2937"/>
        <x:rFont val="Noto Sans CJK SC"/>
        <x:family val="2"/>
      </x:rPr>
      <x:t xml:space="preserve">证明服务未失效</x:t>
    </x:r>
  </x:si>
  <x:si>
    <x:t xml:space="preserve">NEEDS_KEY_IMPORT_FIXTURE</x:t>
  </x:si>
  <x:si>
    <x:r>
      <x:rPr>
        <x:sz val="1000"/>
        <x:color rgb="FF1F2937"/>
        <x:rFont val="Calibri"/>
      </x:rPr>
      <x:t xml:space="preserve">SRC-0005/SRC-0014/SRC-0018; Key Manager</x:t>
    </x:r>
    <x:r>
      <x:rPr>
        <x:sz val="1000"/>
        <x:color rgb="FF1F2937"/>
        <x:rFont val="Noto Sans CJK SC"/>
        <x:family val="2"/>
      </x:rPr>
      <x:t xml:space="preserve">合同</x:t>
    </x:r>
  </x:si>
  <x:si>
    <x:t xml:space="preserve">EHSM-NEG-KEY-002</x:t>
  </x:si>
  <x:si>
    <x:r>
      <x:rPr>
        <x:sz val="1000"/>
        <x:color rgb="FF1F2937"/>
        <x:rFont val="Calibri"/>
      </x:rPr>
      <x:t xml:space="preserve">Key Manager + SYMM/AEAD/HMAC/MAC/Sign</x:t>
    </x:r>
    <x:r>
      <x:rPr>
        <x:sz val="1000"/>
        <x:color rgb="FF1F2937"/>
        <x:rFont val="Noto Sans CJK SC"/>
        <x:family val="2"/>
      </x:rPr>
      <x:t xml:space="preserve">命令</x:t>
    </x:r>
  </x:si>
  <x:si>
    <x:r>
      <x:rPr>
        <x:sz val="1000"/>
        <x:color rgb="FF1F2937"/>
        <x:rFont val="Noto Sans CJK SC"/>
        <x:family val="2"/>
      </x:rPr>
      <x:t xml:space="preserve">不存在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已删除句柄、与命令不兼容用途权限、明确标记不可导出的密钥请求私钥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对称密钥导出</x:t>
    </x:r>
  </x:si>
  <x:si>
    <x:r>
      <x:rPr>
        <x:sz val="1000"/>
        <x:color rgb="FF1F2937"/>
        <x:rFont val="Noto Sans CJK SC"/>
        <x:family val="2"/>
      </x:rPr>
      <x:t xml:space="preserve">验证</x:t>
    </x:r>
    <x:r>
      <x:rPr>
        <x:sz val="1000"/>
        <x:color rgb="FF1F2937"/>
        <x:rFont val="Calibri"/>
      </x:rPr>
      <x:t xml:space="preserve">eHSM</x:t>
    </x:r>
    <x:r>
      <x:rPr>
        <x:sz val="1000"/>
        <x:color rgb="FF1F2937"/>
        <x:rFont val="Noto Sans CJK SC"/>
        <x:family val="2"/>
      </x:rPr>
      <x:t xml:space="preserve">以自身对象策略拒绝错误密钥引用和敏感导出</x:t>
    </x:r>
  </x:si>
  <x:si>
    <x:r>
      <x:rPr>
        <x:sz val="1000"/>
        <x:color rgb="FF1F2937"/>
        <x:rFont val="Noto Sans CJK SC"/>
        <x:family val="2"/>
      </x:rPr>
      <x:t xml:space="preserve">专用</x:t>
    </x:r>
    <x:r>
      <x:rPr>
        <x:sz val="1000"/>
        <x:color rgb="FF1F2937"/>
        <x:rFont val="Calibri"/>
      </x:rPr>
      <x:t xml:space="preserve">key </x:t>
    </x:r>
    <x:r>
      <x:rPr>
        <x:sz val="1000"/>
        <x:color rgb="FF1F2937"/>
        <x:rFont val="Noto Sans CJK SC"/>
        <x:family val="2"/>
      </x:rPr>
      <x:t xml:space="preserve">专用测试环境与资源；句柄、用途权限、可导出属性属性及查询方法已冻结</x:t>
    </x:r>
  </x:si>
  <x:si>
    <x:r>
      <x:rPr>
        <x:sz val="1000"/>
        <x:color rgb="FF1F2937"/>
        <x:rFont val="Noto Sans CJK SC"/>
        <x:family val="2"/>
      </x:rPr>
      <x:t xml:space="preserve">逐参数化测试输入提交真实</x:t>
    </x:r>
    <x:r>
      <x:rPr>
        <x:sz val="1000"/>
        <x:color rgb="FF1F2937"/>
        <x:rFont val="Calibri"/>
      </x:rPr>
      <x:t xml:space="preserve">eHSM</x:t>
    </x:r>
    <x:r>
      <x:rPr>
        <x:sz val="1000"/>
        <x:color rgb="FF1F2937"/>
        <x:rFont val="Noto Sans CJK SC"/>
        <x:family val="2"/>
      </x:rPr>
      <x:t xml:space="preserve">命令；记录原始结果、输出预置检查值和对象状态；随后对合法对象执行健康操作</x:t>
    </x:r>
  </x:si>
  <x:si>
    <x:t xml:space="preserve">全部禁止组合拒绝；不输出密钥材料；对象状态不变；合法对象仍可用</x:t>
  </x:si>
  <x:si>
    <x:r>
      <x:rPr>
        <x:sz val="1000"/>
        <x:color rgb="FF1F2937"/>
        <x:rFont val="Noto Sans CJK SC"/>
        <x:family val="2"/>
      </x:rPr>
      <x:t xml:space="preserve">原始 </x:t>
    </x:r>
    <x:r>
      <x:rPr>
        <x:sz val="1000"/>
        <x:color rgb="FF1F2937"/>
        <x:rFont val="Calibri"/>
      </x:rPr>
      <x:t xml:space="preserve">eHSM</x:t>
    </x:r>
    <x:r>
      <x:rPr>
        <x:sz val="1000"/>
        <x:color rgb="FF1F2937"/>
        <x:rFont val="Noto Sans CJK SC"/>
        <x:family val="2"/>
      </x:rPr>
      <x:t xml:space="preserve">拒绝 </x:t>
    </x:r>
    <x:r>
      <x:rPr>
        <x:sz val="1000"/>
        <x:color rgb="FF1F2937"/>
        <x:rFont val="Calibri"/>
      </x:rPr>
      <x:t xml:space="preserve">+ </x:t>
    </x:r>
    <x:r>
      <x:rPr>
        <x:sz val="1000"/>
        <x:color rgb="FF1F2937"/>
        <x:rFont val="Noto Sans CJK SC"/>
        <x:family val="2"/>
      </x:rPr>
      <x:t xml:space="preserve">无敏感输出 </x:t>
    </x:r>
    <x:r>
      <x:rPr>
        <x:sz val="1000"/>
        <x:color rgb="FF1F2937"/>
        <x:rFont val="Calibri"/>
      </x:rPr>
      <x:t xml:space="preserve">+ </x:t>
    </x:r>
    <x:r>
      <x:rPr>
        <x:sz val="1000"/>
        <x:color rgb="FF1F2937"/>
        <x:rFont val="Noto Sans CJK SC"/>
        <x:family val="2"/>
      </x:rPr>
      <x:t xml:space="preserve">对象无副作用；验证证据必须包含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已提交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ID/eHSM</x:t>
    </x:r>
    <x:r>
      <x:rPr>
        <x:sz val="1000"/>
        <x:color rgb="FF1F2937"/>
        <x:rFont val="Noto Sans CJK SC"/>
        <x:family val="2"/>
      </x:rPr>
      <x:t xml:space="preserve">原始响应，随后执行健康</x:t>
    </x:r>
    <x:r>
      <x:rPr>
        <x:sz val="1000"/>
        <x:color rgb="FF1F2937"/>
        <x:rFont val="Calibri"/>
      </x:rPr>
      <x:t xml:space="preserve">BASIC</x:t>
    </x:r>
    <x:r>
      <x:rPr>
        <x:sz val="1000"/>
        <x:color rgb="FF1F2937"/>
        <x:rFont val="Noto Sans CJK SC"/>
        <x:family val="2"/>
      </x:rPr>
      <x:t xml:space="preserve">证明服务未失效</x:t>
    </x:r>
  </x:si>
  <x:si>
    <x:t xml:space="preserve">NEEDS_KEY_POLICY_CONTRACT</x:t>
  </x:si>
  <x:si>
    <x:t xml:space="preserve">EHSM-NEG-OTP-001</x:t>
  </x:si>
  <x:si>
    <x:t xml:space="preserve">BL/FW OTP_READ / OTP_WRITE</x:t>
  </x:si>
  <x:si>
    <x:r>
      <x:rPr>
        <x:sz val="1000"/>
        <x:color rgb="FF1F2937"/>
        <x:rFont val="Noto Sans CJK SC"/>
        <x:family val="2"/>
      </x:rPr>
      <x:t xml:space="preserve">结构合法但偏移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长度越出批准对象、跨对象边界、访问受保护区域；写参数化测试输入仅用专用</x:t>
    </x:r>
    <x:r>
      <x:rPr>
        <x:sz val="1000"/>
        <x:color rgb="FF1F2937"/>
        <x:rFont val="Calibri"/>
      </x:rPr>
      <x:t xml:space="preserve">OTP </x:t>
    </x:r>
    <x:r>
      <x:rPr>
        <x:sz val="1000"/>
        <x:color rgb="FF1F2937"/>
        <x:rFont val="Noto Sans CJK SC"/>
        <x:family val="2"/>
      </x:rPr>
      <x:t xml:space="preserve">专用测试环境与资源</x:t>
    </x:r>
  </x:si>
  <x:si>
    <x:r>
      <x:rPr>
        <x:sz val="1000"/>
        <x:color rgb="FF1F2937"/>
        <x:rFont val="Noto Sans CJK SC"/>
        <x:family val="2"/>
      </x:rPr>
      <x:t xml:space="preserve">验证</x:t>
    </x:r>
    <x:r>
      <x:rPr>
        <x:sz val="1000"/>
        <x:color rgb="FF1F2937"/>
        <x:rFont val="Calibri"/>
      </x:rPr>
      <x:t xml:space="preserve">eHSM</x:t>
    </x:r>
    <x:r>
      <x:rPr>
        <x:sz val="1000"/>
        <x:color rgb="FF1F2937"/>
        <x:rFont val="Noto Sans CJK SC"/>
        <x:family val="2"/>
      </x:rPr>
      <x:t xml:space="preserve">而非</x:t>
    </x:r>
    <x:r>
      <x:rPr>
        <x:sz val="1000"/>
        <x:color rgb="FF1F2937"/>
        <x:rFont val="Calibri"/>
      </x:rPr>
      <x:t xml:space="preserve">Host</x:t>
    </x:r>
    <x:r>
      <x:rPr>
        <x:sz val="1000"/>
        <x:color rgb="FF1F2937"/>
        <x:rFont val="Noto Sans CJK SC"/>
        <x:family val="2"/>
      </x:rPr>
      <x:t xml:space="preserve">执行</x:t>
    </x:r>
    <x:r>
      <x:rPr>
        <x:sz val="1000"/>
        <x:color rgb="FF1F2937"/>
        <x:rFont val="Calibri"/>
      </x:rPr>
      <x:t xml:space="preserve">OTP</x:t>
    </x:r>
    <x:r>
      <x:rPr>
        <x:sz val="1000"/>
        <x:color rgb="FF1F2937"/>
        <x:rFont val="Noto Sans CJK SC"/>
        <x:family val="2"/>
      </x:rPr>
      <x:t xml:space="preserve">范围和对象保护</x:t>
    </x:r>
  </x:si>
  <x:si>
    <x:r>
      <x:rPr>
        <x:sz val="1000"/>
        <x:color rgb="FF1F2937"/>
        <x:rFont val="Calibri"/>
      </x:rPr>
      <x:t xml:space="preserve">OTP</x:t>
    </x:r>
    <x:r>
      <x:rPr>
        <x:sz val="1000"/>
        <x:color rgb="FF1F2937"/>
        <x:rFont val="Noto Sans CJK SC"/>
        <x:family val="2"/>
      </x:rPr>
      <x:t xml:space="preserve">对象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偏移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长度合同冻结；可证明请求真实提交；禁止量产密钥区域</x:t>
    </x:r>
  </x:si>
  <x:si>
    <x:t xml:space="preserve">记录允许区域和目标状态；提交负向参数化测试输入；读取原始结果；复核目标及相邻对象</x:t>
  </x:si>
  <x:si>
    <x:r>
      <x:rPr>
        <x:sz val="1000"/>
        <x:color rgb="FF1F2937"/>
        <x:rFont val="Noto Sans CJK SC"/>
        <x:family val="2"/>
      </x:rPr>
      <x:t xml:space="preserve">非法访问由</x:t>
    </x:r>
    <x:r>
      <x:rPr>
        <x:sz val="1000"/>
        <x:color rgb="FF1F2937"/>
        <x:rFont val="Calibri"/>
      </x:rPr>
      <x:t xml:space="preserve">eHSM</x:t>
    </x:r>
    <x:r>
      <x:rPr>
        <x:sz val="1000"/>
        <x:color rgb="FF1F2937"/>
        <x:rFont val="Noto Sans CJK SC"/>
        <x:family val="2"/>
      </x:rPr>
      <x:t xml:space="preserve">拒绝；无数据泄露、无部分写、无相邻对象变化</x:t>
    </x:r>
  </x:si>
  <x:si>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提交证据 </x:t>
    </x:r>
    <x:r>
      <x:rPr>
        <x:sz val="1000"/>
        <x:color rgb="FF1F2937"/>
        <x:rFont val="Calibri"/>
      </x:rPr>
      <x:t xml:space="preserve">+ </x:t>
    </x:r>
    <x:r>
      <x:rPr>
        <x:sz val="1000"/>
        <x:color rgb="FF1F2937"/>
        <x:rFont val="Noto Sans CJK SC"/>
        <x:family val="2"/>
      </x:rPr>
      <x:t xml:space="preserve">原始 </x:t>
    </x:r>
    <x:r>
      <x:rPr>
        <x:sz val="1000"/>
        <x:color rgb="FF1F2937"/>
        <x:rFont val="Calibri"/>
      </x:rPr>
      <x:t xml:space="preserve">eHSM</x:t>
    </x:r>
    <x:r>
      <x:rPr>
        <x:sz val="1000"/>
        <x:color rgb="FF1F2937"/>
        <x:rFont val="Noto Sans CJK SC"/>
        <x:family val="2"/>
      </x:rPr>
      <x:t xml:space="preserve">拒绝 </x:t>
    </x:r>
    <x:r>
      <x:rPr>
        <x:sz val="1000"/>
        <x:color rgb="FF1F2937"/>
        <x:rFont val="Calibri"/>
      </x:rPr>
      <x:t xml:space="preserve">+ OTP</x:t>
    </x:r>
    <x:r>
      <x:rPr>
        <x:sz val="1000"/>
        <x:color rgb="FF1F2937"/>
        <x:rFont val="Noto Sans CJK SC"/>
        <x:family val="2"/>
      </x:rPr>
      <x:t xml:space="preserve">状态无副作用；验证证据必须包含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已提交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ID/eHSM</x:t>
    </x:r>
    <x:r>
      <x:rPr>
        <x:sz val="1000"/>
        <x:color rgb="FF1F2937"/>
        <x:rFont val="Noto Sans CJK SC"/>
        <x:family val="2"/>
      </x:rPr>
      <x:t xml:space="preserve">原始响应，随后执行健康</x:t>
    </x:r>
    <x:r>
      <x:rPr>
        <x:sz val="1000"/>
        <x:color rgb="FF1F2937"/>
        <x:rFont val="Calibri"/>
      </x:rPr>
      <x:t xml:space="preserve">BASIC</x:t>
    </x:r>
    <x:r>
      <x:rPr>
        <x:sz val="1000"/>
        <x:color rgb="FF1F2937"/>
        <x:rFont val="Noto Sans CJK SC"/>
        <x:family val="2"/>
      </x:rPr>
      <x:t xml:space="preserve">证明服务未失效</x:t>
    </x:r>
  </x:si>
  <x:si>
    <x:t xml:space="preserve">NEEDS_OTP_OBJECT_MAP_AND_FIXTURE</x:t>
  </x:si>
  <x:si>
    <x:r>
      <x:rPr>
        <x:sz val="1000"/>
        <x:color rgb="FF1F2937"/>
        <x:rFont val="Calibri"/>
      </x:rPr>
      <x:t xml:space="preserve">SRC-0005/SRC-0012/SRC-0014/SRC-0018; OTP</x:t>
    </x:r>
    <x:r>
      <x:rPr>
        <x:sz val="1000"/>
        <x:color rgb="FF1F2937"/>
        <x:rFont val="Noto Sans CJK SC"/>
        <x:family val="2"/>
      </x:rPr>
      <x:t xml:space="preserve">合同</x:t>
    </x:r>
  </x:si>
  <x:si>
    <x:t xml:space="preserve">EHSM-NEG-STATE-001</x:t>
  </x:si>
  <x:si>
    <x:t xml:space="preserve">MB_CMD_ID_CHANGE_LIFECYCLE / MB_CMD_ID_CHANGE_CONTROL_FIELD</x:t>
  </x:si>
  <x:si>
    <x:t xml:space="preserve">格式合法但不允许的回退、越级、重复或保留目标值；每次仅改变一个状态条件</x:t>
  </x:si>
  <x:si>
    <x:r>
      <x:rPr>
        <x:sz val="1000"/>
        <x:color rgb="FF1F2937"/>
        <x:rFont val="Noto Sans CJK SC"/>
        <x:family val="2"/>
      </x:rPr>
      <x:t xml:space="preserve">验证</x:t>
    </x:r>
    <x:r>
      <x:rPr>
        <x:sz val="1000"/>
        <x:color rgb="FF1F2937"/>
        <x:rFont val="Calibri"/>
      </x:rPr>
      <x:t xml:space="preserve">eHSM</x:t>
    </x:r>
    <x:r>
      <x:rPr>
        <x:sz val="1000"/>
        <x:color rgb="FF1F2937"/>
        <x:rFont val="Noto Sans CJK SC"/>
        <x:family val="2"/>
      </x:rPr>
      <x:t xml:space="preserve">不可逆状态机和控制字段拒绝非法转换</x:t>
    </x:r>
  </x:si>
  <x:si>
    <x:r>
      <x:rPr>
        <x:sz val="1000"/>
        <x:color rgb="FF1F2937"/>
        <x:rFont val="Noto Sans CJK SC"/>
        <x:family val="2"/>
      </x:rPr>
      <x:t xml:space="preserve">一次性专用实例；批准转换矩阵、读取方法、报废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恢复方案和人工批准齐全</x:t>
    </x:r>
  </x:si>
  <x:si>
    <x:t xml:space="preserve">读取初始状态；提交非法转换；读取原始结果和状态；对允许的非破坏性查询复测</x:t>
  </x:si>
  <x:si>
    <x:t xml:space="preserve">非法转换拒绝；状态和控制字段不发生部分改变；设备仍可查询</x:t>
  </x:si>
  <x:si>
    <x:r>
      <x:rPr>
        <x:sz val="1000"/>
        <x:color rgb="FF1F2937"/>
        <x:rFont val="Noto Sans CJK SC"/>
        <x:family val="2"/>
      </x:rPr>
      <x:t xml:space="preserve">原始 </x:t>
    </x:r>
    <x:r>
      <x:rPr>
        <x:sz val="1000"/>
        <x:color rgb="FF1F2937"/>
        <x:rFont val="Calibri"/>
      </x:rPr>
      <x:t xml:space="preserve">eHSM</x:t>
    </x:r>
    <x:r>
      <x:rPr>
        <x:sz val="1000"/>
        <x:color rgb="FF1F2937"/>
        <x:rFont val="Noto Sans CJK SC"/>
        <x:family val="2"/>
      </x:rPr>
      <x:t xml:space="preserve">拒绝 </x:t>
    </x:r>
    <x:r>
      <x:rPr>
        <x:sz val="1000"/>
        <x:color rgb="FF1F2937"/>
        <x:rFont val="Calibri"/>
      </x:rPr>
      <x:t xml:space="preserve">+ </x:t>
    </x:r>
    <x:r>
      <x:rPr>
        <x:sz val="1000"/>
        <x:color rgb="FF1F2937"/>
        <x:rFont val="Noto Sans CJK SC"/>
        <x:family val="2"/>
      </x:rPr>
      <x:t xml:space="preserve">状态回读不变；验证证据必须包含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已提交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ID/eHSM</x:t>
    </x:r>
    <x:r>
      <x:rPr>
        <x:sz val="1000"/>
        <x:color rgb="FF1F2937"/>
        <x:rFont val="Noto Sans CJK SC"/>
        <x:family val="2"/>
      </x:rPr>
      <x:t xml:space="preserve">原始响应，随后执行健康</x:t>
    </x:r>
    <x:r>
      <x:rPr>
        <x:sz val="1000"/>
        <x:color rgb="FF1F2937"/>
        <x:rFont val="Calibri"/>
      </x:rPr>
      <x:t xml:space="preserve">BASIC</x:t>
    </x:r>
    <x:r>
      <x:rPr>
        <x:sz val="1000"/>
        <x:color rgb="FF1F2937"/>
        <x:rFont val="Noto Sans CJK SC"/>
        <x:family val="2"/>
      </x:rPr>
      <x:t xml:space="preserve">证明服务未失效</x:t>
    </x:r>
  </x:si>
  <x:si>
    <x:t xml:space="preserve">NEEDS_DESTRUCTIVE_STATE_FIXTURE</x:t>
  </x:si>
  <x:si>
    <x:r>
      <x:rPr>
        <x:sz val="1000"/>
        <x:color rgb="FF1F2937"/>
        <x:rFont val="Calibri"/>
      </x:rPr>
      <x:t xml:space="preserve">SRC-0005/SRC-0014/SRC-0018; Lifecycle/Control</x:t>
    </x:r>
    <x:r>
      <x:rPr>
        <x:sz val="1000"/>
        <x:color rgb="FF1F2937"/>
        <x:rFont val="Noto Sans CJK SC"/>
        <x:family val="2"/>
      </x:rPr>
      <x:t xml:space="preserve">合同</x:t>
    </x:r>
  </x:si>
  <x:si>
    <x:t xml:space="preserve">EHSM-NEG-PROTOCOL-001</x:t>
  </x:si>
  <x:si>
    <x:r>
      <x:rPr>
        <x:sz val="1000"/>
        <x:color rgb="FF1F2937"/>
        <x:rFont val="Noto Sans CJK SC"/>
        <x:family val="2"/>
      </x:rPr>
      <x:t xml:space="preserve">代表性</x:t>
    </x:r>
    <x:r>
      <x:rPr>
        <x:sz val="1000"/>
        <x:color rgb="FF1F2937"/>
        <x:rFont val="Calibri"/>
      </x:rPr>
      <x:t xml:space="preserve">BL/FW</x:t>
    </x:r>
    <x:r>
      <x:rPr>
        <x:sz val="1000"/>
        <x:color rgb="FF1F2937"/>
        <x:rFont val="Noto Sans CJK SC"/>
        <x:family val="2"/>
      </x:rPr>
      <x:t xml:space="preserve">命令 </x:t>
    </x:r>
    <x:r>
      <x:rPr>
        <x:sz val="1000"/>
        <x:color rgb="FF1F2937"/>
        <x:rFont val="Calibri"/>
      </x:rPr>
      <x:t xml:space="preserve">+ </x:t>
    </x:r>
    <x:r>
      <x:rPr>
        <x:sz val="1000"/>
        <x:color rgb="FF1F2937"/>
        <x:rFont val="Noto Sans CJK SC"/>
        <x:family val="2"/>
      </x:rPr>
      <x:t xml:space="preserve">未支持</x:t>
    </x:r>
    <x:r>
      <x:rPr>
        <x:sz val="1000"/>
        <x:color rgb="FF1F2937"/>
        <x:rFont val="Calibri"/>
      </x:rPr>
      <x:t xml:space="preserve">command ID</x:t>
    </x:r>
  </x:si>
  <x:si>
    <x:r>
      <x:rPr>
        <x:sz val="1000"/>
        <x:color rgb="FF1F2937"/>
        <x:rFont val="Noto Sans CJK SC"/>
        <x:family val="2"/>
      </x:rPr>
      <x:t xml:space="preserve">未支持</x:t>
    </x:r>
    <x:r>
      <x:rPr>
        <x:sz val="1000"/>
        <x:color rgb="FF1F2937"/>
        <x:rFont val="Calibri"/>
      </x:rPr>
      <x:t xml:space="preserve">command ID</x:t>
    </x:r>
    <x:r>
      <x:rPr>
        <x:sz val="1000"/>
        <x:color rgb="FF1F2937"/>
        <x:rFont val="Noto Sans CJK SC"/>
        <x:family val="2"/>
      </x:rPr>
      <x:t xml:space="preserve">、保留枚举、声明有效载荷长度与实际不一致；仅选能绕过</x:t>
    </x:r>
    <x:r>
      <x:rPr>
        <x:sz val="1000"/>
        <x:color rgb="FF1F2937"/>
        <x:rFont val="Calibri"/>
      </x:rPr>
      <x:t xml:space="preserve">Host</x:t>
    </x:r>
    <x:r>
      <x:rPr>
        <x:sz val="1000"/>
        <x:color rgb="FF1F2937"/>
        <x:rFont val="Noto Sans CJK SC"/>
        <x:family val="2"/>
      </x:rPr>
      <x:t xml:space="preserve">本地校验并确认已送达</x:t>
    </x:r>
    <x:r>
      <x:rPr>
        <x:sz val="1000"/>
        <x:color rgb="FF1F2937"/>
        <x:rFont val="Calibri"/>
      </x:rPr>
      <x:t xml:space="preserve">eHSM</x:t>
    </x:r>
    <x:r>
      <x:rPr>
        <x:sz val="1000"/>
        <x:color rgb="FF1F2937"/>
        <x:rFont val="Noto Sans CJK SC"/>
        <x:family val="2"/>
      </x:rPr>
      <x:t xml:space="preserve">的参数化测试输入</x:t>
    </x:r>
  </x:si>
  <x:si>
    <x:r>
      <x:rPr>
        <x:sz val="1000"/>
        <x:color rgb="FF1F2937"/>
        <x:rFont val="Noto Sans CJK SC"/>
        <x:family val="2"/>
      </x:rPr>
      <x:t xml:space="preserve">验证</x:t>
    </x:r>
    <x:r>
      <x:rPr>
        <x:sz val="1000"/>
        <x:color rgb="FF1F2937"/>
        <x:rFont val="Calibri"/>
      </x:rPr>
      <x:t xml:space="preserve">eHSM Mailbox</x:t>
    </x:r>
    <x:r>
      <x:rPr>
        <x:sz val="1000"/>
        <x:color rgb="FF1F2937"/>
        <x:rFont val="Noto Sans CJK SC"/>
        <x:family val="2"/>
      </x:rPr>
      <x:t xml:space="preserve">命令解析器不会接受非法请求或失去服务</x:t>
    </x:r>
  </x:si>
  <x:si>
    <x:r>
      <x:rPr>
        <x:sz val="1000"/>
        <x:color rgb="FF1F2937"/>
        <x:rFont val="Noto Sans CJK SC"/>
        <x:family val="2"/>
      </x:rPr>
      <x:t xml:space="preserve">隔离的测试组包层可直接按现有</x:t>
    </x:r>
    <x:r>
      <x:rPr>
        <x:sz val="1000"/>
        <x:color rgb="FF1F2937"/>
        <x:rFont val="Calibri"/>
      </x:rPr>
      <x:t xml:space="preserve">Mailbox ABI</x:t>
    </x:r>
    <x:r>
      <x:rPr>
        <x:sz val="1000"/>
        <x:color rgb="FF1F2937"/>
        <x:rFont val="Noto Sans CJK SC"/>
        <x:family val="2"/>
      </x:rPr>
      <x:t xml:space="preserve">写请求；不修改</x:t>
    </x:r>
    <x:r>
      <x:rPr>
        <x:sz val="1000"/>
        <x:color rgb="FF1F2937"/>
        <x:rFont val="Calibri"/>
      </x:rPr>
      <x:t xml:space="preserve">eHSM</x:t>
    </x:r>
    <x:r>
      <x:rPr>
        <x:sz val="1000"/>
        <x:color rgb="FF1F2937"/>
        <x:rFont val="Noto Sans CJK SC"/>
        <x:family val="2"/>
      </x:rPr>
      <x:t xml:space="preserve">固件；后续健康</x:t>
    </x:r>
    <x:r>
      <x:rPr>
        <x:sz val="1000"/>
        <x:color rgb="FF1F2937"/>
        <x:rFont val="Calibri"/>
      </x:rPr>
      <x:t xml:space="preserve">BASIC</x:t>
    </x:r>
    <x:r>
      <x:rPr>
        <x:sz val="1000"/>
        <x:color rgb="FF1F2937"/>
        <x:rFont val="Noto Sans CJK SC"/>
        <x:family val="2"/>
      </x:rPr>
      <x:t xml:space="preserve">可用</x:t>
    </x:r>
  </x:si>
  <x:si>
    <x:r>
      <x:rPr>
        <x:sz val="1000"/>
        <x:color rgb="FF1F2937"/>
        <x:rFont val="Noto Sans CJK SC"/>
        <x:family val="2"/>
      </x:rPr>
      <x:t xml:space="preserve">从合法请求复制并单点变异；提交；记录</x:t>
    </x:r>
    <x:r>
      <x:rPr>
        <x:sz val="1000"/>
        <x:color rgb="FF1F2937"/>
        <x:rFont val="Calibri"/>
      </x:rPr>
      <x:t xml:space="preserve">command ID/note/</x:t>
    </x:r>
    <x:r>
      <x:rPr>
        <x:sz val="1000"/>
        <x:color rgb="FF1F2937"/>
        <x:rFont val="Noto Sans CJK SC"/>
        <x:family val="2"/>
      </x:rPr>
      <x:t xml:space="preserve">原始响应；清理后执行健康</x:t>
    </x:r>
    <x:r>
      <x:rPr>
        <x:sz val="1000"/>
        <x:color rgb="FF1F2937"/>
        <x:rFont val="Calibri"/>
      </x:rPr>
      <x:t xml:space="preserve">BASIC</x:t>
    </x:r>
  </x:si>
  <x:si>
    <x:r>
      <x:rPr>
        <x:sz val="1000"/>
        <x:color rgb="FF1F2937"/>
        <x:rFont val="Calibri"/>
      </x:rPr>
      <x:t xml:space="preserve">eHSM</x:t>
    </x:r>
    <x:r>
      <x:rPr>
        <x:sz val="1000"/>
        <x:color rgb="FF1F2937"/>
        <x:rFont val="Noto Sans CJK SC"/>
        <x:family val="2"/>
      </x:rPr>
      <x:t xml:space="preserve">明确拒绝；无部分业务副作用；后续健康</x:t>
    </x:r>
    <x:r>
      <x:rPr>
        <x:sz val="1000"/>
        <x:color rgb="FF1F2937"/>
        <x:rFont val="Calibri"/>
      </x:rPr>
      <x:t xml:space="preserve">BASIC</x:t>
    </x:r>
    <x:r>
      <x:rPr>
        <x:sz val="1000"/>
        <x:color rgb="FF1F2937"/>
        <x:rFont val="Noto Sans CJK SC"/>
        <x:family val="2"/>
      </x:rPr>
      <x:t xml:space="preserve">成功；</x:t>
    </x:r>
    <x:r>
      <x:rPr>
        <x:sz val="1000"/>
        <x:color rgb="FF1F2937"/>
        <x:rFont val="Calibri"/>
      </x:rPr>
      <x:t xml:space="preserve">Host</x:t>
    </x:r>
    <x:r>
      <x:rPr>
        <x:sz val="1000"/>
        <x:color rgb="FF1F2937"/>
        <x:rFont val="Noto Sans CJK SC"/>
        <x:family val="2"/>
      </x:rPr>
      <x:t xml:space="preserve">本地拒绝的参数化测试输入记</x:t>
    </x:r>
    <x:r>
      <x:rPr>
        <x:sz val="1000"/>
        <x:color rgb="FF1F2937"/>
        <x:rFont val="Calibri"/>
      </x:rPr>
      <x:t xml:space="preserve">NOT_APPLICABLE</x:t>
    </x:r>
    <x:r>
      <x:rPr>
        <x:sz val="1000"/>
        <x:color rgb="FF1F2937"/>
        <x:rFont val="Noto Sans CJK SC"/>
        <x:family val="2"/>
      </x:rPr>
      <x:t xml:space="preserve">而非</x:t>
    </x:r>
    <x:r>
      <x:rPr>
        <x:sz val="1000"/>
        <x:color rgb="FF1F2937"/>
        <x:rFont val="Calibri"/>
      </x:rPr>
      <x:t xml:space="preserve">PASS</x:t>
    </x:r>
  </x:si>
  <x:si>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事务已提交 </x:t>
    </x:r>
    <x:r>
      <x:rPr>
        <x:sz val="1000"/>
        <x:color rgb="FF1F2937"/>
        <x:rFont val="Calibri"/>
      </x:rPr>
      <x:t xml:space="preserve">+ </x:t>
    </x:r>
    <x:r>
      <x:rPr>
        <x:sz val="1000"/>
        <x:color rgb="FF1F2937"/>
        <x:rFont val="Noto Sans CJK SC"/>
        <x:family val="2"/>
      </x:rPr>
      <x:t xml:space="preserve">原始 </x:t>
    </x:r>
    <x:r>
      <x:rPr>
        <x:sz val="1000"/>
        <x:color rgb="FF1F2937"/>
        <x:rFont val="Calibri"/>
      </x:rPr>
      <x:t xml:space="preserve">eHSM</x:t>
    </x:r>
    <x:r>
      <x:rPr>
        <x:sz val="1000"/>
        <x:color rgb="FF1F2937"/>
        <x:rFont val="Noto Sans CJK SC"/>
        <x:family val="2"/>
      </x:rPr>
      <x:t xml:space="preserve">拒绝 </x:t>
    </x:r>
    <x:r>
      <x:rPr>
        <x:sz val="1000"/>
        <x:color rgb="FF1F2937"/>
        <x:rFont val="Calibri"/>
      </x:rPr>
      <x:t xml:space="preserve">+ </x:t>
    </x:r>
    <x:r>
      <x:rPr>
        <x:sz val="1000"/>
        <x:color rgb="FF1F2937"/>
        <x:rFont val="Noto Sans CJK SC"/>
        <x:family val="2"/>
      </x:rPr>
      <x:t xml:space="preserve">服务可恢复；验证证据必须包含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已提交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ID/eHSM</x:t>
    </x:r>
    <x:r>
      <x:rPr>
        <x:sz val="1000"/>
        <x:color rgb="FF1F2937"/>
        <x:rFont val="Noto Sans CJK SC"/>
        <x:family val="2"/>
      </x:rPr>
      <x:t xml:space="preserve">原始响应，随后执行健康</x:t>
    </x:r>
    <x:r>
      <x:rPr>
        <x:sz val="1000"/>
        <x:color rgb="FF1F2937"/>
        <x:rFont val="Calibri"/>
      </x:rPr>
      <x:t xml:space="preserve">BASIC</x:t>
    </x:r>
    <x:r>
      <x:rPr>
        <x:sz val="1000"/>
        <x:color rgb="FF1F2937"/>
        <x:rFont val="Noto Sans CJK SC"/>
        <x:family val="2"/>
      </x:rPr>
      <x:t xml:space="preserve">证明服务未失效</x:t>
    </x:r>
  </x:si>
  <x:si>
    <x:t xml:space="preserve">NEEDS_ISOLATED_RAW_REQUEST_BUILDER</x:t>
  </x:si>
  <x:si>
    <x:t xml:space="preserve">SRC-0005/SRC-0014/SRC-0018; Mailbox ABI</x:t>
  </x:si>
  <x:si>
    <x:t xml:space="preserve">分组</x:t>
  </x:si>
  <x:si>
    <x:t xml:space="preserve">名称</x:t>
  </x:si>
  <x:si>
    <x:t xml:space="preserve">自动化</x:t>
  </x:si>
  <x:si>
    <x:t xml:space="preserve">状态</x:t>
  </x:si>
  <x:si>
    <x:t xml:space="preserve">来源工作表</x:t>
  </x:si>
  <x:si>
    <x:t xml:space="preserve">域</x:t>
  </x:si>
  <x:si>
    <x:t xml:space="preserve">目标仓库</x:t>
  </x:si>
  <x:si>
    <x:t xml:space="preserve">设计状态</x:t>
  </x:si>
  <x:si>
    <x:t xml:space="preserve">移植实现要求</x:t>
  </x:si>
  <x:si>
    <x:t xml:space="preserve">所需输入</x:t>
  </x:si>
  <x:si>
    <x:t xml:space="preserve">禁止事项</x:t>
  </x:si>
  <x:si>
    <x:t xml:space="preserve">完成标准</x:t>
  </x:si>
  <x:si>
    <x:t xml:space="preserve">验证证据要求</x:t>
  </x:si>
  <x:si>
    <x:r>
      <x:rPr>
        <x:b/>
        <x:sz val="1100"/>
        <x:color rgb="FFFFFFFF"/>
        <x:rFont val="Calibri"/>
      </x:rPr>
      <x:t xml:space="preserve">Codex</x:t>
    </x:r>
    <x:r>
      <x:rPr>
        <x:b/>
        <x:sz val="1100"/>
        <x:color rgb="FFFFFFFF"/>
        <x:rFont val="Noto Sans CJK SC"/>
        <x:family val="2"/>
      </x:rPr>
      <x:t xml:space="preserve">执行顺序</x:t>
    </x:r>
  </x:si>
  <x:si>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用例</x:t>
    </x:r>
  </x:si>
  <x:si>
    <x:t xml:space="preserve">MAILBOX_COMMAND</x:t>
  </x:si>
  <x:si>
    <x:t xml:space="preserve">MB_CMD_ID_BL_READ_VER - BASIC</x:t>
  </x:si>
  <x:si>
    <x:t xml:space="preserve">../baremetal</x:t>
  </x:si>
  <x:si>
    <x:t xml:space="preserve">DESIGN_COMPLETE</x:t>
  </x:si>
  <x:si>
    <x:r>
      <x:rPr>
        <x:sz val="1000"/>
        <x:color rgb="FF1F2937"/>
        <x:rFont val="Noto Sans CJK SC"/>
        <x:family val="2"/>
      </x:rPr>
      <x:t xml:space="preserve">已落在</x:t>
    </x:r>
    <x:r>
      <x:rPr>
        <x:sz val="1000"/>
        <x:color rgb="FF1F2937"/>
        <x:rFont val="Calibri"/>
      </x:rPr>
      <x:t xml:space="preserve">components/security</x:t>
    </x:r>
    <x:r>
      <x:rPr>
        <x:sz val="1000"/>
        <x:color rgb="FF1F2937"/>
        <x:rFont val="Noto Sans CJK SC"/>
        <x:family val="2"/>
      </x:rPr>
      <x:t xml:space="preserve">并复用</x:t>
    </x:r>
    <x:r>
      <x:rPr>
        <x:sz val="1000"/>
        <x:color rgb="FF1F2937"/>
        <x:rFont val="Calibri"/>
      </x:rPr>
      <x:t xml:space="preserve">baremetal</x:t>
    </x:r>
    <x:r>
      <x:rPr>
        <x:sz val="1000"/>
        <x:color rgb="FF1F2937"/>
        <x:rFont val="Noto Sans CJK SC"/>
        <x:family val="2"/>
      </x:rPr>
      <x:t xml:space="preserve">内移植的</x:t>
    </x:r>
    <x:r>
      <x:rPr>
        <x:sz val="1000"/>
        <x:color rgb="FF1F2937"/>
        <x:rFont val="Calibri"/>
      </x:rPr>
      <x:t xml:space="preserve">eHSM Host typed API</x:t>
    </x:r>
    <x:r>
      <x:rPr>
        <x:sz val="1000"/>
        <x:color rgb="FF1F2937"/>
        <x:rFont val="Noto Sans CJK SC"/>
        <x:family val="2"/>
      </x:rPr>
      <x:t xml:space="preserve">与真实</x:t>
    </x:r>
    <x:r>
      <x:rPr>
        <x:sz val="1000"/>
        <x:color rgb="FF1F2937"/>
        <x:rFont val="Calibri"/>
      </x:rPr>
      <x:t xml:space="preserve">Mailbox transport</x:t>
    </x:r>
    <x:r>
      <x:rPr>
        <x:sz val="1000"/>
        <x:color rgb="FF1F2937"/>
        <x:rFont val="Noto Sans CJK SC"/>
        <x:family val="2"/>
      </x:rPr>
      <x:t xml:space="preserve">；保持稳定</x:t>
    </x:r>
    <x:r>
      <x:rPr>
        <x:sz val="1000"/>
        <x:color rgb="FF1F2937"/>
        <x:rFont val="Calibri"/>
      </x:rPr>
      <x:t xml:space="preserve">case_id</x:t>
    </x:r>
    <x:r>
      <x:rPr>
        <x:sz val="1000"/>
        <x:color rgb="FF1F2937"/>
        <x:rFont val="Noto Sans CJK SC"/>
        <x:family val="2"/>
      </x:rPr>
      <x:t xml:space="preserve">；按批准矩阵执行</x:t>
    </x:r>
    <x:r>
      <x:rPr>
        <x:sz val="1000"/>
        <x:color rgb="FF1F2937"/>
        <x:rFont val="Calibri"/>
      </x:rPr>
      <x:t xml:space="preserve">Expected</x:t>
    </x:r>
    <x:r>
      <x:rPr>
        <x:sz val="1000"/>
        <x:color rgb="FF1F2937"/>
        <x:rFont val="Noto Sans CJK SC"/>
        <x:family val="2"/>
      </x:rPr>
      <x:t xml:space="preserve">比较，不增加脚本</x:t>
    </x:r>
    <x:r>
      <x:rPr>
        <x:sz val="1000"/>
        <x:color rgb="FF1F2937"/>
        <x:rFont val="Calibri"/>
      </x:rPr>
      <x:t xml:space="preserve">Runner</x:t>
    </x:r>
  </x:si>
  <x:si>
    <x:r>
      <x:rPr>
        <x:sz val="1000"/>
        <x:color rgb="FF1F2937"/>
        <x:rFont val="Calibri"/>
      </x:rPr>
      <x:t xml:space="preserve">READY_AFTER_BASELINE; </x:t>
    </x:r>
    <x:r>
      <x:rPr>
        <x:sz val="1000"/>
        <x:color rgb="FF1F2937"/>
        <x:rFont val="Noto Sans CJK SC"/>
        <x:family val="2"/>
      </x:rPr>
      <x:t xml:space="preserve">实施前登记 </x:t>
    </x:r>
    <x:r>
      <x:rPr>
        <x:sz val="1000"/>
        <x:color rgb="FF1F2937"/>
        <x:rFont val="Calibri"/>
      </x:rPr>
      <x:t xml:space="preserve">../baremetal </x:t>
    </x:r>
    <x:r>
      <x:rPr>
        <x:sz val="1000"/>
        <x:color rgb="FF1F2937"/>
        <x:rFont val="Noto Sans CJK SC"/>
        <x:family val="2"/>
      </x:rPr>
      <x:t xml:space="preserve">分支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提交号、</x:t>
    </x:r>
    <x:r>
      <x:rPr>
        <x:sz val="1000"/>
        <x:color rgb="FF1F2937"/>
        <x:rFont val="Calibri"/>
      </x:rPr>
      <x:t xml:space="preserve">RTL/eHSM/</x:t>
    </x:r>
    <x:r>
      <x:rPr>
        <x:sz val="1000"/>
        <x:color rgb="FF1F2937"/>
        <x:rFont val="Noto Sans CJK SC"/>
        <x:family val="2"/>
      </x:rPr>
      <x:t xml:space="preserve">软件 测试基线，以及本用例所需的冻结地址、</x:t>
    </x:r>
    <x:r>
      <x:rPr>
        <x:sz val="1000"/>
        <x:color rgb="FF1F2937"/>
        <x:rFont val="Calibri"/>
      </x:rPr>
      <x:t xml:space="preserve">master_id</x:t>
    </x:r>
    <x:r>
      <x:rPr>
        <x:sz val="1000"/>
        <x:color rgb="FF1F2937"/>
        <x:rFont val="Noto Sans CJK SC"/>
        <x:family val="2"/>
      </x:rPr>
      <x:t xml:space="preserve">、区域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权限编码</x:t>
    </x:r>
  </x:si>
  <x:si>
    <x:r>
      <x:rPr>
        <x:sz val="1000"/>
        <x:color rgb="FF1F2937"/>
        <x:rFont val="Noto Sans CJK SC"/>
        <x:family val="2"/>
      </x:rPr>
      <x:t xml:space="preserve">不得修改或定制</x:t>
    </x:r>
    <x:r>
      <x:rPr>
        <x:sz val="1000"/>
        <x:color rgb="FF1F2937"/>
        <x:rFont val="Calibri"/>
      </x:rPr>
      <x:t xml:space="preserve">eHSM BL/FW</x:t>
    </x:r>
    <x:r>
      <x:rPr>
        <x:sz val="1000"/>
        <x:color rgb="FF1F2937"/>
        <x:rFont val="Noto Sans CJK SC"/>
        <x:family val="2"/>
      </x:rPr>
      <x:t xml:space="preserve">；不得增加测试命令、注入钩子或特殊返回；不得以桩实现、模拟成功、未批准硬编码或静默降级形成</x:t>
    </x:r>
    <x:r>
      <x:rPr>
        <x:sz val="1000"/>
        <x:color rgb="FF1F2937"/>
        <x:rFont val="Calibri"/>
      </x:rPr>
      <x:t xml:space="preserve">PASS</x:t>
    </x:r>
    <x:r>
      <x:rPr>
        <x:sz val="1000"/>
        <x:color rgb="FF1F2937"/>
        <x:rFont val="Noto Sans CJK SC"/>
        <x:family val="2"/>
      </x:rPr>
      <x:t xml:space="preserve">；不得把硬件验证需求伪装成软件用例</x:t>
    </x:r>
  </x:si>
  <x:si>
    <x:r>
      <x:rPr>
        <x:sz val="1000"/>
        <x:color rgb="FF1F2937"/>
        <x:rFont val="Noto Sans CJK SC"/>
        <x:family val="2"/>
      </x:rPr>
      <x:t xml:space="preserve">可构建、可枚举、可单独</x:t>
    </x:r>
    <x:r>
      <x:rPr>
        <x:sz val="1000"/>
        <x:color rgb="FF1F2937"/>
        <x:rFont val="Calibri"/>
      </x:rPr>
      <x:t xml:space="preserve">CMD</x:t>
    </x:r>
    <x:r>
      <x:rPr>
        <x:sz val="1000"/>
        <x:color rgb="FF1F2937"/>
        <x:rFont val="Noto Sans CJK SC"/>
        <x:family val="2"/>
      </x:rPr>
      <x:t xml:space="preserve">执行；普通</x:t>
    </x:r>
    <x:r>
      <x:rPr>
        <x:sz val="1000"/>
        <x:color rgb="FF1F2937"/>
        <x:rFont val="Calibri"/>
      </x:rPr>
      <x:t xml:space="preserve">case</x:t>
    </x:r>
    <x:r>
      <x:rPr>
        <x:sz val="1000"/>
        <x:color rgb="FF1F2937"/>
        <x:rFont val="Noto Sans CJK SC"/>
        <x:family val="2"/>
      </x:rPr>
      <x:t xml:space="preserve">默认只输出一条</x:t>
    </x:r>
    <x:r>
      <x:rPr>
        <x:sz val="1000"/>
        <x:color rgb="FF1F2937"/>
        <x:rFont val="Calibri"/>
      </x:rPr>
      <x:t xml:space="preserve">SUCCESS/FAIL/INCONCLUSIVE</x:t>
    </x:r>
    <x:r>
      <x:rPr>
        <x:sz val="1000"/>
        <x:color rgb="FF1F2937"/>
        <x:rFont val="Noto Sans CJK SC"/>
        <x:family val="2"/>
      </x:rPr>
      <x:t xml:space="preserve">；详细</x:t>
    </x:r>
    <x:r>
      <x:rPr>
        <x:sz val="1000"/>
        <x:color rgb="FF1F2937"/>
        <x:rFont val="Calibri"/>
      </x:rPr>
      <x:t xml:space="preserve">baseline</x:t>
    </x:r>
    <x:r>
      <x:rPr>
        <x:sz val="1000"/>
        <x:color rgb="FF1F2937"/>
        <x:rFont val="Noto Sans CJK SC"/>
        <x:family val="2"/>
      </x:rPr>
      <x:t xml:space="preserve">、输入输出摘要、</x:t>
    </x:r>
    <x:r>
      <x:rPr>
        <x:sz val="1000"/>
        <x:color rgb="FF1F2937"/>
        <x:rFont val="Calibri"/>
      </x:rPr>
      <x:t xml:space="preserve">raw return</x:t>
    </x:r>
    <x:r>
      <x:rPr>
        <x:sz val="1000"/>
        <x:color rgb="FF1F2937"/>
        <x:rFont val="Noto Sans CJK SC"/>
        <x:family val="2"/>
      </x:rPr>
      <x:t xml:space="preserve">和副作用由外部</x:t>
    </x:r>
    <x:r>
      <x:rPr>
        <x:sz val="1000"/>
        <x:color rgb="FF1F2937"/>
        <x:rFont val="Calibri"/>
      </x:rPr>
      <x:t xml:space="preserve">Evidence</x:t>
    </x:r>
    <x:r>
      <x:rPr>
        <x:sz val="1000"/>
        <x:color rgb="FF1F2937"/>
        <x:rFont val="Noto Sans CJK SC"/>
        <x:family val="2"/>
      </x:rPr>
      <x:t xml:space="preserve">保存；目标</x:t>
    </x:r>
    <x:r>
      <x:rPr>
        <x:sz val="1000"/>
        <x:color rgb="FF1F2937"/>
        <x:rFont val="Calibri"/>
      </x:rPr>
      <x:t xml:space="preserve">PASS</x:t>
    </x:r>
    <x:r>
      <x:rPr>
        <x:sz val="1000"/>
        <x:color rgb="FF1F2937"/>
        <x:rFont val="Noto Sans CJK SC"/>
        <x:family val="2"/>
      </x:rPr>
      <x:t xml:space="preserve">必须有</x:t>
    </x:r>
    <x:r>
      <x:rPr>
        <x:sz val="1000"/>
        <x:color rgb="FF1F2937"/>
        <x:rFont val="Calibri"/>
      </x:rPr>
      <x:t xml:space="preserve">EMU/FPGA</x:t>
    </x:r>
    <x:r>
      <x:rPr>
        <x:sz val="1000"/>
        <x:color rgb="FF1F2937"/>
        <x:rFont val="Noto Sans CJK SC"/>
        <x:family val="2"/>
      </x:rPr>
      <x:t xml:space="preserve">真实执行证据</x:t>
    </x:r>
  </x:si>
  <x:si>
    <x:r>
      <x:rPr>
        <x:sz val="1000"/>
        <x:color rgb="FF1F2937"/>
        <x:rFont val="Noto Sans CJK SC"/>
        <x:family val="2"/>
      </x:rPr>
      <x:t xml:space="preserve">至少保留运行编号、用例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参数化测试输入 </x:t>
    </x:r>
    <x:r>
      <x:rPr>
        <x:sz val="1000"/>
        <x:color rgb="FF1F2937"/>
        <x:rFont val="Calibri"/>
      </x:rPr>
      <x:t xml:space="preserve">ID</x:t>
    </x:r>
    <x:r>
      <x:rPr>
        <x:sz val="1000"/>
        <x:color rgb="FF1F2937"/>
        <x:rFont val="Noto Sans CJK SC"/>
        <x:family val="2"/>
      </x:rPr>
      <x:t xml:space="preserve">、测试基线、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提交证据、原始 </x:t>
    </x:r>
    <x:r>
      <x:rPr>
        <x:sz val="1000"/>
        <x:color rgb="FF1F2937"/>
        <x:rFont val="Calibri"/>
      </x:rPr>
      <x:t xml:space="preserve">eHSM</x:t>
    </x:r>
    <x:r>
      <x:rPr>
        <x:sz val="1000"/>
        <x:color rgb="FF1F2937"/>
        <x:rFont val="Noto Sans CJK SC"/>
        <x:family val="2"/>
      </x:rPr>
      <x:t xml:space="preserve">返回、对象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闪存（</x:t>
    </x:r>
    <x:r>
      <x:rPr>
        <x:sz val="1000"/>
        <x:color rgb="FF1F2937"/>
        <x:rFont val="Calibri"/>
      </x:rPr>
      <x:t xml:space="preserve">Flash</x:t>
    </x:r>
    <x:r>
      <x:rPr>
        <x:sz val="1000"/>
        <x:color rgb="FF1F2937"/>
        <x:rFont val="Noto Sans CJK SC"/>
        <x:family val="2"/>
      </x:rPr>
      <x:t xml:space="preserve">）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计数器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状态前后快照和日志哈希；硬件内部信号证据由硬件验证团队提供</x:t>
    </x:r>
  </x:si>
  <x:si>
    <x:r>
      <x:rPr>
        <x:sz val="1000"/>
        <x:color rgb="FF1F2937"/>
        <x:rFont val="Noto Sans CJK SC"/>
        <x:family val="2"/>
      </x:rPr>
      <x:t xml:space="preserve">代码已落在</x:t>
    </x:r>
    <x:r>
      <x:rPr>
        <x:sz val="1000"/>
        <x:color rgb="FF1F2937"/>
        <x:rFont val="Calibri"/>
      </x:rPr>
      <x:t xml:space="preserve">components/security</x:t>
    </x:r>
    <x:r>
      <x:rPr>
        <x:sz val="1000"/>
        <x:color rgb="FF1F2937"/>
        <x:rFont val="Noto Sans CJK SC"/>
        <x:family val="2"/>
      </x:rPr>
      <x:t xml:space="preserve">；按</x:t>
    </x:r>
    <x:r>
      <x:rPr>
        <x:sz val="1000"/>
        <x:color rgb="FF1F2937"/>
        <x:rFont val="Calibri"/>
      </x:rPr>
      <x:t xml:space="preserve">CASE_INDEX</x:t>
    </x:r>
    <x:r>
      <x:rPr>
        <x:sz val="1000"/>
        <x:color rgb="FF1F2937"/>
        <x:rFont val="Noto Sans CJK SC"/>
        <x:family val="2"/>
      </x:rPr>
      <x:t xml:space="preserve">和安全测试指南执行目标</x:t>
    </x:r>
    <x:r>
      <x:rPr>
        <x:sz val="1000"/>
        <x:color rgb="FF1F2937"/>
        <x:rFont val="Calibri"/>
      </x:rPr>
      <x:t xml:space="preserve">bring-up</x:t>
    </x:r>
    <x:r>
      <x:rPr>
        <x:sz val="1000"/>
        <x:color rgb="FF1F2937"/>
        <x:rFont val="Noto Sans CJK SC"/>
        <x:family val="2"/>
      </x:rPr>
      <x:t xml:space="preserve">、</x:t>
    </x:r>
    <x:r>
      <x:rPr>
        <x:sz val="1000"/>
        <x:color rgb="FF1F2937"/>
        <x:rFont val="Calibri"/>
      </x:rPr>
      <x:t xml:space="preserve">fixture preflight</x:t>
    </x:r>
    <x:r>
      <x:rPr>
        <x:sz val="1000"/>
        <x:color rgb="FF1F2937"/>
        <x:rFont val="Noto Sans CJK SC"/>
        <x:family val="2"/>
      </x:rPr>
      <x:t xml:space="preserve">及</x:t>
    </x:r>
    <x:r>
      <x:rPr>
        <x:sz val="1000"/>
        <x:color rgb="FF1F2937"/>
        <x:rFont val="Calibri"/>
      </x:rPr>
      <x:t xml:space="preserve">Evidence</x:t>
    </x:r>
    <x:r>
      <x:rPr>
        <x:sz val="1000"/>
        <x:color rgb="FF1F2937"/>
        <x:rFont val="Noto Sans CJK SC"/>
        <x:family val="2"/>
      </x:rPr>
      <x:t xml:space="preserve">回填</x:t>
    </x:r>
  </x:si>
  <x:si>
    <x:t xml:space="preserve">MB_CMD_ID_BL_OTP_READ - BASIC</x:t>
  </x:si>
  <x:si>
    <x:t xml:space="preserve">MB_CMD_ID_BL_OTP_WRITE - BASIC</x:t>
  </x:si>
  <x:si>
    <x:r>
      <x:rPr>
        <x:sz val="1000"/>
        <x:color rgb="FF1F2937"/>
        <x:rFont val="Calibri"/>
      </x:rPr>
      <x:t xml:space="preserve">NEEDS_DEDICATED_FIXTURE_AND_APPROVAL; </x:t>
    </x:r>
    <x:r>
      <x:rPr>
        <x:sz val="1000"/>
        <x:color rgb="FF1F2937"/>
        <x:rFont val="Noto Sans CJK SC"/>
        <x:family val="2"/>
      </x:rPr>
      <x:t xml:space="preserve">实施前登记 </x:t>
    </x:r>
    <x:r>
      <x:rPr>
        <x:sz val="1000"/>
        <x:color rgb="FF1F2937"/>
        <x:rFont val="Calibri"/>
      </x:rPr>
      <x:t xml:space="preserve">../baremetal </x:t>
    </x:r>
    <x:r>
      <x:rPr>
        <x:sz val="1000"/>
        <x:color rgb="FF1F2937"/>
        <x:rFont val="Noto Sans CJK SC"/>
        <x:family val="2"/>
      </x:rPr>
      <x:t xml:space="preserve">分支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提交号、</x:t>
    </x:r>
    <x:r>
      <x:rPr>
        <x:sz val="1000"/>
        <x:color rgb="FF1F2937"/>
        <x:rFont val="Calibri"/>
      </x:rPr>
      <x:t xml:space="preserve">RTL/eHSM/</x:t>
    </x:r>
    <x:r>
      <x:rPr>
        <x:sz val="1000"/>
        <x:color rgb="FF1F2937"/>
        <x:rFont val="Noto Sans CJK SC"/>
        <x:family val="2"/>
      </x:rPr>
      <x:t xml:space="preserve">软件 测试基线，以及本用例所需的冻结地址、</x:t>
    </x:r>
    <x:r>
      <x:rPr>
        <x:sz val="1000"/>
        <x:color rgb="FF1F2937"/>
        <x:rFont val="Calibri"/>
      </x:rPr>
      <x:t xml:space="preserve">master_id</x:t>
    </x:r>
    <x:r>
      <x:rPr>
        <x:sz val="1000"/>
        <x:color rgb="FF1F2937"/>
        <x:rFont val="Noto Sans CJK SC"/>
        <x:family val="2"/>
      </x:rPr>
      <x:t xml:space="preserve">、区域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权限编码</x:t>
    </x:r>
  </x:si>
  <x:si>
    <x:t xml:space="preserve">MB_CMD_ID_BL_REG_RD - BASIC</x:t>
  </x:si>
  <x:si>
    <x:t xml:space="preserve">MB_CMD_ID_BL_REG_WR - BASIC</x:t>
  </x:si>
  <x:si>
    <x:t xml:space="preserve">MB_CMD_ID_BL_FW_UPGRADE - BASIC</x:t>
  </x:si>
  <x:si>
    <x:t xml:space="preserve">MB_CMD_ID_BL_VERIFY_IMAGE - BASIC</x:t>
  </x:si>
  <x:si>
    <x:t xml:space="preserve">MB_CMD_ID_BL_GET_RANDOM_KEY - BASIC</x:t>
  </x:si>
  <x:si>
    <x:t xml:space="preserve">MB_CMD_ID_BL_ENCRYPT_KEY - BASIC</x:t>
  </x:si>
  <x:si>
    <x:t xml:space="preserve">MB_CMD_ID_BL_GET_CHALLENGE - BASIC</x:t>
  </x:si>
  <x:si>
    <x:t xml:space="preserve">MB_CMD_ID_BL_DEBUG_AUTH - BASIC</x:t>
  </x:si>
  <x:si>
    <x:t xml:space="preserve">MB_CMD_ID_BL_CLOSE_DEBUG - BASIC</x:t>
  </x:si>
  <x:si>
    <x:t xml:space="preserve">MB_CMD_ID_BL_SET_UART_BAUDRATE - BASIC</x:t>
  </x:si>
  <x:si>
    <x:t xml:space="preserve">MB_CMD_ID_BL_SELF_TEST - BASIC</x:t>
  </x:si>
  <x:si>
    <x:t xml:space="preserve">MB_CMD_ID_BL_READ_SELF_TEST_RESULT - BASIC</x:t>
  </x:si>
  <x:si>
    <x:t xml:space="preserve">MB_CMD_ID_SYMM_CIPHER - BASIC</x:t>
  </x:si>
  <x:si>
    <x:t xml:space="preserve">MB_CMD_ID_AEAD_GCM - BASIC</x:t>
  </x:si>
  <x:si>
    <x:t xml:space="preserve">MB_CMD_ID_AEAD_CCM - BASIC</x:t>
  </x:si>
  <x:si>
    <x:t xml:space="preserve">MB_CMD_ID_HASH - BASIC</x:t>
  </x:si>
  <x:si>
    <x:t xml:space="preserve">MB_CMD_ID_HMAC - BASIC</x:t>
  </x:si>
  <x:si>
    <x:t xml:space="preserve">MB_CMD_ID_MAC - BASIC</x:t>
  </x:si>
  <x:si>
    <x:t xml:space="preserve">MB_CMD_ID_SM2_CIPHER - BASIC</x:t>
  </x:si>
  <x:si>
    <x:t xml:space="preserve">MB_CMD_ID_SM2_SIGN - BASIC</x:t>
  </x:si>
  <x:si>
    <x:t xml:space="preserve">MB_CMD_ID_RSA_CIPHER - BASIC</x:t>
  </x:si>
  <x:si>
    <x:t xml:space="preserve">MB_CMD_ID_RSA_SIGN - BASIC</x:t>
  </x:si>
  <x:si>
    <x:t xml:space="preserve">MB_CMD_ID_ECDSA - BASIC</x:t>
  </x:si>
  <x:si>
    <x:t xml:space="preserve">MB_CMD_ID_RNG - BASIC</x:t>
  </x:si>
  <x:si>
    <x:t xml:space="preserve">MB_CMD_ID_OTP_WRITE - BASIC</x:t>
  </x:si>
  <x:si>
    <x:t xml:space="preserve">MB_CMD_ID_OTP_READ - BASIC</x:t>
  </x:si>
  <x:si>
    <x:t xml:space="preserve">MB_CMD_ID_GET_CHALLENGE - BASIC</x:t>
  </x:si>
  <x:si>
    <x:t xml:space="preserve">MB_CMD_ID_AUTH - BASIC</x:t>
  </x:si>
  <x:si>
    <x:t xml:space="preserve">MB_CMD_ID_CLOSE_DEBUG - BASIC</x:t>
  </x:si>
  <x:si>
    <x:t xml:space="preserve">MB_CMD_ID_FW_UPGRADE - BASIC</x:t>
  </x:si>
  <x:si>
    <x:t xml:space="preserve">MB_CMD_ID_SOC_VERIFY - BASIC</x:t>
  </x:si>
  <x:si>
    <x:t xml:space="preserve">MB_CMD_ID_INSTALL_RANDOM_KEY - BASIC</x:t>
  </x:si>
  <x:si>
    <x:t xml:space="preserve">MB_CMD_ID_INSTALL_ENCRYPT_KEY - BASIC</x:t>
  </x:si>
  <x:si>
    <x:t xml:space="preserve">MB_CMD_ID_GET_EMU - BASIC</x:t>
  </x:si>
  <x:si>
    <x:t xml:space="preserve">MB_CMD_ID_CHANGE_LIFECYCLE - BASIC</x:t>
  </x:si>
  <x:si>
    <x:t xml:space="preserve">MB_CMD_ID_CHANGE_CONTROL_FIELD - BASIC</x:t>
  </x:si>
  <x:si>
    <x:t xml:space="preserve">MB_CMD_ID_SET_UART_BAUDRATE - BASIC</x:t>
  </x:si>
  <x:si>
    <x:t xml:space="preserve">MB_CMD_ID_FW_REG_WR - BASIC</x:t>
  </x:si>
  <x:si>
    <x:t xml:space="preserve">MB_CMD_ID_FW_REG_RD - BASIC</x:t>
  </x:si>
  <x:si>
    <x:t xml:space="preserve">MB_CMD_ID_EHSM_READ_VER - BASIC</x:t>
  </x:si>
  <x:si>
    <x:t xml:space="preserve">MB_CMD_ID_ENTER_WFI - BASIC</x:t>
  </x:si>
  <x:si>
    <x:t xml:space="preserve">MB_CMD_ID_EHSM_GEN_KEY - BASIC</x:t>
  </x:si>
  <x:si>
    <x:t xml:space="preserve">MB_CMD_ID_EHSM_KEY_DERIVE - BASIC</x:t>
  </x:si>
  <x:si>
    <x:t xml:space="preserve">MB_CMD_ID_EHSM_KEY_EXCHANGE - BASIC</x:t>
  </x:si>
  <x:si>
    <x:t xml:space="preserve">MB_CMD_ID_EHSM_IMPORT_KEY - BASIC</x:t>
  </x:si>
  <x:si>
    <x:t xml:space="preserve">MB_CMD_ID_EHSM_EXPORT_KEY - BASIC</x:t>
  </x:si>
  <x:si>
    <x:t xml:space="preserve">MB_CMD_ID_EHSM_REMOVE_KEY - BASIC</x:t>
  </x:si>
  <x:si>
    <x:t xml:space="preserve">MB_CMD_ID_EHSM_GET_PUB_FROM_PRIV - BASIC</x:t>
  </x:si>
  <x:si>
    <x:t xml:space="preserve">MB_CMD_ID_OTP_WRITE_FOR_TEST - BASIC</x:t>
  </x:si>
  <x:si>
    <x:t xml:space="preserve">MB_CMD_ID_BL_VERIFY_IMAGE - EHSM_NEGATIVE</x:t>
  </x:si>
  <x:si>
    <x:r>
      <x:rPr>
        <x:sz val="1000"/>
        <x:color rgb="FF1F2937"/>
        <x:rFont val="Calibri"/>
      </x:rPr>
      <x:t xml:space="preserve">eHSM</x:t>
    </x:r>
    <x:r>
      <x:rPr>
        <x:sz val="1000"/>
        <x:color rgb="FF1F2937"/>
        <x:rFont val="Noto Sans CJK SC"/>
        <x:family val="2"/>
      </x:rPr>
      <x:t xml:space="preserve">负向用例必须把刺激真实提交到</x:t>
    </x:r>
    <x:r>
      <x:rPr>
        <x:sz val="1000"/>
        <x:color rgb="FF1F2937"/>
        <x:rFont val="Calibri"/>
      </x:rPr>
      <x:t xml:space="preserve">eHSM</x:t>
    </x:r>
    <x:r>
      <x:rPr>
        <x:sz val="1000"/>
        <x:color rgb="FF1F2937"/>
        <x:rFont val="Noto Sans CJK SC"/>
        <x:family val="2"/>
      </x:rPr>
      <x:t xml:space="preserve">并记录原始响应；</x:t>
    </x:r>
    <x:r>
      <x:rPr>
        <x:sz val="1000"/>
        <x:color rgb="FF1F2937"/>
        <x:rFont val="Calibri"/>
      </x:rPr>
      <x:t xml:space="preserve">Host</x:t>
    </x:r>
    <x:r>
      <x:rPr>
        <x:sz val="1000"/>
        <x:color rgb="FF1F2937"/>
        <x:rFont val="Noto Sans CJK SC"/>
        <x:family val="2"/>
      </x:rPr>
      <x:t xml:space="preserve">仅负责构造输入。优先复用</x:t>
    </x:r>
    <x:r>
      <x:rPr>
        <x:sz val="1000"/>
        <x:color rgb="FF1F2937"/>
        <x:rFont val="Calibri"/>
      </x:rPr>
      <x:t xml:space="preserve">Vendor verify/API</x:t>
    </x:r>
    <x:r>
      <x:rPr>
        <x:sz val="1000"/>
        <x:color rgb="FF1F2937"/>
        <x:rFont val="Noto Sans CJK SC"/>
        <x:family val="2"/>
      </x:rPr>
      <x:t xml:space="preserve">并单点变异数据；必要时使用隔离原始 请求构造器，但不修改</x:t>
    </x:r>
    <x:r>
      <x:rPr>
        <x:sz val="1000"/>
        <x:color rgb="FF1F2937"/>
        <x:rFont val="Calibri"/>
      </x:rPr>
      <x:t xml:space="preserve">eHSM</x:t>
    </x:r>
    <x:r>
      <x:rPr>
        <x:sz val="1000"/>
        <x:color rgb="FF1F2937"/>
        <x:rFont val="Noto Sans CJK SC"/>
        <x:family val="2"/>
      </x:rPr>
      <x:t xml:space="preserve">固件</x:t>
    </x:r>
  </x:si>
  <x:si>
    <x:r>
      <x:rPr>
        <x:sz val="1000"/>
        <x:color rgb="FF1F2937"/>
        <x:rFont val="Calibri"/>
      </x:rPr>
      <x:t xml:space="preserve">NEEDS_SIGNED_IMAGE_CORPUS; </x:t>
    </x:r>
    <x:r>
      <x:rPr>
        <x:sz val="1000"/>
        <x:color rgb="FF1F2937"/>
        <x:rFont val="Noto Sans CJK SC"/>
        <x:family val="2"/>
      </x:rPr>
      <x:t xml:space="preserve">实施前登记 </x:t>
    </x:r>
    <x:r>
      <x:rPr>
        <x:sz val="1000"/>
        <x:color rgb="FF1F2937"/>
        <x:rFont val="Calibri"/>
      </x:rPr>
      <x:t xml:space="preserve">../baremetal </x:t>
    </x:r>
    <x:r>
      <x:rPr>
        <x:sz val="1000"/>
        <x:color rgb="FF1F2937"/>
        <x:rFont val="Noto Sans CJK SC"/>
        <x:family val="2"/>
      </x:rPr>
      <x:t xml:space="preserve">分支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提交号、</x:t>
    </x:r>
    <x:r>
      <x:rPr>
        <x:sz val="1000"/>
        <x:color rgb="FF1F2937"/>
        <x:rFont val="Calibri"/>
      </x:rPr>
      <x:t xml:space="preserve">RTL/eHSM/</x:t>
    </x:r>
    <x:r>
      <x:rPr>
        <x:sz val="1000"/>
        <x:color rgb="FF1F2937"/>
        <x:rFont val="Noto Sans CJK SC"/>
        <x:family val="2"/>
      </x:rPr>
      <x:t xml:space="preserve">软件 测试基线，以及本用例所需的冻结地址、</x:t>
    </x:r>
    <x:r>
      <x:rPr>
        <x:sz val="1000"/>
        <x:color rgb="FF1F2937"/>
        <x:rFont val="Calibri"/>
      </x:rPr>
      <x:t xml:space="preserve">master_id</x:t>
    </x:r>
    <x:r>
      <x:rPr>
        <x:sz val="1000"/>
        <x:color rgb="FF1F2937"/>
        <x:rFont val="Noto Sans CJK SC"/>
        <x:family val="2"/>
      </x:rPr>
      <x:t xml:space="preserve">、区域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权限编码</x:t>
    </x:r>
  </x:si>
  <x:si>
    <x:r>
      <x:rPr>
        <x:sz val="1000"/>
        <x:color rgb="FF1F2937"/>
        <x:rFont val="Noto Sans CJK SC"/>
        <x:family val="2"/>
      </x:rPr>
      <x:t xml:space="preserve">可构建；可枚举和单独执行；结果为 </x:t>
    </x:r>
    <x:r>
      <x:rPr>
        <x:sz val="1000"/>
        <x:color rgb="FF1F2937"/>
        <x:rFont val="Calibri"/>
      </x:rPr>
      <x:t xml:space="preserve">PASS/FAIL/INCONCLUSIVE</x:t>
    </x:r>
    <x:r>
      <x:rPr>
        <x:sz val="1000"/>
        <x:color rgb="FF1F2937"/>
        <x:rFont val="Noto Sans CJK SC"/>
        <x:family val="2"/>
      </x:rPr>
      <x:t xml:space="preserve">；预期结果 可追溯；日志含 用例 </x:t>
    </x:r>
    <x:r>
      <x:rPr>
        <x:sz val="1000"/>
        <x:color rgb="FF1F2937"/>
        <x:rFont val="Calibri"/>
      </x:rPr>
      <x:t xml:space="preserve">ID</x:t>
    </x:r>
    <x:r>
      <x:rPr>
        <x:sz val="1000"/>
        <x:color rgb="FF1F2937"/>
        <x:rFont val="Noto Sans CJK SC"/>
        <x:family val="2"/>
      </x:rPr>
      <x:t xml:space="preserve">、测试基线、输入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输出摘要和错误码</x:t>
    </x:r>
  </x:si>
  <x:si>
    <x:r>
      <x:rPr>
        <x:sz val="1000"/>
        <x:color rgb="FF1F2937"/>
        <x:rFont val="Noto Sans CJK SC"/>
        <x:family val="2"/>
      </x:rPr>
      <x:t xml:space="preserve">先检查 </x:t>
    </x:r>
    <x:r>
      <x:rPr>
        <x:sz val="1000"/>
        <x:color rgb="FF1F2937"/>
        <x:rFont val="Calibri"/>
      </x:rPr>
      <x:t xml:space="preserve">../baremetal </x:t>
    </x:r>
    <x:r>
      <x:rPr>
        <x:sz val="1000"/>
        <x:color rgb="FF1F2937"/>
        <x:rFont val="Noto Sans CJK SC"/>
        <x:family val="2"/>
      </x:rPr>
      <x:t xml:space="preserve">现状和仓库规则，再规划落点并实现；本表不预设目录、模块、测试运行器 或文件名</x:t>
    </x:r>
  </x:si>
  <x:si>
    <x:t xml:space="preserve">MB_CMD_ID_SOC_VERIFY - EHSM_NEGATIVE</x:t>
  </x:si>
  <x:si>
    <x:r>
      <x:rPr>
        <x:sz val="1000"/>
        <x:color rgb="FF1F2937"/>
        <x:rFont val="Calibri"/>
      </x:rPr>
      <x:t xml:space="preserve">NEEDS_SIGNED_SOC_PACKAGE_AND_COUNTER_FIXTURE; </x:t>
    </x:r>
    <x:r>
      <x:rPr>
        <x:sz val="1000"/>
        <x:color rgb="FF1F2937"/>
        <x:rFont val="Noto Sans CJK SC"/>
        <x:family val="2"/>
      </x:rPr>
      <x:t xml:space="preserve">实施前登记 </x:t>
    </x:r>
    <x:r>
      <x:rPr>
        <x:sz val="1000"/>
        <x:color rgb="FF1F2937"/>
        <x:rFont val="Calibri"/>
      </x:rPr>
      <x:t xml:space="preserve">../baremetal </x:t>
    </x:r>
    <x:r>
      <x:rPr>
        <x:sz val="1000"/>
        <x:color rgb="FF1F2937"/>
        <x:rFont val="Noto Sans CJK SC"/>
        <x:family val="2"/>
      </x:rPr>
      <x:t xml:space="preserve">分支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提交号、</x:t>
    </x:r>
    <x:r>
      <x:rPr>
        <x:sz val="1000"/>
        <x:color rgb="FF1F2937"/>
        <x:rFont val="Calibri"/>
      </x:rPr>
      <x:t xml:space="preserve">RTL/eHSM/</x:t>
    </x:r>
    <x:r>
      <x:rPr>
        <x:sz val="1000"/>
        <x:color rgb="FF1F2937"/>
        <x:rFont val="Noto Sans CJK SC"/>
        <x:family val="2"/>
      </x:rPr>
      <x:t xml:space="preserve">软件 测试基线，以及本用例所需的冻结地址、</x:t>
    </x:r>
    <x:r>
      <x:rPr>
        <x:sz val="1000"/>
        <x:color rgb="FF1F2937"/>
        <x:rFont val="Calibri"/>
      </x:rPr>
      <x:t xml:space="preserve">master_id</x:t>
    </x:r>
    <x:r>
      <x:rPr>
        <x:sz val="1000"/>
        <x:color rgb="FF1F2937"/>
        <x:rFont val="Noto Sans CJK SC"/>
        <x:family val="2"/>
      </x:rPr>
      <x:t xml:space="preserve">、区域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权限编码</x:t>
    </x:r>
  </x:si>
  <x:si>
    <x:t xml:space="preserve">MB_CMD_ID_BL_FW_UPGRADE - EHSM_NEGATIVE</x:t>
  </x:si>
  <x:si>
    <x:r>
      <x:rPr>
        <x:sz val="1000"/>
        <x:color rgb="FF1F2937"/>
        <x:rFont val="Calibri"/>
      </x:rPr>
      <x:t xml:space="preserve">NEEDS_RECOVERABLE_UPGRADE_FIXTURE; </x:t>
    </x:r>
    <x:r>
      <x:rPr>
        <x:sz val="1000"/>
        <x:color rgb="FF1F2937"/>
        <x:rFont val="Noto Sans CJK SC"/>
        <x:family val="2"/>
      </x:rPr>
      <x:t xml:space="preserve">实施前登记 </x:t>
    </x:r>
    <x:r>
      <x:rPr>
        <x:sz val="1000"/>
        <x:color rgb="FF1F2937"/>
        <x:rFont val="Calibri"/>
      </x:rPr>
      <x:t xml:space="preserve">../baremetal </x:t>
    </x:r>
    <x:r>
      <x:rPr>
        <x:sz val="1000"/>
        <x:color rgb="FF1F2937"/>
        <x:rFont val="Noto Sans CJK SC"/>
        <x:family val="2"/>
      </x:rPr>
      <x:t xml:space="preserve">分支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提交号、</x:t>
    </x:r>
    <x:r>
      <x:rPr>
        <x:sz val="1000"/>
        <x:color rgb="FF1F2937"/>
        <x:rFont val="Calibri"/>
      </x:rPr>
      <x:t xml:space="preserve">RTL/eHSM/</x:t>
    </x:r>
    <x:r>
      <x:rPr>
        <x:sz val="1000"/>
        <x:color rgb="FF1F2937"/>
        <x:rFont val="Noto Sans CJK SC"/>
        <x:family val="2"/>
      </x:rPr>
      <x:t xml:space="preserve">软件 测试基线，以及本用例所需的冻结地址、</x:t>
    </x:r>
    <x:r>
      <x:rPr>
        <x:sz val="1000"/>
        <x:color rgb="FF1F2937"/>
        <x:rFont val="Calibri"/>
      </x:rPr>
      <x:t xml:space="preserve">master_id</x:t>
    </x:r>
    <x:r>
      <x:rPr>
        <x:sz val="1000"/>
        <x:color rgb="FF1F2937"/>
        <x:rFont val="Noto Sans CJK SC"/>
        <x:family val="2"/>
      </x:rPr>
      <x:t xml:space="preserve">、区域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权限编码</x:t>
    </x:r>
  </x:si>
  <x:si>
    <x:t xml:space="preserve">MB_CMD_ID_FW_UPGRADE - EHSM_NEGATIVE</x:t>
  </x:si>
  <x:si>
    <x:t xml:space="preserve">MB_CMD_ID_SM2_SIGN / MB_CMD_ID_RSA_SIGN / MB_CMD_ID_ECDSA - EHSM_NEGATIVE</x:t>
  </x:si>
  <x:si>
    <x:r>
      <x:rPr>
        <x:sz val="1000"/>
        <x:color rgb="FF1F2937"/>
        <x:rFont val="Calibri"/>
      </x:rPr>
      <x:t xml:space="preserve">READY_AFTER_VENDOR_VERIFY_API_PORT; </x:t>
    </x:r>
    <x:r>
      <x:rPr>
        <x:sz val="1000"/>
        <x:color rgb="FF1F2937"/>
        <x:rFont val="Noto Sans CJK SC"/>
        <x:family val="2"/>
      </x:rPr>
      <x:t xml:space="preserve">实施前登记 </x:t>
    </x:r>
    <x:r>
      <x:rPr>
        <x:sz val="1000"/>
        <x:color rgb="FF1F2937"/>
        <x:rFont val="Calibri"/>
      </x:rPr>
      <x:t xml:space="preserve">../baremetal </x:t>
    </x:r>
    <x:r>
      <x:rPr>
        <x:sz val="1000"/>
        <x:color rgb="FF1F2937"/>
        <x:rFont val="Noto Sans CJK SC"/>
        <x:family val="2"/>
      </x:rPr>
      <x:t xml:space="preserve">分支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提交号、</x:t>
    </x:r>
    <x:r>
      <x:rPr>
        <x:sz val="1000"/>
        <x:color rgb="FF1F2937"/>
        <x:rFont val="Calibri"/>
      </x:rPr>
      <x:t xml:space="preserve">RTL/eHSM/</x:t>
    </x:r>
    <x:r>
      <x:rPr>
        <x:sz val="1000"/>
        <x:color rgb="FF1F2937"/>
        <x:rFont val="Noto Sans CJK SC"/>
        <x:family val="2"/>
      </x:rPr>
      <x:t xml:space="preserve">软件 测试基线，以及本用例所需的冻结地址、</x:t>
    </x:r>
    <x:r>
      <x:rPr>
        <x:sz val="1000"/>
        <x:color rgb="FF1F2937"/>
        <x:rFont val="Calibri"/>
      </x:rPr>
      <x:t xml:space="preserve">master_id</x:t>
    </x:r>
    <x:r>
      <x:rPr>
        <x:sz val="1000"/>
        <x:color rgb="FF1F2937"/>
        <x:rFont val="Noto Sans CJK SC"/>
        <x:family val="2"/>
      </x:rPr>
      <x:t xml:space="preserve">、区域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权限编码</x:t>
    </x:r>
  </x:si>
  <x:si>
    <x:t xml:space="preserve">MB_CMD_ID_MAC / MB_CMD_ID_HMAC - EHSM_NEGATIVE</x:t>
  </x:si>
  <x:si>
    <x:t xml:space="preserve">MB_CMD_ID_AEAD_GCM / MB_CMD_ID_AEAD_CCM - EHSM_NEGATIVE</x:t>
  </x:si>
  <x:si>
    <x:r>
      <x:rPr>
        <x:sz val="1000"/>
        <x:color rgb="FF1F2937"/>
        <x:rFont val="Calibri"/>
      </x:rPr>
      <x:t xml:space="preserve">READY_AFTER_AEAD_OUTPUT_CONTRACT; </x:t>
    </x:r>
    <x:r>
      <x:rPr>
        <x:sz val="1000"/>
        <x:color rgb="FF1F2937"/>
        <x:rFont val="Noto Sans CJK SC"/>
        <x:family val="2"/>
      </x:rPr>
      <x:t xml:space="preserve">实施前登记 </x:t>
    </x:r>
    <x:r>
      <x:rPr>
        <x:sz val="1000"/>
        <x:color rgb="FF1F2937"/>
        <x:rFont val="Calibri"/>
      </x:rPr>
      <x:t xml:space="preserve">../baremetal </x:t>
    </x:r>
    <x:r>
      <x:rPr>
        <x:sz val="1000"/>
        <x:color rgb="FF1F2937"/>
        <x:rFont val="Noto Sans CJK SC"/>
        <x:family val="2"/>
      </x:rPr>
      <x:t xml:space="preserve">分支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提交号、</x:t>
    </x:r>
    <x:r>
      <x:rPr>
        <x:sz val="1000"/>
        <x:color rgb="FF1F2937"/>
        <x:rFont val="Calibri"/>
      </x:rPr>
      <x:t xml:space="preserve">RTL/eHSM/</x:t>
    </x:r>
    <x:r>
      <x:rPr>
        <x:sz val="1000"/>
        <x:color rgb="FF1F2937"/>
        <x:rFont val="Noto Sans CJK SC"/>
        <x:family val="2"/>
      </x:rPr>
      <x:t xml:space="preserve">软件 测试基线，以及本用例所需的冻结地址、</x:t>
    </x:r>
    <x:r>
      <x:rPr>
        <x:sz val="1000"/>
        <x:color rgb="FF1F2937"/>
        <x:rFont val="Calibri"/>
      </x:rPr>
      <x:t xml:space="preserve">master_id</x:t>
    </x:r>
    <x:r>
      <x:rPr>
        <x:sz val="1000"/>
        <x:color rgb="FF1F2937"/>
        <x:rFont val="Noto Sans CJK SC"/>
        <x:family val="2"/>
      </x:rPr>
      <x:t xml:space="preserve">、区域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权限编码</x:t>
    </x:r>
  </x:si>
  <x:si>
    <x:t xml:space="preserve">MB_CMD_ID_BL_GET_CHALLENGE / MB_CMD_ID_BL_DEBUG_AUTH - EHSM_NEGATIVE</x:t>
  </x:si>
  <x:si>
    <x:t xml:space="preserve">NEEDS_DEBUG_AUTH_FIXTURE</x:t>
  </x:si>
  <x:si>
    <x:t xml:space="preserve">MB_CMD_ID_GET_CHALLENGE / MB_CMD_ID_AUTH - EHSM_NEGATIVE</x:t>
  </x:si>
  <x:si>
    <x:t xml:space="preserve">NEEDS_AUTH_PROFILE_AND_FIXTURE</x:t>
  </x:si>
  <x:si>
    <x:t xml:space="preserve">MB_CMD_ID_INSTALL_RANDOM_KEY / MB_CMD_ID_INSTALL_ENCRYPT_KEY / MB_CMD_ID_EHSM_IMPORT_KEY - EHSM_NEGATIVE</x:t>
  </x:si>
  <x:si>
    <x:r>
      <x:rPr>
        <x:sz val="1000"/>
        <x:color rgb="FF1F2937"/>
        <x:rFont val="Calibri"/>
      </x:rPr>
      <x:t xml:space="preserve">NEEDS_KEY_IMPORT_FIXTURE; </x:t>
    </x:r>
    <x:r>
      <x:rPr>
        <x:sz val="1000"/>
        <x:color rgb="FF1F2937"/>
        <x:rFont val="Noto Sans CJK SC"/>
        <x:family val="2"/>
      </x:rPr>
      <x:t xml:space="preserve">实施前登记 </x:t>
    </x:r>
    <x:r>
      <x:rPr>
        <x:sz val="1000"/>
        <x:color rgb="FF1F2937"/>
        <x:rFont val="Calibri"/>
      </x:rPr>
      <x:t xml:space="preserve">../baremetal </x:t>
    </x:r>
    <x:r>
      <x:rPr>
        <x:sz val="1000"/>
        <x:color rgb="FF1F2937"/>
        <x:rFont val="Noto Sans CJK SC"/>
        <x:family val="2"/>
      </x:rPr>
      <x:t xml:space="preserve">分支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提交号、</x:t>
    </x:r>
    <x:r>
      <x:rPr>
        <x:sz val="1000"/>
        <x:color rgb="FF1F2937"/>
        <x:rFont val="Calibri"/>
      </x:rPr>
      <x:t xml:space="preserve">RTL/eHSM/</x:t>
    </x:r>
    <x:r>
      <x:rPr>
        <x:sz val="1000"/>
        <x:color rgb="FF1F2937"/>
        <x:rFont val="Noto Sans CJK SC"/>
        <x:family val="2"/>
      </x:rPr>
      <x:t xml:space="preserve">软件 测试基线，以及本用例所需的冻结地址、</x:t>
    </x:r>
    <x:r>
      <x:rPr>
        <x:sz val="1000"/>
        <x:color rgb="FF1F2937"/>
        <x:rFont val="Calibri"/>
      </x:rPr>
      <x:t xml:space="preserve">master_id</x:t>
    </x:r>
    <x:r>
      <x:rPr>
        <x:sz val="1000"/>
        <x:color rgb="FF1F2937"/>
        <x:rFont val="Noto Sans CJK SC"/>
        <x:family val="2"/>
      </x:rPr>
      <x:t xml:space="preserve">、区域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权限编码</x:t>
    </x:r>
  </x:si>
  <x:si>
    <x:r>
      <x:rPr>
        <x:sz val="1000"/>
        <x:color rgb="FF1F2937"/>
        <x:rFont val="Noto Sans CJK SC"/>
        <x:family val="2"/>
      </x:rPr>
      <x:t xml:space="preserve">密钥 </x:t>
    </x:r>
    <x:r>
      <x:rPr>
        <x:sz val="1000"/>
        <x:color rgb="FF1F2937"/>
        <x:rFont val="Calibri"/>
      </x:rPr>
      <x:t xml:space="preserve">Manager + SYMM/AEAD/HMAC/MAC/Sign</x:t>
    </x:r>
    <x:r>
      <x:rPr>
        <x:sz val="1000"/>
        <x:color rgb="FF1F2937"/>
        <x:rFont val="Noto Sans CJK SC"/>
        <x:family val="2"/>
      </x:rPr>
      <x:t xml:space="preserve">命令 </x:t>
    </x:r>
    <x:r>
      <x:rPr>
        <x:sz val="1000"/>
        <x:color rgb="FF1F2937"/>
        <x:rFont val="Calibri"/>
      </x:rPr>
      <x:t xml:space="preserve">- EHSM_NEGATIVE</x:t>
    </x:r>
  </x:si>
  <x:si>
    <x:r>
      <x:rPr>
        <x:sz val="1000"/>
        <x:color rgb="FF1F2937"/>
        <x:rFont val="Calibri"/>
      </x:rPr>
      <x:t xml:space="preserve">NEEDS_KEY_POLICY_CONTRACT; </x:t>
    </x:r>
    <x:r>
      <x:rPr>
        <x:sz val="1000"/>
        <x:color rgb="FF1F2937"/>
        <x:rFont val="Noto Sans CJK SC"/>
        <x:family val="2"/>
      </x:rPr>
      <x:t xml:space="preserve">实施前登记 </x:t>
    </x:r>
    <x:r>
      <x:rPr>
        <x:sz val="1000"/>
        <x:color rgb="FF1F2937"/>
        <x:rFont val="Calibri"/>
      </x:rPr>
      <x:t xml:space="preserve">../baremetal </x:t>
    </x:r>
    <x:r>
      <x:rPr>
        <x:sz val="1000"/>
        <x:color rgb="FF1F2937"/>
        <x:rFont val="Noto Sans CJK SC"/>
        <x:family val="2"/>
      </x:rPr>
      <x:t xml:space="preserve">分支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提交号、</x:t>
    </x:r>
    <x:r>
      <x:rPr>
        <x:sz val="1000"/>
        <x:color rgb="FF1F2937"/>
        <x:rFont val="Calibri"/>
      </x:rPr>
      <x:t xml:space="preserve">RTL/eHSM/</x:t>
    </x:r>
    <x:r>
      <x:rPr>
        <x:sz val="1000"/>
        <x:color rgb="FF1F2937"/>
        <x:rFont val="Noto Sans CJK SC"/>
        <x:family val="2"/>
      </x:rPr>
      <x:t xml:space="preserve">软件 测试基线，以及本用例所需的冻结地址、</x:t>
    </x:r>
    <x:r>
      <x:rPr>
        <x:sz val="1000"/>
        <x:color rgb="FF1F2937"/>
        <x:rFont val="Calibri"/>
      </x:rPr>
      <x:t xml:space="preserve">master_id</x:t>
    </x:r>
    <x:r>
      <x:rPr>
        <x:sz val="1000"/>
        <x:color rgb="FF1F2937"/>
        <x:rFont val="Noto Sans CJK SC"/>
        <x:family val="2"/>
      </x:rPr>
      <x:t xml:space="preserve">、区域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权限编码</x:t>
    </x:r>
  </x:si>
  <x:si>
    <x:t xml:space="preserve">BL/FW OTP_READ / OTP_WRITE - EHSM_NEGATIVE</x:t>
  </x:si>
  <x:si>
    <x:r>
      <x:rPr>
        <x:sz val="1000"/>
        <x:color rgb="FF1F2937"/>
        <x:rFont val="Calibri"/>
      </x:rPr>
      <x:t xml:space="preserve">NEEDS_OTP_OBJECT_MAP_AND_FIXTURE; </x:t>
    </x:r>
    <x:r>
      <x:rPr>
        <x:sz val="1000"/>
        <x:color rgb="FF1F2937"/>
        <x:rFont val="Noto Sans CJK SC"/>
        <x:family val="2"/>
      </x:rPr>
      <x:t xml:space="preserve">实施前登记 </x:t>
    </x:r>
    <x:r>
      <x:rPr>
        <x:sz val="1000"/>
        <x:color rgb="FF1F2937"/>
        <x:rFont val="Calibri"/>
      </x:rPr>
      <x:t xml:space="preserve">../baremetal </x:t>
    </x:r>
    <x:r>
      <x:rPr>
        <x:sz val="1000"/>
        <x:color rgb="FF1F2937"/>
        <x:rFont val="Noto Sans CJK SC"/>
        <x:family val="2"/>
      </x:rPr>
      <x:t xml:space="preserve">分支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提交号、</x:t>
    </x:r>
    <x:r>
      <x:rPr>
        <x:sz val="1000"/>
        <x:color rgb="FF1F2937"/>
        <x:rFont val="Calibri"/>
      </x:rPr>
      <x:t xml:space="preserve">RTL/eHSM/</x:t>
    </x:r>
    <x:r>
      <x:rPr>
        <x:sz val="1000"/>
        <x:color rgb="FF1F2937"/>
        <x:rFont val="Noto Sans CJK SC"/>
        <x:family val="2"/>
      </x:rPr>
      <x:t xml:space="preserve">软件 测试基线，以及本用例所需的冻结地址、</x:t>
    </x:r>
    <x:r>
      <x:rPr>
        <x:sz val="1000"/>
        <x:color rgb="FF1F2937"/>
        <x:rFont val="Calibri"/>
      </x:rPr>
      <x:t xml:space="preserve">master_id</x:t>
    </x:r>
    <x:r>
      <x:rPr>
        <x:sz val="1000"/>
        <x:color rgb="FF1F2937"/>
        <x:rFont val="Noto Sans CJK SC"/>
        <x:family val="2"/>
      </x:rPr>
      <x:t xml:space="preserve">、区域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权限编码</x:t>
    </x:r>
  </x:si>
  <x:si>
    <x:t xml:space="preserve">MB_CMD_ID_CHANGE_LIFECYCLE / MB_CMD_ID_CHANGE_CONTROL_FIELD - EHSM_NEGATIVE</x:t>
  </x:si>
  <x:si>
    <x:r>
      <x:rPr>
        <x:sz val="1000"/>
        <x:color rgb="FF1F2937"/>
        <x:rFont val="Calibri"/>
      </x:rPr>
      <x:t xml:space="preserve">NEEDS_DESTRUCTIVE_STATE_FIXTURE; </x:t>
    </x:r>
    <x:r>
      <x:rPr>
        <x:sz val="1000"/>
        <x:color rgb="FF1F2937"/>
        <x:rFont val="Noto Sans CJK SC"/>
        <x:family val="2"/>
      </x:rPr>
      <x:t xml:space="preserve">实施前登记 </x:t>
    </x:r>
    <x:r>
      <x:rPr>
        <x:sz val="1000"/>
        <x:color rgb="FF1F2937"/>
        <x:rFont val="Calibri"/>
      </x:rPr>
      <x:t xml:space="preserve">../baremetal </x:t>
    </x:r>
    <x:r>
      <x:rPr>
        <x:sz val="1000"/>
        <x:color rgb="FF1F2937"/>
        <x:rFont val="Noto Sans CJK SC"/>
        <x:family val="2"/>
      </x:rPr>
      <x:t xml:space="preserve">分支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提交号、</x:t>
    </x:r>
    <x:r>
      <x:rPr>
        <x:sz val="1000"/>
        <x:color rgb="FF1F2937"/>
        <x:rFont val="Calibri"/>
      </x:rPr>
      <x:t xml:space="preserve">RTL/eHSM/</x:t>
    </x:r>
    <x:r>
      <x:rPr>
        <x:sz val="1000"/>
        <x:color rgb="FF1F2937"/>
        <x:rFont val="Noto Sans CJK SC"/>
        <x:family val="2"/>
      </x:rPr>
      <x:t xml:space="preserve">软件 测试基线，以及本用例所需的冻结地址、</x:t>
    </x:r>
    <x:r>
      <x:rPr>
        <x:sz val="1000"/>
        <x:color rgb="FF1F2937"/>
        <x:rFont val="Calibri"/>
      </x:rPr>
      <x:t xml:space="preserve">master_id</x:t>
    </x:r>
    <x:r>
      <x:rPr>
        <x:sz val="1000"/>
        <x:color rgb="FF1F2937"/>
        <x:rFont val="Noto Sans CJK SC"/>
        <x:family val="2"/>
      </x:rPr>
      <x:t xml:space="preserve">、区域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权限编码</x:t>
    </x:r>
  </x:si>
  <x:si>
    <x:r>
      <x:rPr>
        <x:sz val="1000"/>
        <x:color rgb="FF1F2937"/>
        <x:rFont val="Noto Sans CJK SC"/>
        <x:family val="2"/>
      </x:rPr>
      <x:t xml:space="preserve">代表性</x:t>
    </x:r>
    <x:r>
      <x:rPr>
        <x:sz val="1000"/>
        <x:color rgb="FF1F2937"/>
        <x:rFont val="Calibri"/>
      </x:rPr>
      <x:t xml:space="preserve">BL/FW</x:t>
    </x:r>
    <x:r>
      <x:rPr>
        <x:sz val="1000"/>
        <x:color rgb="FF1F2937"/>
        <x:rFont val="Noto Sans CJK SC"/>
        <x:family val="2"/>
      </x:rPr>
      <x:t xml:space="preserve">命令 </x:t>
    </x:r>
    <x:r>
      <x:rPr>
        <x:sz val="1000"/>
        <x:color rgb="FF1F2937"/>
        <x:rFont val="Calibri"/>
      </x:rPr>
      <x:t xml:space="preserve">+ </x:t>
    </x:r>
    <x:r>
      <x:rPr>
        <x:sz val="1000"/>
        <x:color rgb="FF1F2937"/>
        <x:rFont val="Noto Sans CJK SC"/>
        <x:family val="2"/>
      </x:rPr>
      <x:t xml:space="preserve">未支持</x:t>
    </x:r>
    <x:r>
      <x:rPr>
        <x:sz val="1000"/>
        <x:color rgb="FF1F2937"/>
        <x:rFont val="Calibri"/>
      </x:rPr>
      <x:t xml:space="preserve">command ID - EHSM_NEGATIVE</x:t>
    </x:r>
  </x:si>
  <x:si>
    <x:r>
      <x:rPr>
        <x:sz val="1000"/>
        <x:color rgb="FF1F2937"/>
        <x:rFont val="Calibri"/>
      </x:rPr>
      <x:t xml:space="preserve">NEEDS_ISOLATED_RAW_REQUEST_BUILDER; </x:t>
    </x:r>
    <x:r>
      <x:rPr>
        <x:sz val="1000"/>
        <x:color rgb="FF1F2937"/>
        <x:rFont val="Noto Sans CJK SC"/>
        <x:family val="2"/>
      </x:rPr>
      <x:t xml:space="preserve">实施前登记 </x:t>
    </x:r>
    <x:r>
      <x:rPr>
        <x:sz val="1000"/>
        <x:color rgb="FF1F2937"/>
        <x:rFont val="Calibri"/>
      </x:rPr>
      <x:t xml:space="preserve">../baremetal </x:t>
    </x:r>
    <x:r>
      <x:rPr>
        <x:sz val="1000"/>
        <x:color rgb="FF1F2937"/>
        <x:rFont val="Noto Sans CJK SC"/>
        <x:family val="2"/>
      </x:rPr>
      <x:t xml:space="preserve">分支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提交号、</x:t>
    </x:r>
    <x:r>
      <x:rPr>
        <x:sz val="1000"/>
        <x:color rgb="FF1F2937"/>
        <x:rFont val="Calibri"/>
      </x:rPr>
      <x:t xml:space="preserve">RTL/eHSM/</x:t>
    </x:r>
    <x:r>
      <x:rPr>
        <x:sz val="1000"/>
        <x:color rgb="FF1F2937"/>
        <x:rFont val="Noto Sans CJK SC"/>
        <x:family val="2"/>
      </x:rPr>
      <x:t xml:space="preserve">软件 测试基线，以及本用例所需的冻结地址、</x:t>
    </x:r>
    <x:r>
      <x:rPr>
        <x:sz val="1000"/>
        <x:color rgb="FF1F2937"/>
        <x:rFont val="Calibri"/>
      </x:rPr>
      <x:t xml:space="preserve">master_id</x:t>
    </x:r>
    <x:r>
      <x:rPr>
        <x:sz val="1000"/>
        <x:color rgb="FF1F2937"/>
        <x:rFont val="Noto Sans CJK SC"/>
        <x:family val="2"/>
      </x:rPr>
      <x:t xml:space="preserve">、区域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权限编码</x:t>
    </x:r>
  </x:si>
  <x:si>
    <x:t xml:space="preserve">工作流执行记录</x:t>
  </x:si>
  <x:si>
    <x:t xml:space="preserve">日期</x:t>
  </x:si>
  <x:si>
    <x:t xml:space="preserve">活动</x:t>
  </x:si>
  <x:si>
    <x:t xml:space="preserve">输入</x:t>
  </x:si>
  <x:si>
    <x:r>
      <x:rPr>
        <x:b/>
        <x:sz val="1100"/>
        <x:color rgb="FFFFFFFF"/>
        <x:rFont val="Noto Sans CJK SC"/>
        <x:family val="2"/>
      </x:rPr>
      <x:t xml:space="preserve">输出</x:t>
    </x:r>
    <x:r>
      <x:rPr>
        <x:b/>
        <x:sz val="1100"/>
        <x:color rgb="FFFFFFFF"/>
        <x:rFont val="Calibri"/>
      </x:rPr>
      <x:t xml:space="preserve">/</x:t>
    </x:r>
    <x:r>
      <x:rPr>
        <x:b/>
        <x:sz val="1100"/>
        <x:color rgb="FFFFFFFF"/>
        <x:rFont val="Noto Sans CJK SC"/>
        <x:family val="2"/>
      </x:rPr>
      <x:t xml:space="preserve">结论</x:t>
    </x:r>
  </x:si>
  <x:si>
    <x:r>
      <x:rPr>
        <x:b/>
        <x:sz val="1100"/>
        <x:color rgb="FFFFFFFF"/>
        <x:rFont val="Noto Sans CJK SC"/>
        <x:family val="2"/>
      </x:rPr>
      <x:t xml:space="preserve">验证证据</x:t>
    </x:r>
    <x:r>
      <x:rPr>
        <x:b/>
        <x:sz val="1100"/>
        <x:color rgb="FFFFFFFF"/>
        <x:rFont val="Calibri"/>
      </x:rPr>
      <x:t xml:space="preserve">/</x:t>
    </x:r>
    <x:r>
      <x:rPr>
        <x:b/>
        <x:sz val="1100"/>
        <x:color rgb="FFFFFFFF"/>
        <x:rFont val="Noto Sans CJK SC"/>
        <x:family val="2"/>
      </x:rPr>
      <x:t xml:space="preserve">备注</x:t>
    </x:r>
  </x:si>
  <x:si>
    <x:t xml:space="preserve">W1-01</x:t>
  </x:si>
  <x:si>
    <x:t xml:space="preserve">盘点安全方案工作区和治理规则</x:t>
  </x:si>
  <x:si>
    <x:r>
      <x:rPr>
        <x:sz val="1000"/>
        <x:color rgb="FF1F2937"/>
        <x:rFont val="Calibri"/>
      </x:rPr>
      <x:t xml:space="preserve">W0 </x:t>
    </x:r>
    <x:r>
      <x:rPr>
        <x:sz val="1000"/>
        <x:color rgb="FF1F2937"/>
        <x:rFont val="Noto Sans CJK SC"/>
        <x:family val="2"/>
      </x:rPr>
      <x:t xml:space="preserve">最终决议快照</x:t>
    </x:r>
  </x:si>
  <x:si>
    <x:r>
      <x:rPr>
        <x:sz val="1000"/>
        <x:color rgb="FF1F2937"/>
        <x:rFont val="Noto Sans CJK SC"/>
        <x:family val="2"/>
      </x:rPr>
      <x:t xml:space="preserve">确认方案库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实现库</x:t>
    </x:r>
    <x:r>
      <x:rPr>
        <x:sz val="1000"/>
        <x:color rgb="FF1F2937"/>
        <x:rFont val="Calibri"/>
      </x:rPr>
      <x:t xml:space="preserve">/baremetal </x:t>
    </x:r>
    <x:r>
      <x:rPr>
        <x:sz val="1000"/>
        <x:color rgb="FF1F2937"/>
        <x:rFont val="Noto Sans CJK SC"/>
        <x:family val="2"/>
      </x:rPr>
      <x:t xml:space="preserve">边界</x:t>
    </x:r>
  </x:si>
  <x:si>
    <x:t xml:space="preserve">COMPLETED</x:t>
  </x:si>
  <x:si>
    <x:t xml:space="preserve">WORKFLOW_RECORD.md §2-3</x:t>
  </x:si>
  <x:si>
    <x:t xml:space="preserve">W1-02</x:t>
  </x:si>
  <x:si>
    <x:t xml:space="preserve">核查历史测试工作簿</x:t>
  </x:si>
  <x:si>
    <x:r>
      <x:rPr>
        <x:sz val="1000"/>
        <x:color rgb="FF1F2937"/>
        <x:rFont val="Calibri"/>
      </x:rPr>
      <x:t xml:space="preserve">security-test-</x:t>
    </x:r>
    <x:r>
      <x:rPr>
        <x:sz val="1000"/>
        <x:color rgb="FF1F2937"/>
        <x:rFont val="Noto Sans CJK SC"/>
        <x:family val="2"/>
      </x:rPr>
      <x:t xml:space="preserve">规则矩阵</x:t>
    </x:r>
    <x:r>
      <x:rPr>
        <x:sz val="1000"/>
        <x:color rgb="FF1F2937"/>
        <x:rFont val="Calibri"/>
      </x:rPr>
      <x:t xml:space="preserve">.yaml </x:t>
    </x:r>
    <x:r>
      <x:rPr>
        <x:sz val="1000"/>
        <x:color rgb="FF1F2937"/>
        <x:rFont val="Noto Sans CJK SC"/>
        <x:family val="2"/>
      </x:rPr>
      <x:t xml:space="preserve">与 </x:t>
    </x:r>
    <x:r>
      <x:rPr>
        <x:sz val="1000"/>
        <x:color rgb="FF1F2937"/>
        <x:rFont val="Calibri"/>
      </x:rPr>
      <x:t xml:space="preserve">tests/cases</x:t>
    </x:r>
  </x:si>
  <x:si>
    <x:r>
      <x:rPr>
        <x:sz val="1000"/>
        <x:color rgb="FF1F2937"/>
        <x:rFont val="Calibri"/>
      </x:rPr>
      <x:t xml:space="preserve">v0.2 </x:t>
    </x:r>
    <x:r>
      <x:rPr>
        <x:sz val="1000"/>
        <x:color rgb="FF1F2937"/>
        <x:rFont val="Noto Sans CJK SC"/>
        <x:family val="2"/>
      </x:rPr>
      <x:t xml:space="preserve">实体已确认存在；本设计包尚需逐项历史对账</x:t>
    </x:r>
  </x:si>
  <x:si>
    <x:t xml:space="preserve">COMPLETED_WITH_GAP</x:t>
  </x:si>
  <x:si>
    <x:t xml:space="preserve">Q-001</x:t>
  </x:si>
  <x:si>
    <x:t xml:space="preserve">W1-03</x:t>
  </x:si>
  <x:si>
    <x:r>
      <x:rPr>
        <x:sz val="1000"/>
        <x:color rgb="FF1F2937"/>
        <x:rFont val="Noto Sans CJK SC"/>
        <x:family val="2"/>
      </x:rPr>
      <x:t xml:space="preserve">提取 </x:t>
    </x:r>
    <x:r>
      <x:rPr>
        <x:sz val="1000"/>
        <x:color rgb="FF1F2937"/>
        <x:rFont val="Calibri"/>
      </x:rPr>
      <x:t xml:space="preserve">eHSM Mailbox </x:t>
    </x:r>
    <x:r>
      <x:rPr>
        <x:sz val="1000"/>
        <x:color rgb="FF1F2937"/>
        <x:rFont val="Noto Sans CJK SC"/>
        <x:family val="2"/>
      </x:rPr>
      <x:t xml:space="preserve">命令</x:t>
    </x:r>
  </x:si>
  <x:si>
    <x:t xml:space="preserve">BL/FW/Host mb.h</x:t>
  </x:si>
  <x:si>
    <x:r>
      <x:rPr>
        <x:sz val="1000"/>
        <x:color rgb="FF1F2937"/>
        <x:rFont val="Noto Sans CJK SC"/>
        <x:family val="2"/>
      </x:rPr>
      <x:t xml:space="preserve">目标命令 </x:t>
    </x:r>
    <x:r>
      <x:rPr>
        <x:sz val="1000"/>
        <x:color rgb="FF1F2937"/>
        <x:rFont val="Calibri"/>
      </x:rPr>
      <x:t xml:space="preserve">52</x:t>
    </x:r>
    <x:r>
      <x:rPr>
        <x:sz val="1000"/>
        <x:color rgb="FF1F2937"/>
        <x:rFont val="Noto Sans CJK SC"/>
        <x:family val="2"/>
      </x:rPr>
      <x:t xml:space="preserve">；</x:t>
    </x:r>
    <x:r>
      <x:rPr>
        <x:sz val="1000"/>
        <x:color rgb="FF1F2937"/>
        <x:rFont val="Calibri"/>
      </x:rPr>
      <x:t xml:space="preserve">Host-only 18</x:t>
    </x:r>
  </x:si>
  <x:si>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命令清单</x:t>
    </x:r>
  </x:si>
  <x:si>
    <x:t xml:space="preserve">W1-04</x:t>
  </x:si>
  <x:si>
    <x:t xml:space="preserve">派生每命令固定三类用例</x:t>
  </x:si>
  <x:si>
    <x:t xml:space="preserve">目标命令清单</x:t>
  </x:si>
  <x:si>
    <x:r>
      <x:rPr>
        <x:sz val="1000"/>
        <x:color rgb="FF1F2937"/>
        <x:rFont val="Noto Sans CJK SC"/>
        <x:family val="2"/>
      </x:rPr>
      <x:t xml:space="preserve">形成</x:t>
    </x:r>
    <x:r>
      <x:rPr>
        <x:sz val="1000"/>
        <x:color rgb="FF1F2937"/>
        <x:rFont val="Calibri"/>
      </x:rPr>
      <x:t xml:space="preserve">156</x:t>
    </x:r>
    <x:r>
      <x:rPr>
        <x:sz val="1000"/>
        <x:color rgb="FF1F2937"/>
        <x:rFont val="Noto Sans CJK SC"/>
        <x:family val="2"/>
      </x:rPr>
      <x:t xml:space="preserve">条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设计用例；后续因重复和实现成本被</x:t>
    </x:r>
    <x:r>
      <x:rPr>
        <x:sz val="1000"/>
        <x:color rgb="FF1F2937"/>
        <x:rFont val="Calibri"/>
      </x:rPr>
      <x:t xml:space="preserve">v0.3.1</x:t>
    </x:r>
    <x:r>
      <x:rPr>
        <x:sz val="1000"/>
        <x:color rgb="FF1F2937"/>
        <x:rFont val="Noto Sans CJK SC"/>
        <x:family val="2"/>
      </x:rPr>
      <x:t xml:space="preserve">取代</x:t>
    </x:r>
  </x:si>
  <x:si>
    <x:t xml:space="preserve">SUPERSEDED</x:t>
  </x:si>
  <x:si>
    <x:r>
      <x:rPr>
        <x:sz val="1000"/>
        <x:color rgb="FF1F2937"/>
        <x:rFont val="Calibri"/>
      </x:rPr>
      <x:t xml:space="preserve">v0.3</x:t>
    </x:r>
    <x:r>
      <x:rPr>
        <x:sz val="1000"/>
        <x:color rgb="FF1F2937"/>
        <x:rFont val="Noto Sans CJK SC"/>
        <x:family val="2"/>
      </x:rPr>
      <x:t xml:space="preserve">保留为历史版本</x:t>
    </x:r>
  </x:si>
  <x:si>
    <x:t xml:space="preserve">W1-05</x:t>
  </x:si>
  <x:si>
    <x:r>
      <x:rPr>
        <x:sz val="1000"/>
        <x:color rgb="FF1F2937"/>
        <x:rFont val="Noto Sans CJK SC"/>
        <x:family val="2"/>
      </x:rPr>
      <x:t xml:space="preserve">整理 </x:t>
    </x:r>
    <x:r>
      <x:rPr>
        <x:sz val="1000"/>
        <x:color rgb="FF1F2937"/>
        <x:rFont val="Calibri"/>
      </x:rPr>
      <x:t xml:space="preserve">SoC </x:t>
    </x:r>
    <x:r>
      <x:rPr>
        <x:sz val="1000"/>
        <x:color rgb="FF1F2937"/>
        <x:rFont val="Noto Sans CJK SC"/>
        <x:family val="2"/>
      </x:rPr>
      <x:t xml:space="preserve">安全集成用例</x:t>
    </x:r>
  </x:si>
  <x:si>
    <x:r>
      <x:rPr>
        <x:sz val="1000"/>
        <x:color rgb="FF1F2937"/>
        <x:rFont val="Noto Sans CJK SC"/>
        <x:family val="2"/>
      </x:rPr>
      <x:t xml:space="preserve">系统方案</x:t>
    </x:r>
    <x:r>
      <x:rPr>
        <x:sz val="1000"/>
        <x:color rgb="FF1F2937"/>
        <x:rFont val="Calibri"/>
      </x:rPr>
      <x:t xml:space="preserve">/eHSM TRM</x:t>
    </x:r>
  </x:si>
  <x:si>
    <x:r>
      <x:rPr>
        <x:sz val="1000"/>
        <x:color rgb="FF1F2937"/>
        <x:rFont val="Noto Sans CJK SC"/>
        <x:family val="2"/>
      </x:rPr>
      <x:t xml:space="preserve">原</x:t>
    </x:r>
    <x:r>
      <x:rPr>
        <x:sz val="1000"/>
        <x:color rgb="FF1F2937"/>
        <x:rFont val="Calibri"/>
      </x:rPr>
      <x:t xml:space="preserve">67</x:t>
    </x:r>
    <x:r>
      <x:rPr>
        <x:sz val="1000"/>
        <x:color rgb="FF1F2937"/>
        <x:rFont val="Noto Sans CJK SC"/>
        <x:family val="2"/>
      </x:rPr>
      <x:t xml:space="preserve">条细分</x:t>
    </x:r>
    <x:r>
      <x:rPr>
        <x:sz val="1000"/>
        <x:color rgb="FF1F2937"/>
        <x:rFont val="Calibri"/>
      </x:rPr>
      <x:t xml:space="preserve">SoC</x:t>
    </x:r>
    <x:r>
      <x:rPr>
        <x:sz val="1000"/>
        <x:color rgb="FF1F2937"/>
        <x:rFont val="Noto Sans CJK SC"/>
        <x:family val="2"/>
      </x:rPr>
      <x:t xml:space="preserve">用例；由</x:t>
    </x:r>
    <x:r>
      <x:rPr>
        <x:sz val="1000"/>
        <x:color rgb="FF1F2937"/>
        <x:rFont val="Calibri"/>
      </x:rPr>
      <x:t xml:space="preserve">v0.3.2</x:t>
    </x:r>
    <x:r>
      <x:rPr>
        <x:sz val="1000"/>
        <x:color rgb="FF1F2937"/>
        <x:rFont val="Noto Sans CJK SC"/>
        <x:family val="2"/>
      </x:rPr>
      <x:t xml:space="preserve">按软件可判定性与硬件验证边界重构</x:t>
    </x:r>
  </x:si>
  <x:si>
    <x:r>
      <x:rPr>
        <x:sz val="1000"/>
        <x:color rgb="FF1F2937"/>
        <x:rFont val="Calibri"/>
      </x:rPr>
      <x:t xml:space="preserve">v0.3/v0.3.1</x:t>
    </x:r>
    <x:r>
      <x:rPr>
        <x:sz val="1000"/>
        <x:color rgb="FF1F2937"/>
        <x:rFont val="Noto Sans CJK SC"/>
        <x:family val="2"/>
      </x:rPr>
      <x:t xml:space="preserve">历史版本</x:t>
    </x:r>
  </x:si>
  <x:si>
    <x:t xml:space="preserve">W1-06</x:t>
  </x:si>
  <x:si>
    <x:r>
      <x:rPr>
        <x:sz val="1000"/>
        <x:color rgb="FF1F2937"/>
        <x:rFont val="Noto Sans CJK SC"/>
        <x:family val="2"/>
      </x:rPr>
      <x:t xml:space="preserve">形成初版</x:t>
    </x:r>
    <x:r>
      <x:rPr>
        <x:sz val="1000"/>
        <x:color rgb="FF1F2937"/>
        <x:rFont val="Calibri"/>
      </x:rPr>
      <x:t xml:space="preserve">Codex</x:t>
    </x:r>
    <x:r>
      <x:rPr>
        <x:sz val="1000"/>
        <x:color rgb="FF1F2937"/>
        <x:rFont val="Noto Sans CJK SC"/>
        <x:family val="2"/>
      </x:rPr>
      <x:t xml:space="preserve">移植指导</x:t>
    </x:r>
  </x:si>
  <x:si>
    <x:r>
      <x:rPr>
        <x:sz val="1000"/>
        <x:color rgb="FF1F2937"/>
        <x:rFont val="Calibri"/>
      </x:rPr>
      <x:t xml:space="preserve">v0.3</x:t>
    </x:r>
    <x:r>
      <x:rPr>
        <x:sz val="1000"/>
        <x:color rgb="FF1F2937"/>
        <x:rFont val="Noto Sans CJK SC"/>
        <x:family val="2"/>
      </x:rPr>
      <x:t xml:space="preserve">全部规划用例</x:t>
    </x:r>
  </x:si>
  <x:si>
    <x:r>
      <x:rPr>
        <x:sz val="1000"/>
        <x:color rgb="FF1F2937"/>
        <x:rFont val="Noto Sans CJK SC"/>
        <x:family val="2"/>
      </x:rPr>
      <x:t xml:space="preserve">按固定三类模型形成指导；由</x:t>
    </x:r>
    <x:r>
      <x:rPr>
        <x:sz val="1000"/>
        <x:color rgb="FF1F2937"/>
        <x:rFont val="Calibri"/>
      </x:rPr>
      <x:t xml:space="preserve">v0.3.1</x:t>
    </x:r>
    <x:r>
      <x:rPr>
        <x:sz val="1000"/>
        <x:color rgb="FF1F2937"/>
        <x:rFont val="Noto Sans CJK SC"/>
        <x:family val="2"/>
      </x:rPr>
      <x:t xml:space="preserve">更新</x:t>
    </x:r>
  </x:si>
  <x:si>
    <x:r>
      <x:rPr>
        <x:sz val="1000"/>
        <x:color rgb="FF1F2937"/>
        <x:rFont val="Calibri"/>
      </x:rPr>
      <x:t xml:space="preserve">v0.3</x:t>
    </x:r>
    <x:r>
      <x:rPr>
        <x:sz val="1000"/>
        <x:color rgb="FF1F2937"/>
        <x:rFont val="Noto Sans CJK SC"/>
        <x:family val="2"/>
      </x:rPr>
      <x:t xml:space="preserve">历史记录</x:t>
    </x:r>
  </x:si>
  <x:si>
    <x:t xml:space="preserve">W1-07</x:t>
  </x:si>
  <x:si>
    <x:r>
      <x:rPr>
        <x:sz val="1000"/>
        <x:color rgb="FF1F2937"/>
        <x:rFont val="Noto Sans CJK SC"/>
        <x:family val="2"/>
      </x:rPr>
      <x:t xml:space="preserve">可执行测试移植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执行</x:t>
    </x:r>
  </x:si>
  <x:si>
    <x:t xml:space="preserve">用户明确不在本任务实施</x:t>
  </x:si>
  <x:si>
    <x:r>
      <x:rPr>
        <x:sz val="1000"/>
        <x:color rgb="FF1F2937"/>
        <x:rFont val="Noto Sans CJK SC"/>
        <x:family val="2"/>
      </x:rPr>
      <x:t xml:space="preserve">留给后续 </x:t>
    </x:r>
    <x:r>
      <x:rPr>
        <x:sz val="1000"/>
        <x:color rgb="FF1F2937"/>
        <x:rFont val="Calibri"/>
      </x:rPr>
      <x:t xml:space="preserve">Codex</x:t>
    </x:r>
    <x:r>
      <x:rPr>
        <x:sz val="1000"/>
        <x:color rgb="FF1F2937"/>
        <x:rFont val="Noto Sans CJK SC"/>
        <x:family val="2"/>
      </x:rPr>
      <x:t xml:space="preserve">；当前不产生 </x:t>
    </x:r>
    <x:r>
      <x:rPr>
        <x:sz val="1000"/>
        <x:color rgb="FF1F2937"/>
        <x:rFont val="Calibri"/>
      </x:rPr>
      <x:t xml:space="preserve">PASS/FAIL</x:t>
    </x:r>
  </x:si>
  <x:si>
    <x:t xml:space="preserve">OUT_OF_SCOPE</x:t>
  </x:si>
  <x:si>
    <x:t xml:space="preserve">按用例文档和表格执行</x:t>
  </x:si>
  <x:si>
    <x:t xml:space="preserve">W1-08</x:t>
  </x:si>
  <x:si>
    <x:t xml:space="preserve">按风险和共享路径重构用例</x:t>
  </x:si>
  <x:si>
    <x:t xml:space="preserve">用户对流片前复杂度的第一轮裁决</x:t>
  </x:si>
  <x:si>
    <x:r>
      <x:rPr>
        <x:sz val="1000"/>
        <x:color rgb="FF1F2937"/>
        <x:rFont val="Noto Sans CJK SC"/>
        <x:family val="2"/>
      </x:rPr>
      <x:t xml:space="preserve">形成</x:t>
    </x:r>
    <x:r>
      <x:rPr>
        <x:sz val="1000"/>
        <x:color rgb="FF1F2937"/>
        <x:rFont val="Calibri"/>
      </x:rPr>
      <x:t xml:space="preserve">v0.3.1</x:t>
    </x:r>
    <x:r>
      <x:rPr>
        <x:sz val="1000"/>
        <x:color rgb="FF1F2937"/>
        <x:rFont val="Noto Sans CJK SC"/>
        <x:family val="2"/>
      </x:rPr>
      <x:t xml:space="preserve">：</x:t>
    </x:r>
    <x:r>
      <x:rPr>
        <x:sz val="1000"/>
        <x:color rgb="FF1F2937"/>
        <x:rFont val="Calibri"/>
      </x:rPr>
      <x:t xml:space="preserve">82</x:t>
    </x:r>
    <x:r>
      <x:rPr>
        <x:sz val="1000"/>
        <x:color rgb="FF1F2937"/>
        <x:rFont val="Noto Sans CJK SC"/>
        <x:family val="2"/>
      </x:rPr>
      <x:t xml:space="preserve">条</x:t>
    </x:r>
    <x:r>
      <x:rPr>
        <x:sz val="1000"/>
        <x:color rgb="FF1F2937"/>
        <x:rFont val="Calibri"/>
      </x:rPr>
      <x:t xml:space="preserve">Mailbox + 67</x:t>
    </x:r>
    <x:r>
      <x:rPr>
        <x:sz val="1000"/>
        <x:color rgb="FF1F2937"/>
        <x:rFont val="Noto Sans CJK SC"/>
        <x:family val="2"/>
      </x:rPr>
      <x:t xml:space="preserve">条</x:t>
    </x:r>
    <x:r>
      <x:rPr>
        <x:sz val="1000"/>
        <x:color rgb="FF1F2937"/>
        <x:rFont val="Calibri"/>
      </x:rPr>
      <x:t xml:space="preserve">SoC</x:t>
    </x:r>
    <x:r>
      <x:rPr>
        <x:sz val="1000"/>
        <x:color rgb="FF1F2937"/>
        <x:rFont val="Noto Sans CJK SC"/>
        <x:family val="2"/>
      </x:rPr>
      <x:t xml:space="preserve">；后续仍被认为混入</x:t>
    </x:r>
    <x:r>
      <x:rPr>
        <x:sz val="1000"/>
        <x:color rgb="FF1F2937"/>
        <x:rFont val="Calibri"/>
      </x:rPr>
      <x:t xml:space="preserve">Host</x:t>
    </x:r>
    <x:r>
      <x:rPr>
        <x:sz val="1000"/>
        <x:color rgb="FF1F2937"/>
        <x:rFont val="Noto Sans CJK SC"/>
        <x:family val="2"/>
      </x:rPr>
      <x:t xml:space="preserve">软件测试且</x:t>
    </x:r>
    <x:r>
      <x:rPr>
        <x:sz val="1000"/>
        <x:color rgb="FF1F2937"/>
        <x:rFont val="Calibri"/>
      </x:rPr>
      <x:t xml:space="preserve">SoC</x:t>
    </x:r>
    <x:r>
      <x:rPr>
        <x:sz val="1000"/>
        <x:color rgb="FF1F2937"/>
        <x:rFont val="Noto Sans CJK SC"/>
        <x:family val="2"/>
      </x:rPr>
      <x:t xml:space="preserve">过细</x:t>
    </x:r>
  </x:si>
  <x:si>
    <x:r>
      <x:rPr>
        <x:sz val="1000"/>
        <x:color rgb="FF1F2937"/>
        <x:rFont val="Calibri"/>
      </x:rPr>
      <x:t xml:space="preserve">v0.3.1</x:t>
    </x:r>
    <x:r>
      <x:rPr>
        <x:sz val="1000"/>
        <x:color rgb="FF1F2937"/>
        <x:rFont val="Noto Sans CJK SC"/>
        <x:family val="2"/>
      </x:rPr>
      <x:t xml:space="preserve">保留为历史版本</x:t>
    </x:r>
  </x:si>
  <x:si>
    <x:t xml:space="preserve">W1-09</x:t>
  </x:si>
  <x:si>
    <x:t xml:space="preserve">按流片前硬件验证目标再次收敛</x:t>
  </x:si>
  <x:si>
    <x:r>
      <x:rPr>
        <x:sz val="1000"/>
        <x:color rgb="FF1F2937"/>
        <x:rFont val="Noto Sans CJK SC"/>
        <x:family val="2"/>
      </x:rPr>
      <x:t xml:space="preserve">用户</x:t>
    </x:r>
    <x:r>
      <x:rPr>
        <x:sz val="1000"/>
        <x:color rgb="FF1F2937"/>
        <x:rFont val="Calibri"/>
      </x:rPr>
      <x:t xml:space="preserve">8</x:t>
    </x:r>
    <x:r>
      <x:rPr>
        <x:sz val="1000"/>
        <x:color rgb="FF1F2937"/>
        <x:rFont val="Noto Sans CJK SC"/>
        <x:family val="2"/>
      </x:rPr>
      <x:t xml:space="preserve">点复审：删除</x:t>
    </x:r>
    <x:r>
      <x:rPr>
        <x:sz val="1000"/>
        <x:color rgb="FF1F2937"/>
        <x:rFont val="Calibri"/>
      </x:rPr>
      <x:t xml:space="preserve">Host</x:t>
    </x:r>
    <x:r>
      <x:rPr>
        <x:sz val="1000"/>
        <x:color rgb="FF1F2937"/>
        <x:rFont val="Noto Sans CJK SC"/>
        <x:family val="2"/>
      </x:rPr>
      <x:t xml:space="preserve">软件负向、消除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重复、</x:t>
    </x:r>
    <x:r>
      <x:rPr>
        <x:sz val="1000"/>
        <x:color rgb="FF1F2937"/>
        <x:rFont val="Calibri"/>
      </x:rPr>
      <x:t xml:space="preserve">Firewall</x:t>
    </x:r>
    <x:r>
      <x:rPr>
        <x:sz val="1000"/>
        <x:color rgb="FF1F2937"/>
        <x:rFont val="Noto Sans CJK SC"/>
        <x:family val="2"/>
      </x:rPr>
      <x:t xml:space="preserve">两类、</x:t>
    </x:r>
    <x:r>
      <x:rPr>
        <x:sz val="1000"/>
        <x:color rgb="FF1F2937"/>
        <x:rFont val="Calibri"/>
      </x:rPr>
      <x:t xml:space="preserve">HSM/</x:t>
    </x:r>
    <x:r>
      <x:rPr>
        <x:sz val="1000"/>
        <x:color rgb="FF1F2937"/>
        <x:rFont val="Noto Sans CJK SC"/>
        <x:family val="2"/>
      </x:rPr>
      <x:t xml:space="preserve">复位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中断转硬件验证、禁止固件定制</x:t>
    </x:r>
  </x:si>
  <x:si>
    <x:r>
      <x:rPr>
        <x:sz val="1000"/>
        <x:color rgb="FF1F2937"/>
        <x:rFont val="Noto Sans CJK SC"/>
        <x:family val="2"/>
      </x:rPr>
      <x:t xml:space="preserve">形成</x:t>
    </x:r>
    <x:r>
      <x:rPr>
        <x:sz val="1000"/>
        <x:color rgb="FF1F2937"/>
        <x:rFont val="Calibri"/>
      </x:rPr>
      <x:t xml:space="preserve">v0.3.2</x:t>
    </x:r>
    <x:r>
      <x:rPr>
        <x:sz val="1000"/>
        <x:color rgb="FF1F2937"/>
        <x:rFont val="Noto Sans CJK SC"/>
        <x:family val="2"/>
      </x:rPr>
      <x:t xml:space="preserve">：</x:t>
    </x:r>
    <x:r>
      <x:rPr>
        <x:sz val="1000"/>
        <x:color rgb="FF1F2937"/>
        <x:rFont val="Calibri"/>
      </x:rPr>
      <x:t xml:space="preserve">Mailbox BASIC 52 + SoC</x:t>
    </x:r>
    <x:r>
      <x:rPr>
        <x:sz val="1000"/>
        <x:color rgb="FF1F2937"/>
        <x:rFont val="Noto Sans CJK SC"/>
        <x:family val="2"/>
      </x:rPr>
      <x:t xml:space="preserve">软件</x:t>
    </x:r>
    <x:r>
      <x:rPr>
        <x:sz val="1000"/>
        <x:color rgb="FF1F2937"/>
        <x:rFont val="Calibri"/>
      </x:rPr>
      <x:t xml:space="preserve">3 = Codex</x:t>
    </x:r>
    <x:r>
      <x:rPr>
        <x:sz val="1000"/>
        <x:color rgb="FF1F2937"/>
        <x:rFont val="Noto Sans CJK SC"/>
        <x:family val="2"/>
      </x:rPr>
      <x:t xml:space="preserve">可移植</x:t>
    </x:r>
    <x:r>
      <x:rPr>
        <x:sz val="1000"/>
        <x:color rgb="FF1F2937"/>
        <x:rFont val="Calibri"/>
      </x:rPr>
      <x:t xml:space="preserve">55</x:t>
    </x:r>
    <x:r>
      <x:rPr>
        <x:sz val="1000"/>
        <x:color rgb="FF1F2937"/>
        <x:rFont val="Noto Sans CJK SC"/>
        <x:family val="2"/>
      </x:rPr>
      <x:t xml:space="preserve">；另列硬件验证需求</x:t>
    </x:r>
    <x:r>
      <x:rPr>
        <x:sz val="1000"/>
        <x:color rgb="FF1F2937"/>
        <x:rFont val="Calibri"/>
      </x:rPr>
      <x:t xml:space="preserve">8</x:t>
    </x:r>
    <x:r>
      <x:rPr>
        <x:sz val="1000"/>
        <x:color rgb="FF1F2937"/>
        <x:rFont val="Noto Sans CJK SC"/>
        <x:family val="2"/>
      </x:rPr>
      <x:t xml:space="preserve">项；后续因错误删除</x:t>
    </x:r>
    <x:r>
      <x:rPr>
        <x:sz val="1000"/>
        <x:color rgb="FF1F2937"/>
        <x:rFont val="Calibri"/>
      </x:rPr>
      <x:t xml:space="preserve">eHSM</x:t>
    </x:r>
    <x:r>
      <x:rPr>
        <x:sz val="1000"/>
        <x:color rgb="FF1F2937"/>
        <x:rFont val="Noto Sans CJK SC"/>
        <x:family val="2"/>
      </x:rPr>
      <x:t xml:space="preserve">负向而被修订</x:t>
    </x:r>
  </x:si>
  <x:si>
    <x:r>
      <x:rPr>
        <x:sz val="1000"/>
        <x:color rgb="FF1F2937"/>
        <x:rFont val="Calibri"/>
      </x:rPr>
      <x:t xml:space="preserve">v0.3.2</x:t>
    </x:r>
    <x:r>
      <x:rPr>
        <x:sz val="1000"/>
        <x:color rgb="FF1F2937"/>
        <x:rFont val="Noto Sans CJK SC"/>
        <x:family val="2"/>
      </x:rPr>
      <x:t xml:space="preserve">保留为历史版本</x:t>
    </x:r>
  </x:si>
  <x:si>
    <x:t xml:space="preserve">W1-10</x:t>
  </x:si>
  <x:si>
    <x:r>
      <x:rPr>
        <x:sz val="1000"/>
        <x:color rgb="FF1F2937"/>
        <x:rFont val="Noto Sans CJK SC"/>
        <x:family val="2"/>
      </x:rPr>
      <x:t xml:space="preserve">纠正</x:t>
    </x:r>
    <x:r>
      <x:rPr>
        <x:sz val="1000"/>
        <x:color rgb="FF1F2937"/>
        <x:rFont val="Calibri"/>
      </x:rPr>
      <x:t xml:space="preserve">Host</x:t>
    </x:r>
    <x:r>
      <x:rPr>
        <x:sz val="1000"/>
        <x:color rgb="FF1F2937"/>
        <x:rFont val="Noto Sans CJK SC"/>
        <x:family val="2"/>
      </x:rPr>
      <x:t xml:space="preserve">与</x:t>
    </x:r>
    <x:r>
      <x:rPr>
        <x:sz val="1000"/>
        <x:color rgb="FF1F2937"/>
        <x:rFont val="Calibri"/>
      </x:rPr>
      <x:t xml:space="preserve">eHSM</x:t>
    </x:r>
    <x:r>
      <x:rPr>
        <x:sz val="1000"/>
        <x:color rgb="FF1F2937"/>
        <x:rFont val="Noto Sans CJK SC"/>
        <x:family val="2"/>
      </x:rPr>
      <x:t xml:space="preserve">测试对象边界</x:t>
    </x:r>
  </x:si>
  <x:si>
    <x:r>
      <x:rPr>
        <x:sz val="1000"/>
        <x:color rgb="FF1F2937"/>
        <x:rFont val="Noto Sans CJK SC"/>
        <x:family val="2"/>
      </x:rPr>
      <x:t xml:space="preserve">用户明确：不测</x:t>
    </x:r>
    <x:r>
      <x:rPr>
        <x:sz val="1000"/>
        <x:color rgb="FF1F2937"/>
        <x:rFont val="Calibri"/>
      </x:rPr>
      <x:t xml:space="preserve">Host</x:t>
    </x:r>
    <x:r>
      <x:rPr>
        <x:sz val="1000"/>
        <x:color rgb="FF1F2937"/>
        <x:rFont val="Noto Sans CJK SC"/>
        <x:family val="2"/>
      </x:rPr>
      <x:t xml:space="preserve">软件</x:t>
    </x:r>
    <x:r>
      <x:rPr>
        <x:sz val="1000"/>
        <x:color rgb="FF1F2937"/>
        <x:rFont val="Calibri"/>
      </x:rPr>
      <x:t xml:space="preserve">bug</x:t>
    </x:r>
    <x:r>
      <x:rPr>
        <x:sz val="1000"/>
        <x:color rgb="FF1F2937"/>
        <x:rFont val="Noto Sans CJK SC"/>
        <x:family val="2"/>
      </x:rPr>
      <x:t xml:space="preserve">，但</x:t>
    </x:r>
    <x:r>
      <x:rPr>
        <x:sz val="1000"/>
        <x:color rgb="FF1F2937"/>
        <x:rFont val="Calibri"/>
      </x:rPr>
      <x:t xml:space="preserve">eHSM</x:t>
    </x:r>
    <x:r>
      <x:rPr>
        <x:sz val="1000"/>
        <x:color rgb="FF1F2937"/>
        <x:rFont val="Noto Sans CJK SC"/>
        <x:family val="2"/>
      </x:rPr>
      <x:t xml:space="preserve">软件和硬件都是</x:t>
    </x:r>
    <x:r>
      <x:rPr>
        <x:sz val="1000"/>
        <x:color rgb="FF1F2937"/>
        <x:rFont val="Calibri"/>
      </x:rPr>
      <x:t xml:space="preserve">DUT</x:t>
    </x:r>
    <x:r>
      <x:rPr>
        <x:sz val="1000"/>
        <x:color rgb="FF1F2937"/>
        <x:rFont val="Noto Sans CJK SC"/>
        <x:family val="2"/>
      </x:rPr>
      <x:t xml:space="preserve">，错误签名等拒绝路径必须保留</x:t>
    </x:r>
  </x:si>
  <x:si>
    <x:r>
      <x:rPr>
        <x:sz val="1000"/>
        <x:color rgb="FF1F2937"/>
        <x:rFont val="Noto Sans CJK SC"/>
        <x:family val="2"/>
      </x:rPr>
      <x:t xml:space="preserve">形成</x:t>
    </x:r>
    <x:r>
      <x:rPr>
        <x:sz val="1000"/>
        <x:color rgb="FF1F2937"/>
        <x:rFont val="Calibri"/>
      </x:rPr>
      <x:t xml:space="preserve">v0.3.3</x:t>
    </x:r>
    <x:r>
      <x:rPr>
        <x:sz val="1000"/>
        <x:color rgb="FF1F2937"/>
        <x:rFont val="Noto Sans CJK SC"/>
        <x:family val="2"/>
      </x:rPr>
      <x:t xml:space="preserve">：</x:t>
    </x:r>
    <x:r>
      <x:rPr>
        <x:sz val="1000"/>
        <x:color rgb="FF1F2937"/>
        <x:rFont val="Calibri"/>
      </x:rPr>
      <x:t xml:space="preserve">Mailbox BASIC 52 + eHSM</x:t>
    </x:r>
    <x:r>
      <x:rPr>
        <x:sz val="1000"/>
        <x:color rgb="FF1F2937"/>
        <x:rFont val="Noto Sans CJK SC"/>
        <x:family val="2"/>
      </x:rPr>
      <x:t xml:space="preserve">负向</x:t>
    </x:r>
    <x:r>
      <x:rPr>
        <x:sz val="1000"/>
        <x:color rgb="FF1F2937"/>
        <x:rFont val="Calibri"/>
      </x:rPr>
      <x:t xml:space="preserve">14 + SoC</x:t>
    </x:r>
    <x:r>
      <x:rPr>
        <x:sz val="1000"/>
        <x:color rgb="FF1F2937"/>
        <x:rFont val="Noto Sans CJK SC"/>
        <x:family val="2"/>
      </x:rPr>
      <x:t xml:space="preserve">软件</x:t>
    </x:r>
    <x:r>
      <x:rPr>
        <x:sz val="1000"/>
        <x:color rgb="FF1F2937"/>
        <x:rFont val="Calibri"/>
      </x:rPr>
      <x:t xml:space="preserve">3 = Codex</x:t>
    </x:r>
    <x:r>
      <x:rPr>
        <x:sz val="1000"/>
        <x:color rgb="FF1F2937"/>
        <x:rFont val="Noto Sans CJK SC"/>
        <x:family val="2"/>
      </x:rPr>
      <x:t xml:space="preserve">可移植</x:t>
    </x:r>
    <x:r>
      <x:rPr>
        <x:sz val="1000"/>
        <x:color rgb="FF1F2937"/>
        <x:rFont val="Calibri"/>
      </x:rPr>
      <x:t xml:space="preserve">69</x:t>
    </x:r>
    <x:r>
      <x:rPr>
        <x:sz val="1000"/>
        <x:color rgb="FF1F2937"/>
        <x:rFont val="Noto Sans CJK SC"/>
        <x:family val="2"/>
      </x:rPr>
      <x:t xml:space="preserve">；硬件验证需求</x:t>
    </x:r>
    <x:r>
      <x:rPr>
        <x:sz val="1000"/>
        <x:color rgb="FF1F2937"/>
        <x:rFont val="Calibri"/>
      </x:rPr>
      <x:t xml:space="preserve">8</x:t>
    </x:r>
    <x:r>
      <x:rPr>
        <x:sz val="1000"/>
        <x:color rgb="FF1F2937"/>
        <x:rFont val="Noto Sans CJK SC"/>
        <x:family val="2"/>
      </x:rPr>
      <x:t xml:space="preserve">项</x:t>
    </x:r>
  </x:si>
  <x:si>
    <x:r>
      <x:rPr>
        <x:sz val="1000"/>
        <x:color rgb="FF1F2937"/>
        <x:rFont val="Calibri"/>
      </x:rPr>
      <x:t xml:space="preserve">v0.3.3</x:t>
    </x:r>
    <x:r>
      <x:rPr>
        <x:sz val="1000"/>
        <x:color rgb="FF1F2937"/>
        <x:rFont val="Noto Sans CJK SC"/>
        <x:family val="2"/>
      </x:rPr>
      <x:t xml:space="preserve">；</x:t>
    </x:r>
    <x:r>
      <x:rPr>
        <x:sz val="1000"/>
        <x:color rgb="FF1F2937"/>
        <x:rFont val="Calibri"/>
      </x:rPr>
      <x:t xml:space="preserve">eHSM</x:t>
    </x:r>
    <x:r>
      <x:rPr>
        <x:sz val="1000"/>
        <x:color rgb="FF1F2937"/>
        <x:rFont val="Noto Sans CJK SC"/>
        <x:family val="2"/>
      </x:rPr>
      <x:t xml:space="preserve">提交证据；</x:t>
    </x:r>
    <x:r>
      <x:rPr>
        <x:sz val="1000"/>
        <x:color rgb="FF1F2937"/>
        <x:rFont val="Calibri"/>
      </x:rPr>
      <x:t xml:space="preserve">Host</x:t>
    </x:r>
    <x:r>
      <x:rPr>
        <x:sz val="1000"/>
        <x:color rgb="FF1F2937"/>
        <x:rFont val="Noto Sans CJK SC"/>
        <x:family val="2"/>
      </x:rPr>
      <x:t xml:space="preserve">本地负向</x:t>
    </x:r>
    <x:r>
      <x:rPr>
        <x:sz val="1000"/>
        <x:color rgb="FF1F2937"/>
        <x:rFont val="Calibri"/>
      </x:rPr>
      <x:t xml:space="preserve">0</x:t>
    </x:r>
  </x:si>
  <x:si>
    <x:t xml:space="preserve">W1-11</x:t>
  </x:si>
  <x:si>
    <x:t xml:space="preserve">复审硬件需求的软件可构造部分</x:t>
  </x:si>
  <x:si>
    <x:r>
      <x:rPr>
        <x:sz val="1000"/>
        <x:color rgb="FF1F2937"/>
        <x:rFont val="Noto Sans CJK SC"/>
        <x:family val="2"/>
      </x:rPr>
      <x:t xml:space="preserve">用户要求：凡可通过软件配置、现有命令、寄存器、复位或</x:t>
    </x:r>
    <x:r>
      <x:rPr>
        <x:sz val="1000"/>
        <x:color rgb="FF1F2937"/>
        <x:rFont val="Calibri"/>
      </x:rPr>
      <x:t xml:space="preserve">IRQ</x:t>
    </x:r>
    <x:r>
      <x:rPr>
        <x:sz val="1000"/>
        <x:color rgb="FF1F2937"/>
        <x:rFont val="Noto Sans CJK SC"/>
        <x:family val="2"/>
      </x:rPr>
      <x:t xml:space="preserve">形成闭环的功能均建立软件用例</x:t>
    </x:r>
  </x:si>
  <x:si>
    <x:r>
      <x:rPr>
        <x:sz val="1000"/>
        <x:color rgb="FF1F2937"/>
        <x:rFont val="Noto Sans CJK SC"/>
        <x:family val="2"/>
      </x:rPr>
      <x:t xml:space="preserve">形成</x:t>
    </x:r>
    <x:r>
      <x:rPr>
        <x:sz val="1000"/>
        <x:color rgb="FF1F2937"/>
        <x:rFont val="Calibri"/>
      </x:rPr>
      <x:t xml:space="preserve">v0.3.4</x:t>
    </x:r>
    <x:r>
      <x:rPr>
        <x:sz val="1000"/>
        <x:color rgb="FF1F2937"/>
        <x:rFont val="Noto Sans CJK SC"/>
        <x:family val="2"/>
      </x:rPr>
      <x:t xml:space="preserve">：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软件</x:t>
    </x:r>
    <x:r>
      <x:rPr>
        <x:sz val="1000"/>
        <x:color rgb="FF1F2937"/>
        <x:rFont val="Calibri"/>
      </x:rPr>
      <x:t xml:space="preserve">66 + SoC</x:t>
    </x:r>
    <x:r>
      <x:rPr>
        <x:sz val="1000"/>
        <x:color rgb="FF1F2937"/>
        <x:rFont val="Noto Sans CJK SC"/>
        <x:family val="2"/>
      </x:rPr>
      <x:t xml:space="preserve">软件 </x:t>
    </x:r>
    <x:r>
      <x:rPr>
        <x:sz val="1000"/>
        <x:color rgb="FF1F2937"/>
        <x:rFont val="Calibri"/>
      </x:rPr>
      <x:t xml:space="preserve">8 = Codex</x:t>
    </x:r>
    <x:r>
      <x:rPr>
        <x:sz val="1000"/>
        <x:color rgb="FF1F2937"/>
        <x:rFont val="Noto Sans CJK SC"/>
        <x:family val="2"/>
      </x:rPr>
      <x:t xml:space="preserve">可移植 </x:t>
    </x:r>
    <x:r>
      <x:rPr>
        <x:sz val="1000"/>
        <x:color rgb="FF1F2937"/>
        <x:rFont val="Calibri"/>
      </x:rPr>
      <x:t xml:space="preserve">74</x:t>
    </x:r>
    <x:r>
      <x:rPr>
        <x:sz val="1000"/>
        <x:color rgb="FF1F2937"/>
        <x:rFont val="Noto Sans CJK SC"/>
        <x:family val="2"/>
      </x:rPr>
      <x:t xml:space="preserve">；</x:t>
    </x:r>
    <x:r>
      <x:rPr>
        <x:sz val="1000"/>
        <x:color rgb="FF1F2937"/>
        <x:rFont val="Calibri"/>
      </x:rPr>
      <x:t xml:space="preserve">8</x:t>
    </x:r>
    <x:r>
      <x:rPr>
        <x:sz val="1000"/>
        <x:color rgb="FF1F2937"/>
        <x:rFont val="Noto Sans CJK SC"/>
        <x:family val="2"/>
      </x:rPr>
      <x:t xml:space="preserve">项硬件需求改为关联软件用例的内部补充验证</x:t>
    </x:r>
  </x:si>
  <x:si>
    <x:r>
      <x:rPr>
        <x:sz val="1000"/>
        <x:color rgb="FF1F2937"/>
        <x:rFont val="Noto Sans CJK SC"/>
        <x:family val="2"/>
      </x:rPr>
      <x:t xml:space="preserve">新增</x:t>
    </x:r>
    <x:r>
      <x:rPr>
        <x:sz val="1000"/>
        <x:color rgb="FF1F2937"/>
        <x:rFont val="Calibri"/>
      </x:rPr>
      <x:t xml:space="preserve">SOC-MAILBOX-001/002</x:t>
    </x:r>
    <x:r>
      <x:rPr>
        <x:sz val="1000"/>
        <x:color rgb="FF1F2937"/>
        <x:rFont val="Noto Sans CJK SC"/>
        <x:family val="2"/>
      </x:rPr>
      <x:t xml:space="preserve">、</x:t>
    </x:r>
    <x:r>
      <x:rPr>
        <x:sz val="1000"/>
        <x:color rgb="FF1F2937"/>
        <x:rFont val="Calibri"/>
      </x:rPr>
      <x:t xml:space="preserve">SOC-HSM-ERROR-001</x:t>
    </x:r>
    <x:r>
      <x:rPr>
        <x:sz val="1000"/>
        <x:color rgb="FF1F2937"/>
        <x:rFont val="Noto Sans CJK SC"/>
        <x:family val="2"/>
      </x:rPr>
      <x:t xml:space="preserve">、</x:t>
    </x:r>
    <x:r>
      <x:rPr>
        <x:sz val="1000"/>
        <x:color rgb="FF1F2937"/>
        <x:rFont val="Calibri"/>
      </x:rPr>
      <x:t xml:space="preserve">SOC-</x:t>
    </x:r>
    <x:r>
      <x:rPr>
        <x:sz val="1000"/>
        <x:color rgb="FF1F2937"/>
        <x:rFont val="Noto Sans CJK SC"/>
        <x:family val="2"/>
      </x:rPr>
      <x:t xml:space="preserve">复位</x:t>
    </x:r>
    <x:r>
      <x:rPr>
        <x:sz val="1000"/>
        <x:color rgb="FF1F2937"/>
        <x:rFont val="Calibri"/>
      </x:rPr>
      <x:t xml:space="preserve">-001</x:t>
    </x:r>
    <x:r>
      <x:rPr>
        <x:sz val="1000"/>
        <x:color rgb="FF1F2937"/>
        <x:rFont val="Noto Sans CJK SC"/>
        <x:family val="2"/>
      </x:rPr>
      <x:t xml:space="preserve">、</x:t>
    </x:r>
    <x:r>
      <x:rPr>
        <x:sz val="1000"/>
        <x:color rgb="FF1F2937"/>
        <x:rFont val="Calibri"/>
      </x:rPr>
      <x:t xml:space="preserve">SOC-IRQ-001</x:t>
    </x:r>
  </x:si>
  <x:si>
    <x:t xml:space="preserve">W1-12</x:t>
  </x:si>
  <x:si>
    <x:t xml:space="preserve">中文化测试表术语</x:t>
  </x:si>
  <x:si>
    <x:t xml:space="preserve">用户要求将测试用例表中的英文术语改为中文解释</x:t>
  </x:si>
  <x:si>
    <x:r>
      <x:rPr>
        <x:sz val="1000"/>
        <x:color rgb="FF1F2937"/>
        <x:rFont val="Noto Sans CJK SC"/>
        <x:family val="2"/>
      </x:rPr>
      <x:t xml:space="preserve">形成</x:t>
    </x:r>
    <x:r>
      <x:rPr>
        <x:sz val="1000"/>
        <x:color rgb="FF1F2937"/>
        <x:rFont val="Calibri"/>
      </x:rPr>
      <x:t xml:space="preserve">v0.3.5</x:t>
    </x:r>
    <x:r>
      <x:rPr>
        <x:sz val="1000"/>
        <x:color rgb="FF1F2937"/>
        <x:rFont val="Noto Sans CJK SC"/>
        <x:family val="2"/>
      </x:rPr>
      <x:t xml:space="preserve">：说明性文字中文化；技术标识保留；新增术语说明工作表</x:t>
    </x:r>
  </x:si>
  <x:si>
    <x:r>
      <x:rPr>
        <x:sz val="1000"/>
        <x:color rgb="FF1F2937"/>
        <x:rFont val="Noto Sans CJK SC"/>
        <x:family val="2"/>
      </x:rPr>
      <x:t xml:space="preserve">通过判据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专用测试环境与资源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参数化测试输入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处理阶段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测试基线等统一中文解释</x:t>
    </x:r>
  </x:si>
  <x:si>
    <x:t xml:space="preserve">W2-01</x:t>
  </x:si>
  <x:si>
    <x:r>
      <x:rPr>
        <x:sz val="1000"/>
        <x:color rgb="FF1F2937"/>
        <x:rFont val="Noto Sans CJK SC"/>
        <x:family val="2"/>
      </x:rPr>
      <x:t xml:space="preserve">完成</x:t>
    </x:r>
    <x:r>
      <x:rPr>
        <x:sz val="1000"/>
        <x:color rgb="FF1F2937"/>
        <x:rFont val="Calibri"/>
      </x:rPr>
      <x:t xml:space="preserve">baremetal</x:t>
    </x:r>
    <x:r>
      <x:rPr>
        <x:sz val="1000"/>
        <x:color rgb="FF1F2937"/>
        <x:rFont val="Noto Sans CJK SC"/>
        <x:family val="2"/>
      </x:rPr>
      <x:t xml:space="preserve">仓库现状和落点确认</x:t>
    </x:r>
  </x:si>
  <x:si>
    <x:r>
      <x:rPr>
        <x:sz val="1000"/>
        <x:color rgb="FF1F2937"/>
        <x:rFont val="Calibri"/>
      </x:rPr>
      <x:t xml:space="preserve">v0.3.5</x:t>
    </x:r>
    <x:r>
      <x:rPr>
        <x:sz val="1000"/>
        <x:color rgb="FF1F2937"/>
        <x:rFont val="Noto Sans CJK SC"/>
        <x:family val="2"/>
      </x:rPr>
      <x:t xml:space="preserve">、</x:t>
    </x:r>
    <x:r>
      <x:rPr>
        <x:sz val="1000"/>
        <x:color rgb="FF1F2937"/>
        <x:rFont val="Calibri"/>
      </x:rPr>
      <x:t xml:space="preserve">baremetal</x:t>
    </x:r>
    <x:r>
      <x:rPr>
        <x:sz val="1000"/>
        <x:color rgb="FF1F2937"/>
        <x:rFont val="Noto Sans CJK SC"/>
        <x:family val="2"/>
      </x:rPr>
      <x:t xml:space="preserve">现有</x:t>
    </x:r>
    <x:r>
      <x:rPr>
        <x:sz val="1000"/>
        <x:color rgb="FF1F2937"/>
        <x:rFont val="Calibri"/>
      </x:rPr>
      <x:t xml:space="preserve">CMD/</x:t>
    </x:r>
    <x:r>
      <x:rPr>
        <x:sz val="1000"/>
        <x:color rgb="FF1F2937"/>
        <x:rFont val="Noto Sans CJK SC"/>
        <x:family val="2"/>
      </x:rPr>
      <x:t xml:space="preserve">构建规则</x:t>
    </x:r>
  </x:si>
  <x:si>
    <x:r>
      <x:rPr>
        <x:sz val="1000"/>
        <x:color rgb="FF1F2937"/>
        <x:rFont val="Noto Sans CJK SC"/>
        <x:family val="2"/>
      </x:rPr>
      <x:t xml:space="preserve">确认</x:t>
    </x:r>
    <x:r>
      <x:rPr>
        <x:sz val="1000"/>
        <x:color rgb="FF1F2937"/>
        <x:rFont val="Calibri"/>
      </x:rPr>
      <x:t xml:space="preserve">components/security + solutions/gsp-bm + CMD_SINGLE_CASE</x:t>
    </x:r>
    <x:r>
      <x:rPr>
        <x:sz val="1000"/>
        <x:color rgb="FF1F2937"/>
        <x:rFont val="Noto Sans CJK SC"/>
        <x:family val="2"/>
      </x:rPr>
      <x:t xml:space="preserve">，不建设独立</x:t>
    </x:r>
    <x:r>
      <x:rPr>
        <x:sz val="1000"/>
        <x:color rgb="FF1F2937"/>
        <x:rFont val="Calibri"/>
      </x:rPr>
      <x:t xml:space="preserve">solution</x:t>
    </x:r>
    <x:r>
      <x:rPr>
        <x:sz val="1000"/>
        <x:color rgb="FF1F2937"/>
        <x:rFont val="Noto Sans CJK SC"/>
        <x:family val="2"/>
      </x:rPr>
      <x:t xml:space="preserve">或</x:t>
    </x:r>
    <x:r>
      <x:rPr>
        <x:sz val="1000"/>
        <x:color rgb="FF1F2937"/>
        <x:rFont val="Calibri"/>
      </x:rPr>
      <x:t xml:space="preserve">Host Runner</x:t>
    </x:r>
  </x:si>
  <x:si>
    <x:t xml:space="preserve">components/security/docs/openspec/development_principles.md</x:t>
  </x:si>
  <x:si>
    <x:t xml:space="preserve">W2-02</x:t>
  </x:si>
  <x:si>
    <x:r>
      <x:rPr>
        <x:sz val="1000"/>
        <x:color rgb="FF1F2937"/>
        <x:rFont val="Noto Sans CJK SC"/>
        <x:family val="2"/>
      </x:rPr>
      <x:t xml:space="preserve">移植</x:t>
    </x:r>
    <x:r>
      <x:rPr>
        <x:sz val="1000"/>
        <x:color rgb="FF1F2937"/>
        <x:rFont val="Calibri"/>
      </x:rPr>
      <x:t xml:space="preserve">eHSM Host typed API</x:t>
    </x:r>
    <x:r>
      <x:rPr>
        <x:sz val="1000"/>
        <x:color rgb="FF1F2937"/>
        <x:rFont val="Noto Sans CJK SC"/>
        <x:family val="2"/>
      </x:rPr>
      <x:t xml:space="preserve">和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公共实现</x:t>
    </x:r>
  </x:si>
  <x:si>
    <x:r>
      <x:rPr>
        <x:sz val="1000"/>
        <x:color rgb="FF1F2937"/>
        <x:rFont val="Calibri"/>
      </x:rPr>
      <x:t xml:space="preserve">eHSM Host 2.3.1</x:t>
    </x:r>
    <x:r>
      <x:rPr>
        <x:sz val="1000"/>
        <x:color rgb="FF1F2937"/>
        <x:rFont val="Noto Sans CJK SC"/>
        <x:family val="2"/>
      </x:rPr>
      <x:t xml:space="preserve">参考源码、</x:t>
    </x:r>
    <x:r>
      <x:rPr>
        <x:sz val="1000"/>
        <x:color rgb="FF1F2937"/>
        <x:rFont val="Calibri"/>
      </x:rPr>
      <x:t xml:space="preserve">NGU800P</x:t>
    </x:r>
    <x:r>
      <x:rPr>
        <x:sz val="1000"/>
        <x:color rgb="FF1F2937"/>
        <x:rFont val="Noto Sans CJK SC"/>
        <x:family val="2"/>
      </x:rPr>
      <x:t xml:space="preserve">平台合同</x:t>
    </x:r>
  </x:si>
  <x:si>
    <x:r>
      <x:rPr>
        <x:sz val="1000"/>
        <x:color rgb="FF1F2937"/>
        <x:rFont val="Calibri"/>
      </x:rPr>
      <x:t xml:space="preserve">52</x:t>
    </x:r>
    <x:r>
      <x:rPr>
        <x:sz val="1000"/>
        <x:color rgb="FF1F2937"/>
        <x:rFont val="Noto Sans CJK SC"/>
        <x:family val="2"/>
      </x:rPr>
      <x:t xml:space="preserve">条</x:t>
    </x:r>
    <x:r>
      <x:rPr>
        <x:sz val="1000"/>
        <x:color rgb="FF1F2937"/>
        <x:rFont val="Calibri"/>
      </x:rPr>
      <x:t xml:space="preserve">BASIC</x:t>
    </x:r>
    <x:r>
      <x:rPr>
        <x:sz val="1000"/>
        <x:color rgb="FF1F2937"/>
        <x:rFont val="Noto Sans CJK SC"/>
        <x:family val="2"/>
      </x:rPr>
      <x:t xml:space="preserve">全部注册；构建自包含；</x:t>
    </x:r>
    <x:r>
      <x:rPr>
        <x:sz val="1000"/>
        <x:color rgb="FF1F2937"/>
        <x:rFont val="Calibri"/>
      </x:rPr>
      <x:t xml:space="preserve">service channel 1</x:t>
    </x:r>
    <x:r>
      <x:rPr>
        <x:sz val="1000"/>
        <x:color rgb="FF1F2937"/>
        <x:rFont val="Noto Sans CJK SC"/>
        <x:family val="2"/>
      </x:rPr>
      <x:t xml:space="preserve">、</x:t>
    </x:r>
    <x:r>
      <x:rPr>
        <x:sz val="1000"/>
        <x:color rgb="FF1F2937"/>
        <x:rFont val="Calibri"/>
      </x:rPr>
      <x:t xml:space="preserve">poll</x:t>
    </x:r>
    <x:r>
      <x:rPr>
        <x:sz val="1000"/>
        <x:color rgb="FF1F2937"/>
        <x:rFont val="Noto Sans CJK SC"/>
        <x:family val="2"/>
      </x:rPr>
      <x:t xml:space="preserve">、</x:t>
    </x:r>
    <x:r>
      <x:rPr>
        <x:sz val="1000"/>
        <x:color rgb="FF1F2937"/>
        <x:rFont val="Calibri"/>
      </x:rPr>
      <x:t xml:space="preserve">100 ms</x:t>
    </x:r>
  </x:si>
  <x:si>
    <x:t xml:space="preserve">COMPLETED_WITH_TARGET_GAP</x:t>
  </x:si>
  <x:si>
    <x:t xml:space="preserve">W2-03</x:t>
  </x:si>
  <x:si>
    <x:r>
      <x:rPr>
        <x:sz val="1000"/>
        <x:color rgb="FF1F2937"/>
        <x:rFont val="Noto Sans CJK SC"/>
        <x:family val="2"/>
      </x:rPr>
      <x:t xml:space="preserve">落实</x:t>
    </x:r>
    <x:r>
      <x:rPr>
        <x:sz val="1000"/>
        <x:color rgb="FF1F2937"/>
        <x:rFont val="Calibri"/>
      </x:rPr>
      <x:t xml:space="preserve">OTP Mailbox-only</x:t>
    </x:r>
    <x:r>
      <x:rPr>
        <x:sz val="1000"/>
        <x:color rgb="FF1F2937"/>
        <x:rFont val="Noto Sans CJK SC"/>
        <x:family val="2"/>
      </x:rPr>
      <x:t xml:space="preserve">、双</x:t>
    </x:r>
    <x:r>
      <x:rPr>
        <x:sz val="1000"/>
        <x:color rgb="FF1F2937"/>
        <x:rFont val="Calibri"/>
      </x:rPr>
      <x:t xml:space="preserve">Profile</x:t>
    </x:r>
    <x:r>
      <x:rPr>
        <x:sz val="1000"/>
        <x:color rgb="FF1F2937"/>
        <x:rFont val="Noto Sans CJK SC"/>
        <x:family val="2"/>
      </x:rPr>
      <x:t xml:space="preserve">和</x:t>
    </x:r>
    <x:r>
      <x:rPr>
        <x:sz val="1000"/>
        <x:color rgb="FF1F2937"/>
        <x:rFont val="Calibri"/>
      </x:rPr>
      <x:t xml:space="preserve">fixture</x:t>
    </x:r>
    <x:r>
      <x:rPr>
        <x:sz val="1000"/>
        <x:color rgb="FF1F2937"/>
        <x:rFont val="Noto Sans CJK SC"/>
        <x:family val="2"/>
      </x:rPr>
      <x:t xml:space="preserve">约束</x:t>
    </x:r>
  </x:si>
  <x:si>
    <x:r>
      <x:rPr>
        <x:sz val="1000"/>
        <x:color rgb="FF1F2937"/>
        <x:rFont val="Calibri"/>
      </x:rPr>
      <x:t xml:space="preserve">Table 34</x:t>
    </x:r>
    <x:r>
      <x:rPr>
        <x:sz val="1000"/>
        <x:color rgb="FF1F2937"/>
        <x:rFont val="Noto Sans CJK SC"/>
        <x:family val="2"/>
      </x:rPr>
      <x:t xml:space="preserve">、</x:t>
    </x:r>
    <x:r>
      <x:rPr>
        <x:sz val="1000"/>
        <x:color rgb="FF1F2937"/>
        <x:rFont val="Calibri"/>
      </x:rPr>
      <x:t xml:space="preserve">SRC-0024</x:t>
    </x:r>
    <x:r>
      <x:rPr>
        <x:sz val="1000"/>
        <x:color rgb="FF1F2937"/>
        <x:rFont val="Noto Sans CJK SC"/>
        <x:family val="2"/>
      </x:rPr>
      <x:t xml:space="preserve">、</x:t>
    </x:r>
    <x:r>
      <x:rPr>
        <x:sz val="1000"/>
        <x:color rgb="FF1F2937"/>
        <x:rFont val="Calibri"/>
      </x:rPr>
      <x:t xml:space="preserve">g_otp_data</x:t>
    </x:r>
    <x:r>
      <x:rPr>
        <x:sz val="1000"/>
        <x:color rgb="FF1F2937"/>
        <x:rFont val="Noto Sans CJK SC"/>
        <x:family val="2"/>
      </x:rPr>
      <x:t xml:space="preserve">参考基线</x:t>
    </x:r>
  </x:si>
  <x:si>
    <x:r>
      <x:rPr>
        <x:sz val="1000"/>
        <x:color rgb="FF1F2937"/>
        <x:rFont val="Calibri"/>
      </x:rPr>
      <x:t xml:space="preserve">GSP direct OTP fail-close</x:t>
    </x:r>
    <x:r>
      <x:rPr>
        <x:sz val="1000"/>
        <x:color rgb="FF1F2937"/>
        <x:rFont val="Noto Sans CJK SC"/>
        <x:family val="2"/>
      </x:rPr>
      <x:t xml:space="preserve">；</x:t>
    </x:r>
    <x:r>
      <x:rPr>
        <x:sz val="1000"/>
        <x:color rgb="FF1F2937"/>
        <x:rFont val="Calibri"/>
      </x:rPr>
      <x:t xml:space="preserve">SECURITY_OTP_PRELOADED=0/1</x:t>
    </x:r>
    <x:r>
      <x:rPr>
        <x:sz val="1000"/>
        <x:color rgb="FF1F2937"/>
        <x:rFont val="Noto Sans CJK SC"/>
        <x:family val="2"/>
      </x:rPr>
      <x:t xml:space="preserve">；</x:t>
    </x:r>
    <x:r>
      <x:rPr>
        <x:sz val="1000"/>
        <x:color rgb="FF1F2937"/>
        <x:rFont val="Calibri"/>
      </x:rPr>
      <x:t xml:space="preserve">fixture/load receipt</x:t>
    </x:r>
    <x:r>
      <x:rPr>
        <x:sz val="1000"/>
        <x:color rgb="FF1F2937"/>
        <x:rFont val="Noto Sans CJK SC"/>
        <x:family val="2"/>
      </x:rPr>
      <x:t xml:space="preserve">遗留项集中登记</x:t>
    </x:r>
  </x:si>
  <x:si>
    <x:t xml:space="preserve">20260804-otp-preloaded-dual-profile.md; openspec/LEGACY_ITEMS.md</x:t>
  </x:si>
  <x:si>
    <x:t xml:space="preserve">W2-04</x:t>
  </x:si>
  <x:si>
    <x:r>
      <x:rPr>
        <x:sz val="1000"/>
        <x:color rgb="FF1F2937"/>
        <x:rFont val="Noto Sans CJK SC"/>
        <x:family val="2"/>
      </x:rPr>
      <x:t xml:space="preserve">补齐</x:t>
    </x:r>
    <x:r>
      <x:rPr>
        <x:sz val="1000"/>
        <x:color rgb="FF1F2937"/>
        <x:rFont val="Calibri"/>
      </x:rPr>
      <x:t xml:space="preserve">Mailbox BASIC</x:t>
    </x:r>
    <x:r>
      <x:rPr>
        <x:sz val="1000"/>
        <x:color rgb="FF1F2937"/>
        <x:rFont val="Noto Sans CJK SC"/>
        <x:family val="2"/>
      </x:rPr>
      <x:t xml:space="preserve">参考</x:t>
    </x:r>
    <x:r>
      <x:rPr>
        <x:sz val="1000"/>
        <x:color rgb="FF1F2937"/>
        <x:rFont val="Calibri"/>
      </x:rPr>
      <x:t xml:space="preserve">Host</x:t>
    </x:r>
    <x:r>
      <x:rPr>
        <x:sz val="1000"/>
        <x:color rgb="FF1F2937"/>
        <x:rFont val="Noto Sans CJK SC"/>
        <x:family val="2"/>
      </x:rPr>
      <x:t xml:space="preserve">已启用算法和密钥管理矩阵</x:t>
    </x:r>
  </x:si>
  <x:si>
    <x:r>
      <x:rPr>
        <x:sz val="1000"/>
        <x:color rgb="FF1F2937"/>
        <x:rFont val="Calibri"/>
      </x:rPr>
      <x:t xml:space="preserve">FW016</x:t>
    </x:r>
    <x:r>
      <x:rPr>
        <x:sz val="1000"/>
        <x:color rgb="FF1F2937"/>
        <x:rFont val="Noto Sans CJK SC"/>
        <x:family val="2"/>
      </x:rPr>
      <x:t xml:space="preserve">～</x:t>
    </x:r>
    <x:r>
      <x:rPr>
        <x:sz val="1000"/>
        <x:color rgb="FF1F2937"/>
        <x:rFont val="Calibri"/>
      </x:rPr>
      <x:t xml:space="preserve">027</x:t>
    </x:r>
    <x:r>
      <x:rPr>
        <x:sz val="1000"/>
        <x:color rgb="FF1F2937"/>
        <x:rFont val="Noto Sans CJK SC"/>
        <x:family val="2"/>
      </x:rPr>
      <x:t xml:space="preserve">、</x:t>
    </x:r>
    <x:r>
      <x:rPr>
        <x:sz val="1000"/>
        <x:color rgb="FF1F2937"/>
        <x:rFont val="Calibri"/>
      </x:rPr>
      <x:t xml:space="preserve">FW045</x:t>
    </x:r>
    <x:r>
      <x:rPr>
        <x:sz val="1000"/>
        <x:color rgb="FF1F2937"/>
        <x:rFont val="Noto Sans CJK SC"/>
        <x:family val="2"/>
      </x:rPr>
      <x:t xml:space="preserve">～</x:t>
    </x:r>
    <x:r>
      <x:rPr>
        <x:sz val="1000"/>
        <x:color rgb="FF1F2937"/>
        <x:rFont val="Calibri"/>
      </x:rPr>
      <x:t xml:space="preserve">051</x:t>
    </x:r>
    <x:r>
      <x:rPr>
        <x:sz val="1000"/>
        <x:color rgb="FF1F2937"/>
        <x:rFont val="Noto Sans CJK SC"/>
        <x:family val="2"/>
      </x:rPr>
      <x:t xml:space="preserve">参考</x:t>
    </x:r>
    <x:r>
      <x:rPr>
        <x:sz val="1000"/>
        <x:color rgb="FF1F2937"/>
        <x:rFont val="Calibri"/>
      </x:rPr>
      <x:t xml:space="preserve">Host entry</x:t>
    </x:r>
    <x:r>
      <x:rPr>
        <x:sz val="1000"/>
        <x:color rgb="FF1F2937"/>
        <x:rFont val="Noto Sans CJK SC"/>
        <x:family val="2"/>
      </x:rPr>
      <x:t xml:space="preserve">与向量</x:t>
    </x:r>
  </x:si>
  <x:si>
    <x:r>
      <x:rPr>
        <x:sz val="1000"/>
        <x:color rgb="FF1F2937"/>
        <x:rFont val="Calibri"/>
      </x:rPr>
      <x:t xml:space="preserve">51</x:t>
    </x:r>
    <x:r>
      <x:rPr>
        <x:sz val="1000"/>
        <x:color rgb="FF1F2937"/>
        <x:rFont val="Noto Sans CJK SC"/>
        <x:family val="2"/>
      </x:rPr>
      <x:t xml:space="preserve">条</x:t>
    </x:r>
    <x:r>
      <x:rPr>
        <x:sz val="1000"/>
        <x:color rgb="FF1F2937"/>
        <x:rFont val="Calibri"/>
      </x:rPr>
      <x:t xml:space="preserve">REAL_API</x:t>
    </x:r>
    <x:r>
      <x:rPr>
        <x:sz val="1000"/>
        <x:color rgb="FF1F2937"/>
        <x:rFont val="Noto Sans CJK SC"/>
        <x:family val="2"/>
      </x:rPr>
      <x:t xml:space="preserve">；</x:t>
    </x:r>
    <x:r>
      <x:rPr>
        <x:sz val="1000"/>
        <x:color rgb="FF1F2937"/>
        <x:rFont val="Calibri"/>
      </x:rPr>
      <x:t xml:space="preserve">FW016/</x:t>
    </x:r>
    <x:r>
      <x:rPr>
        <x:sz val="1000"/>
        <x:color rgb="FF1F2937"/>
        <x:rFont val="Noto Sans CJK SC"/>
        <x:family val="2"/>
      </x:rPr>
      <x:t xml:space="preserve">签名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其余</x:t>
    </x:r>
    <x:r>
      <x:rPr>
        <x:sz val="1000"/>
        <x:color rgb="FF1F2937"/>
        <x:rFont val="Calibri"/>
      </x:rPr>
      <x:t xml:space="preserve">FW</x:t>
    </x:r>
    <x:r>
      <x:rPr>
        <x:sz val="1000"/>
        <x:color rgb="FF1F2937"/>
        <x:rFont val="Noto Sans CJK SC"/>
        <x:family val="2"/>
      </x:rPr>
      <x:t xml:space="preserve">矩阵完成；</x:t>
    </x:r>
    <x:r>
      <x:rPr>
        <x:sz val="1000"/>
        <x:color rgb="FF1F2937"/>
        <x:rFont val="Calibri"/>
      </x:rPr>
      <x:t xml:space="preserve">BL006</x:t>
    </x:r>
    <x:r>
      <x:rPr>
        <x:sz val="1000"/>
        <x:color rgb="FF1F2937"/>
        <x:rFont val="Noto Sans CJK SC"/>
        <x:family val="2"/>
      </x:rPr>
      <x:t xml:space="preserve">为唯一</x:t>
    </x:r>
    <x:r>
      <x:rPr>
        <x:sz val="1000"/>
        <x:color rgb="FF1F2937"/>
        <x:rFont val="Calibri"/>
      </x:rPr>
      <x:t xml:space="preserve">GATED_INCONCLUSIVE</x:t>
    </x:r>
  </x:si>
  <x:si>
    <x:t xml:space="preserve">20260807-fw016-symmetric-matrix.md; 20260810-fw-signature-matrix.md; 20260810-fw-remaining-basic-matrix.md</x:t>
  </x:si>
  <x:si>
    <x:t xml:space="preserve">W2-05</x:t>
  </x:si>
  <x:si>
    <x:r>
      <x:rPr>
        <x:sz val="1000"/>
        <x:color rgb="FF1F2937"/>
        <x:rFont val="Noto Sans CJK SC"/>
        <x:family val="2"/>
      </x:rPr>
      <x:t xml:space="preserve">回填</x:t>
    </x:r>
    <x:r>
      <x:rPr>
        <x:sz val="1000"/>
        <x:color rgb="FF1F2937"/>
        <x:rFont val="Calibri"/>
      </x:rPr>
      <x:t xml:space="preserve">v0.3.6</x:t>
    </x:r>
    <x:r>
      <x:rPr>
        <x:sz val="1000"/>
        <x:color rgb="FF1F2937"/>
        <x:rFont val="Noto Sans CJK SC"/>
        <x:family val="2"/>
      </x:rPr>
      <x:t xml:space="preserve">实现状态和</x:t>
    </x:r>
    <x:r>
      <x:rPr>
        <x:sz val="1000"/>
        <x:color rgb="FF1F2937"/>
        <x:rFont val="Calibri"/>
      </x:rPr>
      <x:t xml:space="preserve">Evidence</x:t>
    </x:r>
    <x:r>
      <x:rPr>
        <x:sz val="1000"/>
        <x:color rgb="FF1F2937"/>
        <x:rFont val="Noto Sans CJK SC"/>
        <x:family val="2"/>
      </x:rPr>
      <x:t xml:space="preserve">索引</x:t>
    </x:r>
  </x:si>
  <x:si>
    <x:r>
      <x:rPr>
        <x:sz val="1000"/>
        <x:color rgb="FF1F2937"/>
        <x:rFont val="Calibri"/>
      </x:rPr>
      <x:t xml:space="preserve">baremetal CASE_INDEX</x:t>
    </x:r>
    <x:r>
      <x:rPr>
        <x:sz val="1000"/>
        <x:color rgb="FF1F2937"/>
        <x:rFont val="Noto Sans CJK SC"/>
        <x:family val="2"/>
      </x:rPr>
      <x:t xml:space="preserve">、测试指南、</x:t>
    </x:r>
    <x:r>
      <x:rPr>
        <x:sz val="1000"/>
        <x:color rgb="FF1F2937"/>
        <x:rFont val="Calibri"/>
      </x:rPr>
      <x:t xml:space="preserve">OpenSpec/Evidence</x:t>
    </x:r>
  </x:si>
  <x:si>
    <x:r>
      <x:rPr>
        <x:sz val="1000"/>
        <x:color rgb="FF1F2937"/>
        <x:rFont val="Noto Sans CJK SC"/>
        <x:family val="2"/>
      </x:rPr>
      <x:t xml:space="preserve">代码接入状态与目标执行状态分离；</x:t>
    </x:r>
    <x:r>
      <x:rPr>
        <x:sz val="1000"/>
        <x:color rgb="FF1F2937"/>
        <x:rFont val="Calibri"/>
      </x:rPr>
      <x:t xml:space="preserve">14</x:t>
    </x:r>
    <x:r>
      <x:rPr>
        <x:sz val="1000"/>
        <x:color rgb="FF1F2937"/>
        <x:rFont val="Noto Sans CJK SC"/>
        <x:family val="2"/>
      </x:rPr>
      <x:t xml:space="preserve">条</x:t>
    </x:r>
    <x:r>
      <x:rPr>
        <x:sz val="1000"/>
        <x:color rgb="FF1F2937"/>
        <x:rFont val="Calibri"/>
      </x:rPr>
      <x:t xml:space="preserve">eHSM</x:t>
    </x:r>
    <x:r>
      <x:rPr>
        <x:sz val="1000"/>
        <x:color rgb="FF1F2937"/>
        <x:rFont val="Noto Sans CJK SC"/>
        <x:family val="2"/>
      </x:rPr>
      <x:t xml:space="preserve">负向和</x:t>
    </x:r>
    <x:r>
      <x:rPr>
        <x:sz val="1000"/>
        <x:color rgb="FF1F2937"/>
        <x:rFont val="Calibri"/>
      </x:rPr>
      <x:t xml:space="preserve">8</x:t>
    </x:r>
    <x:r>
      <x:rPr>
        <x:sz val="1000"/>
        <x:color rgb="FF1F2937"/>
        <x:rFont val="Noto Sans CJK SC"/>
        <x:family val="2"/>
      </x:rPr>
      <x:t xml:space="preserve">条</x:t>
    </x:r>
    <x:r>
      <x:rPr>
        <x:sz val="1000"/>
        <x:color rgb="FF1F2937"/>
        <x:rFont val="Calibri"/>
      </x:rPr>
      <x:t xml:space="preserve">SoC</x:t>
    </x:r>
    <x:r>
      <x:rPr>
        <x:sz val="1000"/>
        <x:color rgb="FF1F2937"/>
        <x:rFont val="Noto Sans CJK SC"/>
        <x:family val="2"/>
      </x:rPr>
      <x:t xml:space="preserve">用例仍保持</x:t>
    </x:r>
    <x:r>
      <x:rPr>
        <x:sz val="1000"/>
        <x:color rgb="FF1F2937"/>
        <x:rFont val="Calibri"/>
      </x:rPr>
      <x:t xml:space="preserve">PLANNED</x:t>
    </x:r>
  </x:si>
  <x:si>
    <x:t xml:space="preserve">NGU800P-security-test-cases-v0.3.6.xlsx</x:t>
  </x:si>
  <x:si>
    <x:t xml:space="preserve">待确认项与移植阶段输入</x:t>
  </x:si>
  <x:si>
    <x:t xml:space="preserve">ID</x:t>
  </x:si>
  <x:si>
    <x:t xml:space="preserve">主题</x:t>
  </x:si>
  <x:si>
    <x:t xml:space="preserve">问题</x:t>
  </x:si>
  <x:si>
    <x:t xml:space="preserve">级别</x:t>
  </x:si>
  <x:si>
    <x:r>
      <x:rPr>
        <x:b/>
        <x:sz val="1100"/>
        <x:color rgb="FFFFFFFF"/>
        <x:rFont val="Noto Sans CJK SC"/>
        <x:family val="2"/>
      </x:rPr>
      <x:t xml:space="preserve">解除条件</x:t>
    </x:r>
    <x:r>
      <x:rPr>
        <x:b/>
        <x:sz val="1100"/>
        <x:color rgb="FFFFFFFF"/>
        <x:rFont val="Calibri"/>
      </x:rPr>
      <x:t xml:space="preserve">/</x:t>
    </x:r>
    <x:r>
      <x:rPr>
        <x:b/>
        <x:sz val="1100"/>
        <x:color rgb="FFFFFFFF"/>
        <x:rFont val="Noto Sans CJK SC"/>
        <x:family val="2"/>
      </x:rPr>
      <x:t xml:space="preserve">动作</x:t>
    </x:r>
  </x:si>
  <x:si>
    <x:r>
      <x:rPr>
        <x:b/>
        <x:sz val="1100"/>
        <x:color rgb="FFFFFFFF"/>
        <x:rFont val="Noto Sans CJK SC"/>
        <x:family val="2"/>
      </x:rPr>
      <x:t xml:space="preserve">责任人</x:t>
    </x:r>
    <x:r>
      <x:rPr>
        <x:b/>
        <x:sz val="1100"/>
        <x:color rgb="FFFFFFFF"/>
        <x:rFont val="Calibri"/>
      </x:rPr>
      <x:t xml:space="preserve">/</x:t>
    </x:r>
    <x:r>
      <x:rPr>
        <x:b/>
        <x:sz val="1100"/>
        <x:color rgb="FFFFFFFF"/>
        <x:rFont val="Noto Sans CJK SC"/>
        <x:family val="2"/>
      </x:rPr>
      <x:t xml:space="preserve">答复</x:t>
    </x:r>
  </x:si>
  <x:si>
    <x:t xml:space="preserve">当前状态</x:t>
  </x:si>
  <x:si>
    <x:r>
      <x:rPr>
        <x:b/>
        <x:sz val="1100"/>
        <x:color rgb="FFFFFFFF"/>
        <x:rFont val="Noto Sans CJK SC"/>
        <x:family val="2"/>
      </x:rPr>
      <x:t xml:space="preserve">对应遗留项</x:t>
    </x:r>
    <x:r>
      <x:rPr>
        <x:b/>
        <x:sz val="1100"/>
        <x:color rgb="FFFFFFFF"/>
        <x:rFont val="Calibri"/>
      </x:rPr>
      <x:t xml:space="preserve">/</x:t>
    </x:r>
    <x:r>
      <x:rPr>
        <x:b/>
        <x:sz val="1100"/>
        <x:color rgb="FFFFFFFF"/>
        <x:rFont val="Noto Sans CJK SC"/>
        <x:family val="2"/>
      </x:rPr>
      <x:t xml:space="preserve">结论</x:t>
    </x:r>
  </x:si>
  <x:si>
    <x:t xml:space="preserve">代码仓基线</x:t>
  </x:si>
  <x:si>
    <x:r>
      <x:rPr>
        <x:sz val="1000"/>
        <x:color rgb="FF1F2937"/>
        <x:rFont val="Noto Sans CJK SC"/>
        <x:family val="2"/>
      </x:rPr>
      <x:t xml:space="preserve">实施时 </x:t>
    </x:r>
    <x:r>
      <x:rPr>
        <x:sz val="1000"/>
        <x:color rgb="FF1F2937"/>
        <x:rFont val="Calibri"/>
      </x:rPr>
      <x:t xml:space="preserve">../baremetal </x:t>
    </x:r>
    <x:r>
      <x:rPr>
        <x:sz val="1000"/>
        <x:color rgb="FF1F2937"/>
        <x:rFont val="Noto Sans CJK SC"/>
        <x:family val="2"/>
      </x:rPr>
      <x:t xml:space="preserve">的 分支、只读 测试基线 提交号 和已有修改归属是什么？</x:t>
    </x:r>
  </x:si>
  <x:si>
    <x:t xml:space="preserve">PORTING_INPUT</x:t>
  </x:si>
  <x:si>
    <x:r>
      <x:rPr>
        <x:sz val="1000"/>
        <x:color rgb="FF1F2937"/>
        <x:rFont val="Calibri"/>
      </x:rPr>
      <x:t xml:space="preserve">Codex </x:t>
    </x:r>
    <x:r>
      <x:rPr>
        <x:sz val="1000"/>
        <x:color rgb="FF1F2937"/>
        <x:rFont val="Noto Sans CJK SC"/>
        <x:family val="2"/>
      </x:rPr>
      <x:t xml:space="preserve">开始写代码前登记；本任务不实施移植</x:t>
    </x:r>
  </x:si>
  <x:si>
    <x:r>
      <x:rPr>
        <x:sz val="1000"/>
        <x:color rgb="FF1F2937"/>
        <x:rFont val="Calibri"/>
      </x:rPr>
      <x:t xml:space="preserve">baremetal master</x:t>
    </x:r>
    <x:r>
      <x:rPr>
        <x:sz val="1000"/>
        <x:color rgb="FF1F2937"/>
        <x:rFont val="Noto Sans CJK SC"/>
        <x:family val="2"/>
      </x:rPr>
      <x:t xml:space="preserve">起始</x:t>
    </x:r>
    <x:r>
      <x:rPr>
        <x:sz val="1000"/>
        <x:color rgb="FF1F2937"/>
        <x:rFont val="Calibri"/>
      </x:rPr>
      <x:t xml:space="preserve">commit</x:t>
    </x:r>
    <x:r>
      <x:rPr>
        <x:sz val="1000"/>
        <x:color rgb="FF1F2937"/>
        <x:rFont val="Noto Sans CJK SC"/>
        <x:family val="2"/>
      </x:rPr>
      <x:t xml:space="preserve">已在</x:t>
    </x:r>
    <x:r>
      <x:rPr>
        <x:sz val="1000"/>
        <x:color rgb="FF1F2937"/>
        <x:rFont val="Calibri"/>
      </x:rPr>
      <x:t xml:space="preserve">Evidence</x:t>
    </x:r>
    <x:r>
      <x:rPr>
        <x:sz val="1000"/>
        <x:color rgb="FF1F2937"/>
        <x:rFont val="Noto Sans CJK SC"/>
        <x:family val="2"/>
      </x:rPr>
      <x:t xml:space="preserve">登记；最终实现</x:t>
    </x:r>
    <x:r>
      <x:rPr>
        <x:sz val="1000"/>
        <x:color rgb="FF1F2937"/>
        <x:rFont val="Calibri"/>
      </x:rPr>
      <x:t xml:space="preserve">commit</x:t>
    </x:r>
    <x:r>
      <x:rPr>
        <x:sz val="1000"/>
        <x:color rgb="FF1F2937"/>
        <x:rFont val="Noto Sans CJK SC"/>
        <x:family val="2"/>
      </x:rPr>
      <x:t xml:space="preserve">待冻结</x:t>
    </x:r>
  </x:si>
  <x:si>
    <x:t xml:space="preserve">PARTIALLY_RESOLVED</x:t>
  </x:si>
  <x:si>
    <x:r>
      <x:rPr>
        <x:sz val="1000"/>
        <x:color rgb="FF1F2937"/>
        <x:rFont val="Noto Sans CJK SC"/>
        <x:family val="2"/>
      </x:rPr>
      <x:t xml:space="preserve">已登记起始</x:t>
    </x:r>
    <x:r>
      <x:rPr>
        <x:sz val="1000"/>
        <x:color rgb="FF1F2937"/>
        <x:rFont val="Calibri"/>
      </x:rPr>
      <x:t xml:space="preserve">branch/commit</x:t>
    </x:r>
    <x:r>
      <x:rPr>
        <x:sz val="1000"/>
        <x:color rgb="FF1F2937"/>
        <x:rFont val="Noto Sans CJK SC"/>
        <x:family val="2"/>
      </x:rPr>
      <x:t xml:space="preserve">；当前实现修改尚未冻结为最终提交</x:t>
    </x:r>
  </x:si>
  <x:si>
    <x:t xml:space="preserve">Q-008</x:t>
  </x:si>
  <x:si>
    <x:t xml:space="preserve">命令配置方案</x:t>
  </x:si>
  <x:si>
    <x:r>
      <x:rPr>
        <x:sz val="1000"/>
        <x:color rgb="FF1F2937"/>
        <x:rFont val="Calibri"/>
      </x:rPr>
      <x:t xml:space="preserve">Host</x:t>
    </x:r>
    <x:r>
      <x:rPr>
        <x:sz val="1000"/>
        <x:color rgb="FF1F2937"/>
        <x:rFont val="Noto Sans CJK SC"/>
        <x:family val="2"/>
      </x:rPr>
      <x:t xml:space="preserve">头文件独有候选</x:t>
    </x:r>
    <x:r>
      <x:rPr>
        <x:sz val="1000"/>
        <x:color rgb="FF1F2937"/>
        <x:rFont val="Calibri"/>
      </x:rPr>
      <x:t xml:space="preserve">18</x:t>
    </x:r>
    <x:r>
      <x:rPr>
        <x:sz val="1000"/>
        <x:color rgb="FF1F2937"/>
        <x:rFont val="Noto Sans CJK SC"/>
        <x:family val="2"/>
      </x:rPr>
      <x:t xml:space="preserve">条中哪些属于</x:t>
    </x:r>
    <x:r>
      <x:rPr>
        <x:sz val="1000"/>
        <x:color rgb="FF1F2937"/>
        <x:rFont val="Calibri"/>
      </x:rPr>
      <x:t xml:space="preserve">NGU800P</x:t>
    </x:r>
    <x:r>
      <x:rPr>
        <x:sz val="1000"/>
        <x:color rgb="FF1F2937"/>
        <x:rFont val="Noto Sans CJK SC"/>
        <x:family val="2"/>
      </x:rPr>
      <x:t xml:space="preserve">交付？</x:t>
    </x:r>
  </x:si>
  <x:si>
    <x:t xml:space="preserve">SCOPE_CONFIRMATION</x:t>
  </x:si>
  <x:si>
    <x:r>
      <x:rPr>
        <x:sz val="1000"/>
        <x:color rgb="FF1F2937"/>
        <x:rFont val="Noto Sans CJK SC"/>
        <x:family val="2"/>
      </x:rPr>
      <x:t xml:space="preserve">当前不生成用例；确认后另行评审是否纳入</x:t>
    </x:r>
    <x:r>
      <x:rPr>
        <x:sz val="1000"/>
        <x:color rgb="FF1F2937"/>
        <x:rFont val="Calibri"/>
      </x:rPr>
      <x:t xml:space="preserve">BASIC</x:t>
    </x:r>
  </x:si>
  <x:si>
    <x:r>
      <x:rPr>
        <x:sz val="1000"/>
        <x:color rgb="FF1F2937"/>
        <x:rFont val="Noto Sans CJK SC"/>
        <x:family val="2"/>
      </x:rPr>
      <x:t xml:space="preserve">当前范围明确不移植</x:t>
    </x:r>
    <x:r>
      <x:rPr>
        <x:sz val="1000"/>
        <x:color rgb="FF1F2937"/>
        <x:rFont val="Calibri"/>
      </x:rPr>
      <x:t xml:space="preserve">Host-only 18</x:t>
    </x:r>
    <x:r>
      <x:rPr>
        <x:sz val="1000"/>
        <x:color rgb="FF1F2937"/>
        <x:rFont val="Noto Sans CJK SC"/>
        <x:family val="2"/>
      </x:rPr>
      <x:t xml:space="preserve">条候选</x:t>
    </x:r>
  </x:si>
  <x:si>
    <x:t xml:space="preserve">OUT_OF_SCOPE_CURRENT</x:t>
  </x:si>
  <x:si>
    <x:r>
      <x:rPr>
        <x:sz val="1000"/>
        <x:color rgb="FF1F2937"/>
        <x:rFont val="Calibri"/>
      </x:rPr>
      <x:t xml:space="preserve">18</x:t>
    </x:r>
    <x:r>
      <x:rPr>
        <x:sz val="1000"/>
        <x:color rgb="FF1F2937"/>
        <x:rFont val="Noto Sans CJK SC"/>
        <x:family val="2"/>
      </x:rPr>
      <x:t xml:space="preserve">条</x:t>
    </x:r>
    <x:r>
      <x:rPr>
        <x:sz val="1000"/>
        <x:color rgb="FF1F2937"/>
        <x:rFont val="Calibri"/>
      </x:rPr>
      <x:t xml:space="preserve">Host-only candidate</x:t>
    </x:r>
    <x:r>
      <x:rPr>
        <x:sz val="1000"/>
        <x:color rgb="FF1F2937"/>
        <x:rFont val="Noto Sans CJK SC"/>
        <x:family val="2"/>
      </x:rPr>
      <x:t xml:space="preserve">当前不生成</x:t>
    </x:r>
    <x:r>
      <x:rPr>
        <x:sz val="1000"/>
        <x:color rgb="FF1F2937"/>
        <x:rFont val="Calibri"/>
      </x:rPr>
      <x:t xml:space="preserve">BASIC</x:t>
    </x:r>
  </x:si>
  <x:si>
    <x:t xml:space="preserve">Q-010</x:t>
  </x:si>
  <x:si>
    <x:r>
      <x:rPr>
        <x:sz val="1000"/>
        <x:color rgb="FF1F2937"/>
        <x:rFont val="Noto Sans CJK SC"/>
        <x:family val="2"/>
      </x:rPr>
      <x:t xml:space="preserve">验签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升级通过判据</x:t>
    </x:r>
  </x:si>
  <x:si>
    <x:r>
      <x:rPr>
        <x:sz val="1000"/>
        <x:color rgb="FF1F2937"/>
        <x:rFont val="Calibri"/>
      </x:rPr>
      <x:t xml:space="preserve">BL_VERIFY_IMAGE</x:t>
    </x:r>
    <x:r>
      <x:rPr>
        <x:sz val="1000"/>
        <x:color rgb="FF1F2937"/>
        <x:rFont val="Noto Sans CJK SC"/>
        <x:family val="2"/>
      </x:rPr>
      <x:t xml:space="preserve">、</x:t>
    </x:r>
    <x:r>
      <x:rPr>
        <x:sz val="1000"/>
        <x:color rgb="FF1F2937"/>
        <x:rFont val="Calibri"/>
      </x:rPr>
      <x:t xml:space="preserve">SOC_VERIFY</x:t>
    </x:r>
    <x:r>
      <x:rPr>
        <x:sz val="1000"/>
        <x:color rgb="FF1F2937"/>
        <x:rFont val="Noto Sans CJK SC"/>
        <x:family val="2"/>
      </x:rPr>
      <x:t xml:space="preserve">、</x:t>
    </x:r>
    <x:r>
      <x:rPr>
        <x:sz val="1000"/>
        <x:color rgb="FF1F2937"/>
        <x:rFont val="Calibri"/>
      </x:rPr>
      <x:t xml:space="preserve">BL/FW_UPGRADE</x:t>
    </x:r>
    <x:r>
      <x:rPr>
        <x:sz val="1000"/>
        <x:color rgb="FF1F2937"/>
        <x:rFont val="Noto Sans CJK SC"/>
        <x:family val="2"/>
      </x:rPr>
      <x:t xml:space="preserve">各类错误签名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摘要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计数器的批准原始错误码和无副作用检查项是什么？</x:t>
    </x:r>
  </x:si>
  <x:si>
    <x:t xml:space="preserve">EHSM_NEGATIVE_INPUT</x:t>
  </x:si>
  <x:si>
    <x:r>
      <x:rPr>
        <x:sz val="1000"/>
        <x:color rgb="FF1F2937"/>
        <x:rFont val="Calibri"/>
      </x:rPr>
      <x:t xml:space="preserve">Vendor TRM/</x:t>
    </x:r>
    <x:r>
      <x:rPr>
        <x:sz val="1000"/>
        <x:color rgb="FF1F2937"/>
        <x:rFont val="Noto Sans CJK SC"/>
        <x:family val="2"/>
      </x:rPr>
      <x:t xml:space="preserve">实际基线冻结原始码、闪存（</x:t>
    </x:r>
    <x:r>
      <x:rPr>
        <x:sz val="1000"/>
        <x:color rgb="FF1F2937"/>
        <x:rFont val="Calibri"/>
      </x:rPr>
      <x:t xml:space="preserve">Flash</x:t>
    </x:r>
    <x:r>
      <x:rPr>
        <x:sz val="1000"/>
        <x:color rgb="FF1F2937"/>
        <x:rFont val="Noto Sans CJK SC"/>
        <x:family val="2"/>
      </x:rPr>
      <x:t xml:space="preserve">）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计数器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解除隔离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放行判据</x:t>
    </x:r>
  </x:si>
  <x:si>
    <x:t xml:space="preserve">OPEN</x:t>
  </x:si>
  <x:si>
    <x:r>
      <x:rPr>
        <x:sz val="1000"/>
        <x:color rgb="FF1F2937"/>
        <x:rFont val="Noto Sans CJK SC"/>
        <x:family val="2"/>
      </x:rPr>
      <x:t xml:space="preserve">负向验签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升级原始错误码和无副作用合同仍缺</x:t>
    </x:r>
  </x:si>
  <x:si>
    <x:t xml:space="preserve">Q-011</x:t>
  </x:si>
  <x:si>
    <x:r>
      <x:rPr>
        <x:sz val="1000"/>
        <x:color rgb="FF1F2937"/>
        <x:rFont val="Calibri"/>
      </x:rPr>
      <x:t xml:space="preserve">AEAD</x:t>
    </x:r>
    <x:r>
      <x:rPr>
        <x:sz val="1000"/>
        <x:color rgb="FF1F2937"/>
        <x:rFont val="Noto Sans CJK SC"/>
        <x:family val="2"/>
      </x:rPr>
      <x:t xml:space="preserve">失败输出</x:t>
    </x:r>
  </x:si>
  <x:si>
    <x:r>
      <x:rPr>
        <x:sz val="1000"/>
        <x:color rgb="FF1F2937"/>
        <x:rFont val="Noto Sans CJK SC"/>
        <x:family val="2"/>
      </x:rPr>
      <x:t xml:space="preserve">认证标签验证失败时</x:t>
    </x:r>
    <x:r>
      <x:rPr>
        <x:sz val="1000"/>
        <x:color rgb="FF1F2937"/>
        <x:rFont val="Calibri"/>
      </x:rPr>
      <x:t xml:space="preserve">eHSM</x:t>
    </x:r>
    <x:r>
      <x:rPr>
        <x:sz val="1000"/>
        <x:color rgb="FF1F2937"/>
        <x:rFont val="Noto Sans CJK SC"/>
        <x:family val="2"/>
      </x:rPr>
      <x:t xml:space="preserve">是否保证输出缓冲区不写入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清零，还是仅以</x:t>
    </x:r>
    <x:r>
      <x:rPr>
        <x:sz val="1000"/>
        <x:color rgb="FF1F2937"/>
        <x:rFont val="Calibri"/>
      </x:rPr>
      <x:t xml:space="preserve">verify_result=false</x:t>
    </x:r>
    <x:r>
      <x:rPr>
        <x:sz val="1000"/>
        <x:color rgb="FF1F2937"/>
        <x:rFont val="Noto Sans CJK SC"/>
        <x:family val="2"/>
      </x:rPr>
      <x:t xml:space="preserve">禁止上层使用？</x:t>
    </x:r>
  </x:si>
  <x:si>
    <x:r>
      <x:rPr>
        <x:sz val="1000"/>
        <x:color rgb="FF1F2937"/>
        <x:rFont val="Noto Sans CJK SC"/>
        <x:family val="2"/>
      </x:rPr>
      <x:t xml:space="preserve">冻结明文发布与缓冲区判据；未冻结前该子判据</x:t>
    </x:r>
    <x:r>
      <x:rPr>
        <x:sz val="1000"/>
        <x:color rgb="FF1F2937"/>
        <x:rFont val="Calibri"/>
      </x:rPr>
      <x:t xml:space="preserve">INCONCLUSIVE</x:t>
    </x:r>
  </x:si>
  <x:si>
    <x:r>
      <x:rPr>
        <x:sz val="1000"/>
        <x:color rgb="FF1F2937"/>
        <x:rFont val="Calibri"/>
      </x:rPr>
      <x:t xml:space="preserve">AEAD</x:t>
    </x:r>
    <x:r>
      <x:rPr>
        <x:sz val="1000"/>
        <x:color rgb="FF1F2937"/>
        <x:rFont val="Noto Sans CJK SC"/>
        <x:family val="2"/>
      </x:rPr>
      <x:t xml:space="preserve">失败输出发布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清零合同仍缺</x:t>
    </x:r>
  </x:si>
  <x:si>
    <x:t xml:space="preserve">Q-012</x:t>
  </x:si>
  <x:si>
    <x:t xml:space="preserve">密钥策略</x:t>
  </x:si>
  <x:si>
    <x:r>
      <x:rPr>
        <x:sz val="1000"/>
        <x:color rgb="FF1F2937"/>
        <x:rFont val="Noto Sans CJK SC"/>
        <x:family val="2"/>
      </x:rPr>
      <x:t xml:space="preserve">可导出属性、用途权限、</x:t>
    </x:r>
    <x:r>
      <x:rPr>
        <x:sz val="1000"/>
        <x:color rgb="FF1F2937"/>
        <x:rFont val="Calibri"/>
      </x:rPr>
      <x:t xml:space="preserve">Owner</x:t>
    </x:r>
    <x:r>
      <x:rPr>
        <x:sz val="1000"/>
        <x:color rgb="FF1F2937"/>
        <x:rFont val="Noto Sans CJK SC"/>
        <x:family val="2"/>
      </x:rPr>
      <x:t xml:space="preserve">、无效句柄及密钥对象查询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清理合同是什么？</x:t>
    </x:r>
  </x:si>
  <x:si>
    <x:r>
      <x:rPr>
        <x:sz val="1000"/>
        <x:color rgb="FF1F2937"/>
        <x:rFont val="Noto Sans CJK SC"/>
        <x:family val="2"/>
      </x:rPr>
      <x:t xml:space="preserve">冻结</x:t>
    </x:r>
    <x:r>
      <x:rPr>
        <x:sz val="1000"/>
        <x:color rgb="FF1F2937"/>
        <x:rFont val="Calibri"/>
      </x:rPr>
      <x:t xml:space="preserve">EHSM-NEG-KEY</x:t>
    </x:r>
    <x:r>
      <x:rPr>
        <x:sz val="1000"/>
        <x:color rgb="FF1F2937"/>
        <x:rFont val="Noto Sans CJK SC"/>
        <x:family val="2"/>
      </x:rPr>
      <x:t xml:space="preserve">用例的专用测试环境与资源和预期结果</x:t>
    </x:r>
  </x:si>
  <x:si>
    <x:r>
      <x:rPr>
        <x:sz val="1000"/>
        <x:color rgb="FF1F2937"/>
        <x:rFont val="Calibri"/>
      </x:rPr>
      <x:t xml:space="preserve">SRC-0024</x:t>
    </x:r>
    <x:r>
      <x:rPr>
        <x:sz val="1000"/>
        <x:color rgb="FF1F2937"/>
        <x:rFont val="Noto Sans CJK SC"/>
        <x:family val="2"/>
      </x:rPr>
      <x:t xml:space="preserve">对象分布已明确；</x:t>
    </x:r>
    <x:r>
      <x:rPr>
        <x:sz val="1000"/>
        <x:color rgb="FF1F2937"/>
        <x:rFont val="Calibri"/>
      </x:rPr>
      <x:t xml:space="preserve">Key map</x:t>
    </x:r>
    <x:r>
      <x:rPr>
        <x:sz val="1000"/>
        <x:color rgb="FF1F2937"/>
        <x:rFont val="Noto Sans CJK SC"/>
        <x:family val="2"/>
      </x:rPr>
      <x:t xml:space="preserve">同步、属性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权限和清理合同仍对应</x:t>
    </x:r>
    <x:r>
      <x:rPr>
        <x:sz val="1000"/>
        <x:color rgb="FF1F2937"/>
        <x:rFont val="Calibri"/>
      </x:rPr>
      <x:t xml:space="preserve">EHSM-OTP-003</x:t>
    </x:r>
  </x:si>
  <x:si>
    <x:t xml:space="preserve">Q-013</x:t>
  </x:si>
  <x:si>
    <x:t xml:space="preserve">OTP/LCS</x:t>
  </x:si>
  <x:si>
    <x:r>
      <x:rPr>
        <x:sz val="1000"/>
        <x:color rgb="FF1F2937"/>
        <x:rFont val="Calibri"/>
      </x:rPr>
      <x:t xml:space="preserve">OTP</x:t>
    </x:r>
    <x:r>
      <x:rPr>
        <x:sz val="1000"/>
        <x:color rgb="FF1F2937"/>
        <x:rFont val="Noto Sans CJK SC"/>
        <x:family val="2"/>
      </x:rPr>
      <x:t xml:space="preserve">对象范围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保护属性以及</x:t>
    </x:r>
    <x:r>
      <x:rPr>
        <x:sz val="1000"/>
        <x:color rgb="FF1F2937"/>
        <x:rFont val="Calibri"/>
      </x:rPr>
      <x:t xml:space="preserve">Lifecycle/Control</x:t>
    </x:r>
    <x:r>
      <x:rPr>
        <x:sz val="1000"/>
        <x:color rgb="FF1F2937"/>
        <x:rFont val="Noto Sans CJK SC"/>
        <x:family val="2"/>
      </x:rPr>
      <x:t xml:space="preserve">允许转换矩阵是什么？</x:t>
    </x:r>
  </x:si>
  <x:si>
    <x:t xml:space="preserve">冻结专用测试环境与资源、读取方法和不可逆资源处置</x:t>
  </x:si>
  <x:si>
    <x:r>
      <x:rPr>
        <x:sz val="1000"/>
        <x:color rgb="FF1F2937"/>
        <x:rFont val="Calibri"/>
      </x:rPr>
      <x:t xml:space="preserve">OTP Table 34</x:t>
    </x:r>
    <x:r>
      <x:rPr>
        <x:sz val="1000"/>
        <x:color rgb="FF1F2937"/>
        <x:rFont val="Noto Sans CJK SC"/>
        <x:family val="2"/>
      </x:rPr>
      <x:t xml:space="preserve">及</x:t>
    </x:r>
    <x:r>
      <x:rPr>
        <x:sz val="1000"/>
        <x:color rgb="FF1F2937"/>
        <x:rFont val="Calibri"/>
      </x:rPr>
      <x:t xml:space="preserve">SRC-0024 16-slot</x:t>
    </x:r>
    <x:r>
      <x:rPr>
        <x:sz val="1000"/>
        <x:color rgb="FF1F2937"/>
        <x:rFont val="Noto Sans CJK SC"/>
        <x:family val="2"/>
      </x:rPr>
      <x:t xml:space="preserve">为唯一基线；其余关闭材料见</x:t>
    </x:r>
    <x:r>
      <x:rPr>
        <x:sz val="1000"/>
        <x:color rgb="FF1F2937"/>
        <x:rFont val="Calibri"/>
      </x:rPr>
      <x:t xml:space="preserve">OpenSpec</x:t>
    </x:r>
    <x:r>
      <x:rPr>
        <x:sz val="1000"/>
        <x:color rgb="FF1F2937"/>
        <x:rFont val="Noto Sans CJK SC"/>
        <x:family val="2"/>
      </x:rPr>
      <x:t xml:space="preserve">遗留项</x:t>
    </x:r>
  </x:si>
  <x:si>
    <x:r>
      <x:rPr>
        <x:sz val="1000"/>
        <x:color rgb="FF1F2937"/>
        <x:rFont val="Calibri"/>
      </x:rPr>
      <x:t xml:space="preserve">Table 34</x:t>
    </x:r>
    <x:r>
      <x:rPr>
        <x:sz val="1000"/>
        <x:color rgb="FF1F2937"/>
        <x:rFont val="Noto Sans CJK SC"/>
        <x:family val="2"/>
      </x:rPr>
      <x:t xml:space="preserve">和</x:t>
    </x:r>
    <x:r>
      <x:rPr>
        <x:sz val="1000"/>
        <x:color rgb="FF1F2937"/>
        <x:rFont val="Calibri"/>
      </x:rPr>
      <x:t xml:space="preserve">16-slot</x:t>
    </x:r>
    <x:r>
      <x:rPr>
        <x:sz val="1000"/>
        <x:color rgb="FF1F2937"/>
        <x:rFont val="Noto Sans CJK SC"/>
        <x:family val="2"/>
      </x:rPr>
      <x:t xml:space="preserve">分布已明确；</x:t>
    </x:r>
    <x:r>
      <x:rPr>
        <x:sz val="1000"/>
        <x:color rgb="FF1F2937"/>
        <x:rFont val="Calibri"/>
      </x:rPr>
      <x:t xml:space="preserve">fixture/backend</x:t>
    </x:r>
    <x:r>
      <x:rPr>
        <x:sz val="1000"/>
        <x:color rgb="FF1F2937"/>
        <x:rFont val="Noto Sans CJK SC"/>
        <x:family val="2"/>
      </x:rPr>
      <x:t xml:space="preserve">、属性编码、</x:t>
    </x:r>
    <x:r>
      <x:rPr>
        <x:sz val="1000"/>
        <x:color rgb="FF1F2937"/>
        <x:rFont val="Calibri"/>
      </x:rPr>
      <x:t xml:space="preserve">LCS</x:t>
    </x:r>
    <x:r>
      <x:rPr>
        <x:sz val="1000"/>
        <x:color rgb="FF1F2937"/>
        <x:rFont val="Noto Sans CJK SC"/>
        <x:family val="2"/>
      </x:rPr>
      <x:t xml:space="preserve">矩阵仍对应</x:t>
    </x:r>
    <x:r>
      <x:rPr>
        <x:sz val="1000"/>
        <x:color rgb="FF1F2937"/>
        <x:rFont val="Calibri"/>
      </x:rPr>
      <x:t xml:space="preserve">EHSM-OTP-001/003/005</x:t>
    </x:r>
    <x:r>
      <x:rPr>
        <x:sz val="1000"/>
        <x:color rgb="FF1F2937"/>
        <x:rFont val="Noto Sans CJK SC"/>
        <x:family val="2"/>
      </x:rPr>
      <x:t xml:space="preserve">及</x:t>
    </x:r>
    <x:r>
      <x:rPr>
        <x:sz val="1000"/>
        <x:color rgb="FF1F2937"/>
        <x:rFont val="Calibri"/>
      </x:rPr>
      <x:t xml:space="preserve">EHSM-RECOVERY-001</x:t>
    </x:r>
  </x:si>
  <x:si>
    <x:t xml:space="preserve">Q-014</x:t>
  </x:si>
  <x:si>
    <x:t xml:space="preserve">原始请求构造</x:t>
  </x:si>
  <x:si>
    <x:r>
      <x:rPr>
        <x:sz val="1000"/>
        <x:color rgb="FF1F2937"/>
        <x:rFont val="Calibri"/>
      </x:rPr>
      <x:t xml:space="preserve">baremetal</x:t>
    </x:r>
    <x:r>
      <x:rPr>
        <x:sz val="1000"/>
        <x:color rgb="FF1F2937"/>
        <x:rFont val="Noto Sans CJK SC"/>
        <x:family val="2"/>
      </x:rPr>
      <x:t xml:space="preserve">中可复用哪一层按现有</x:t>
    </x:r>
    <x:r>
      <x:rPr>
        <x:sz val="1000"/>
        <x:color rgb="FF1F2937"/>
        <x:rFont val="Calibri"/>
      </x:rPr>
      <x:t xml:space="preserve">Mailbox ABI</x:t>
    </x:r>
    <x:r>
      <x:rPr>
        <x:sz val="1000"/>
        <x:color rgb="FF1F2937"/>
        <x:rFont val="Noto Sans CJK SC"/>
        <x:family val="2"/>
      </x:rPr>
      <x:t xml:space="preserve">提交未支持</x:t>
    </x:r>
    <x:r>
      <x:rPr>
        <x:sz val="1000"/>
        <x:color rgb="FF1F2937"/>
        <x:rFont val="Calibri"/>
      </x:rPr>
      <x:t xml:space="preserve">command/</x:t>
    </x:r>
    <x:r>
      <x:rPr>
        <x:sz val="1000"/>
        <x:color rgb="FF1F2937"/>
        <x:rFont val="Noto Sans CJK SC"/>
        <x:family val="2"/>
      </x:rPr>
      <x:t xml:space="preserve">保留枚举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非法长度，同时证明请求已到达</x:t>
    </x:r>
    <x:r>
      <x:rPr>
        <x:sz val="1000"/>
        <x:color rgb="FF1F2937"/>
        <x:rFont val="Calibri"/>
      </x:rPr>
      <x:t xml:space="preserve">eHSM</x:t>
    </x:r>
    <x:r>
      <x:rPr>
        <x:sz val="1000"/>
        <x:color rgb="FF1F2937"/>
        <x:rFont val="Noto Sans CJK SC"/>
        <x:family val="2"/>
      </x:rPr>
      <x:t xml:space="preserve">？</x:t>
    </x:r>
  </x:si>
  <x:si>
    <x:r>
      <x:rPr>
        <x:sz val="1000"/>
        <x:color rgb="FF1F2937"/>
        <x:rFont val="Noto Sans CJK SC"/>
        <x:family val="2"/>
      </x:rPr>
      <x:t xml:space="preserve">仅建立隔离测试组包层；不得修改</x:t>
    </x:r>
    <x:r>
      <x:rPr>
        <x:sz val="1000"/>
        <x:color rgb="FF1F2937"/>
        <x:rFont val="Calibri"/>
      </x:rPr>
      <x:t xml:space="preserve">eHSM</x:t>
    </x:r>
    <x:r>
      <x:rPr>
        <x:sz val="1000"/>
        <x:color rgb="FF1F2937"/>
        <x:rFont val="Noto Sans CJK SC"/>
        <x:family val="2"/>
      </x:rPr>
      <x:t xml:space="preserve">固件或产品</x:t>
    </x:r>
    <x:r>
      <x:rPr>
        <x:sz val="1000"/>
        <x:color rgb="FF1F2937"/>
        <x:rFont val="Calibri"/>
      </x:rPr>
      <x:t xml:space="preserve">Adapter</x:t>
    </x:r>
  </x:si>
  <x:si>
    <x:r>
      <x:rPr>
        <x:sz val="1000"/>
        <x:color rgb="FF1F2937"/>
        <x:rFont val="Noto Sans CJK SC"/>
        <x:family val="2"/>
      </x:rPr>
      <x:t xml:space="preserve">负向原始请求组包层尚未实现，仍不得修改</x:t>
    </x:r>
    <x:r>
      <x:rPr>
        <x:sz val="1000"/>
        <x:color rgb="FF1F2937"/>
        <x:rFont val="Calibri"/>
      </x:rPr>
      <x:t xml:space="preserve">eHSM</x:t>
    </x:r>
    <x:r>
      <x:rPr>
        <x:sz val="1000"/>
        <x:color rgb="FF1F2937"/>
        <x:rFont val="Noto Sans CJK SC"/>
        <x:family val="2"/>
      </x:rPr>
      <x:t xml:space="preserve">固件</x:t>
    </x:r>
  </x:si>
  <x:si>
    <x:t xml:space="preserve">测试用例工作簿术语中文说明</x:t>
  </x:si>
  <x:si>
    <x:r>
      <x:rPr>
        <x:b/>
        <x:sz val="1100"/>
        <x:color rgb="FF1F2937"/>
        <x:rFont val="Noto Sans CJK SC"/>
        <x:family val="2"/>
      </x:rPr>
      <x:t xml:space="preserve">说明性文字已中文化；命令名、寄存器名、用例</x:t>
    </x:r>
    <x:r>
      <x:rPr>
        <x:b/>
        <x:sz val="1100"/>
        <x:color rgb="FF1F2937"/>
        <x:rFont val="Calibri"/>
      </x:rPr>
      <x:t xml:space="preserve">ID</x:t>
    </x:r>
    <x:r>
      <x:rPr>
        <x:b/>
        <x:sz val="1100"/>
        <x:color rgb="FF1F2937"/>
        <x:rFont val="Noto Sans CJK SC"/>
        <x:family val="2"/>
      </x:rPr>
      <x:t xml:space="preserve">、错误码、状态码和门禁码为代码匹配标识，保留原文。</x:t>
    </x:r>
  </x:si>
  <x:si>
    <x:r>
      <x:rPr>
        <x:b/>
        <x:sz val="1100"/>
        <x:color rgb="FFFFFFFF"/>
        <x:rFont val="Noto Sans CJK SC"/>
        <x:family val="2"/>
      </x:rPr>
      <x:t xml:space="preserve">英文术语</x:t>
    </x:r>
    <x:r>
      <x:rPr>
        <x:b/>
        <x:sz val="1100"/>
        <x:color rgb="FFFFFFFF"/>
        <x:rFont val="Calibri"/>
      </x:rPr>
      <x:t xml:space="preserve">/</x:t>
    </x:r>
    <x:r>
      <x:rPr>
        <x:b/>
        <x:sz val="1100"/>
        <x:color rgb="FFFFFFFF"/>
        <x:rFont val="Noto Sans CJK SC"/>
        <x:family val="2"/>
      </x:rPr>
      <x:t xml:space="preserve">缩写</x:t>
    </x:r>
  </x:si>
  <x:si>
    <x:t xml:space="preserve">中文解释</x:t>
  </x:si>
  <x:si>
    <x:t xml:space="preserve">在本工作簿中的含义</x:t>
  </x:si>
  <x:si>
    <x:t xml:space="preserve">示例或使用要求</x:t>
  </x:si>
  <x:si>
    <x:t xml:space="preserve">基本功能用例</x:t>
  </x:si>
  <x:si>
    <x:r>
      <x:rPr>
        <x:sz val="1000"/>
        <x:color rgb="FF1F2937"/>
        <x:rFont val="Noto Sans CJK SC"/>
        <x:family val="2"/>
      </x:rPr>
      <x:t xml:space="preserve">使用合法输入验证命令正常功能、返回码和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闭环。</x:t>
    </x:r>
  </x:si>
  <x:si>
    <x:r>
      <x:rPr>
        <x:sz val="1000"/>
        <x:color rgb="FF1F2937"/>
        <x:rFont val="Noto Sans CJK SC"/>
        <x:family val="2"/>
      </x:rPr>
      <x:t xml:space="preserve">保留</x:t>
    </x:r>
    <x:r>
      <x:rPr>
        <x:sz val="1000"/>
        <x:color rgb="FF1F2937"/>
        <x:rFont val="Calibri"/>
      </x:rPr>
      <x:t xml:space="preserve">BASIC</x:t>
    </x:r>
    <x:r>
      <x:rPr>
        <x:sz val="1000"/>
        <x:color rgb="FF1F2937"/>
        <x:rFont val="Noto Sans CJK SC"/>
        <x:family val="2"/>
      </x:rPr>
      <x:t xml:space="preserve">作为用例类型标识。</x:t>
    </x:r>
  </x:si>
  <x:si>
    <x:r>
      <x:rPr>
        <x:sz val="1000"/>
        <x:color rgb="FF1F2937"/>
        <x:rFont val="Calibri"/>
      </x:rPr>
      <x:t xml:space="preserve">eHSM</x:t>
    </x:r>
    <x:r>
      <x:rPr>
        <x:sz val="1000"/>
        <x:color rgb="FF1F2937"/>
        <x:rFont val="Noto Sans CJK SC"/>
        <x:family val="2"/>
      </x:rPr>
      <x:t xml:space="preserve">负向用例</x:t>
    </x:r>
  </x:si>
  <x:si>
    <x:r>
      <x:rPr>
        <x:sz val="1000"/>
        <x:color rgb="FF1F2937"/>
        <x:rFont val="Noto Sans CJK SC"/>
        <x:family val="2"/>
      </x:rPr>
      <x:t xml:space="preserve">请求真实到达</x:t>
    </x:r>
    <x:r>
      <x:rPr>
        <x:sz val="1000"/>
        <x:color rgb="FF1F2937"/>
        <x:rFont val="Calibri"/>
      </x:rPr>
      <x:t xml:space="preserve">eHSM</x:t>
    </x:r>
    <x:r>
      <x:rPr>
        <x:sz val="1000"/>
        <x:color rgb="FF1F2937"/>
        <x:rFont val="Noto Sans CJK SC"/>
        <x:family val="2"/>
      </x:rPr>
      <x:t xml:space="preserve">，验证错误输入被拒绝且无禁止副作用。</x:t>
    </x:r>
  </x:si>
  <x:si>
    <x:r>
      <x:rPr>
        <x:sz val="1000"/>
        <x:color rgb="FF1F2937"/>
        <x:rFont val="Calibri"/>
      </x:rPr>
      <x:t xml:space="preserve">Host</x:t>
    </x:r>
    <x:r>
      <x:rPr>
        <x:sz val="1000"/>
        <x:color rgb="FF1F2937"/>
        <x:rFont val="Noto Sans CJK SC"/>
        <x:family val="2"/>
      </x:rPr>
      <x:t xml:space="preserve">本地拒绝不能算</x:t>
    </x:r>
    <x:r>
      <x:rPr>
        <x:sz val="1000"/>
        <x:color rgb="FF1F2937"/>
        <x:rFont val="Calibri"/>
      </x:rPr>
      <x:t xml:space="preserve">eHSM</x:t>
    </x:r>
    <x:r>
      <x:rPr>
        <x:sz val="1000"/>
        <x:color rgb="FF1F2937"/>
        <x:rFont val="Noto Sans CJK SC"/>
        <x:family val="2"/>
      </x:rPr>
      <x:t xml:space="preserve">通过。</x:t>
    </x:r>
  </x:si>
  <x:si>
    <x:t xml:space="preserve">oracle</x:t>
  </x:si>
  <x:si>
    <x:t xml:space="preserve">通过判据</x:t>
  </x:si>
  <x:si>
    <x:t xml:space="preserve">用于判断用例通过或失败的权威预期。</x:t>
  </x:si>
  <x:si>
    <x:t xml:space="preserve">原始返回符合定义且状态无副作用。</x:t>
  </x:si>
  <x:si>
    <x:t xml:space="preserve">fixture</x:t>
  </x:si>
  <x:si>
    <x:t xml:space="preserve">专用测试环境与资源</x:t>
  </x:si>
  <x:si>
    <x:r>
      <x:rPr>
        <x:sz val="1000"/>
        <x:color rgb="FF1F2937"/>
        <x:rFont val="Noto Sans CJK SC"/>
        <x:family val="2"/>
      </x:rPr>
      <x:t xml:space="preserve">经确认可以安全使用的测试芯片、密钥、镜像、</x:t>
    </x:r>
    <x:r>
      <x:rPr>
        <x:sz val="1000"/>
        <x:color rgb="FF1F2937"/>
        <x:rFont val="Calibri"/>
      </x:rPr>
      <x:t xml:space="preserve">OTP</x:t>
    </x:r>
    <x:r>
      <x:rPr>
        <x:sz val="1000"/>
        <x:color rgb="FF1F2937"/>
        <x:rFont val="Noto Sans CJK SC"/>
        <x:family val="2"/>
      </x:rPr>
      <x:t xml:space="preserve">区或</x:t>
    </x:r>
    <x:r>
      <x:rPr>
        <x:sz val="1000"/>
        <x:color rgb="FF1F2937"/>
        <x:rFont val="Calibri"/>
      </x:rPr>
      <x:t xml:space="preserve">Flash</x:t>
    </x:r>
    <x:r>
      <x:rPr>
        <x:sz val="1000"/>
        <x:color rgb="FF1F2937"/>
        <x:rFont val="Noto Sans CJK SC"/>
        <x:family val="2"/>
      </x:rPr>
      <x:t xml:space="preserve">区域。</x:t>
    </x:r>
  </x:si>
  <x:si>
    <x:t xml:space="preserve">不可逆测试没有该资源时结果为无法判定。</x:t>
  </x:si>
  <x:si>
    <x:t xml:space="preserve">approved fixture</x:t>
  </x:si>
  <x:si>
    <x:t xml:space="preserve">经确认可用的专用测试环境</x:t>
  </x:si>
  <x:si>
    <x:t xml:space="preserve">确认不会破坏量产数据，副作用可接受，并有恢复或报废方案。</x:t>
  </x:si>
  <x:si>
    <x:r>
      <x:rPr>
        <x:sz val="1000"/>
        <x:color rgb="FF1F2937"/>
        <x:rFont val="Noto Sans CJK SC"/>
        <x:family val="2"/>
      </x:rPr>
      <x:t xml:space="preserve">专用</x:t>
    </x:r>
    <x:r>
      <x:rPr>
        <x:sz val="1000"/>
        <x:color rgb="FF1F2937"/>
        <x:rFont val="Calibri"/>
      </x:rPr>
      <x:t xml:space="preserve">OTP</x:t>
    </x:r>
    <x:r>
      <x:rPr>
        <x:sz val="1000"/>
        <x:color rgb="FF1F2937"/>
        <x:rFont val="Noto Sans CJK SC"/>
        <x:family val="2"/>
      </x:rPr>
      <x:t xml:space="preserve">测试芯片和已批准可消耗的</x:t>
    </x:r>
    <x:r>
      <x:rPr>
        <x:sz val="1000"/>
        <x:color rgb="FF1F2937"/>
        <x:rFont val="Calibri"/>
      </x:rPr>
      <x:t xml:space="preserve">bit</x:t>
    </x:r>
    <x:r>
      <x:rPr>
        <x:sz val="1000"/>
        <x:color rgb="FF1F2937"/>
        <x:rFont val="Noto Sans CJK SC"/>
        <x:family val="2"/>
      </x:rPr>
      <x:t xml:space="preserve">。</x:t>
    </x:r>
  </x:si>
  <x:si>
    <x:t xml:space="preserve">vector</x:t>
  </x:si>
  <x:si>
    <x:t xml:space="preserve">参数化测试输入</x:t>
  </x:si>
  <x:si>
    <x:t xml:space="preserve">同一用例下不同算法、长度、错误值或通道的输入组合。</x:t>
  </x:si>
  <x:si>
    <x:r>
      <x:rPr>
        <x:sz val="1000"/>
        <x:color rgb="FF1F2937"/>
        <x:rFont val="Calibri"/>
      </x:rPr>
      <x:t xml:space="preserve">16</x:t>
    </x:r>
    <x:r>
      <x:rPr>
        <x:sz val="1000"/>
        <x:color rgb="FF1F2937"/>
        <x:rFont val="Noto Sans CJK SC"/>
        <x:family val="2"/>
      </x:rPr>
      <x:t xml:space="preserve">个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通道作为</x:t>
    </x:r>
    <x:r>
      <x:rPr>
        <x:sz val="1000"/>
        <x:color rgb="FF1F2937"/>
        <x:rFont val="Calibri"/>
      </x:rPr>
      <x:t xml:space="preserve">16</x:t>
    </x:r>
    <x:r>
      <x:rPr>
        <x:sz val="1000"/>
        <x:color rgb="FF1F2937"/>
        <x:rFont val="Noto Sans CJK SC"/>
        <x:family val="2"/>
      </x:rPr>
      <x:t xml:space="preserve">组参数化输入。</x:t>
    </x:r>
  </x:si>
  <x:si>
    <x:t xml:space="preserve">stage</x:t>
  </x:si>
  <x:si>
    <x:t xml:space="preserve">处理阶段</x:t>
  </x:si>
  <x:si>
    <x:t xml:space="preserve">请求在解析、认证、验签、写入或提交等流程中的位置。</x:t>
  </x:si>
  <x:si>
    <x:t xml:space="preserve">失败阶段不同且副作用不同，需要拆成独立用例。</x:t>
  </x:si>
  <x:si>
    <x:t xml:space="preserve">baseline</x:t>
  </x:si>
  <x:si>
    <x:t xml:space="preserve">测试基线</x:t>
  </x:si>
  <x:si>
    <x:r>
      <x:rPr>
        <x:sz val="1000"/>
        <x:color rgb="FF1F2937"/>
        <x:rFont val="Noto Sans CJK SC"/>
        <x:family val="2"/>
      </x:rPr>
      <x:t xml:space="preserve">执行前冻结的软件、</x:t>
    </x:r>
    <x:r>
      <x:rPr>
        <x:sz val="1000"/>
        <x:color rgb="FF1F2937"/>
        <x:rFont val="Calibri"/>
      </x:rPr>
      <x:t xml:space="preserve">RTL</x:t>
    </x:r>
    <x:r>
      <x:rPr>
        <x:sz val="1000"/>
        <x:color rgb="FF1F2937"/>
        <x:rFont val="Noto Sans CJK SC"/>
        <x:family val="2"/>
      </x:rPr>
      <x:t xml:space="preserve">、</x:t>
    </x:r>
    <x:r>
      <x:rPr>
        <x:sz val="1000"/>
        <x:color rgb="FF1F2937"/>
        <x:rFont val="Calibri"/>
      </x:rPr>
      <x:t xml:space="preserve">eHSM</x:t>
    </x:r>
    <x:r>
      <x:rPr>
        <x:sz val="1000"/>
        <x:color rgb="FF1F2937"/>
        <x:rFont val="Noto Sans CJK SC"/>
        <x:family val="2"/>
      </x:rPr>
      <x:t xml:space="preserve">版本和初始状态。</x:t>
    </x:r>
  </x:si>
  <x:si>
    <x:t xml:space="preserve">记录分支、提交号、固件版本和寄存器初值。</x:t>
  </x:si>
  <x:si>
    <x:t xml:space="preserve">raw response/raw status</x:t>
  </x:si>
  <x:si>
    <x:r>
      <x:rPr>
        <x:sz val="1000"/>
        <x:color rgb="FF1F2937"/>
        <x:rFont val="Noto Sans CJK SC"/>
        <x:family val="2"/>
      </x:rPr>
      <x:t xml:space="preserve">原始响应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原始状态</x:t>
    </x:r>
  </x:si>
  <x:si>
    <x:r>
      <x:rPr>
        <x:sz val="1000"/>
        <x:color rgb="FF1F2937"/>
        <x:rFont val="Noto Sans CJK SC"/>
        <x:family val="2"/>
      </x:rPr>
      <x:t xml:space="preserve">未经</x:t>
    </x:r>
    <x:r>
      <x:rPr>
        <x:sz val="1000"/>
        <x:color rgb="FF1F2937"/>
        <x:rFont val="Calibri"/>
      </x:rPr>
      <x:t xml:space="preserve">Host</x:t>
    </x:r>
    <x:r>
      <x:rPr>
        <x:sz val="1000"/>
        <x:color rgb="FF1F2937"/>
        <x:rFont val="Noto Sans CJK SC"/>
        <x:family val="2"/>
      </x:rPr>
      <x:t xml:space="preserve">二次映射的</x:t>
    </x:r>
    <x:r>
      <x:rPr>
        <x:sz val="1000"/>
        <x:color rgb="FF1F2937"/>
        <x:rFont val="Calibri"/>
      </x:rPr>
      <x:t xml:space="preserve">eHSM</x:t>
    </x:r>
    <x:r>
      <x:rPr>
        <x:sz val="1000"/>
        <x:color rgb="FF1F2937"/>
        <x:rFont val="Noto Sans CJK SC"/>
        <x:family val="2"/>
      </x:rPr>
      <x:t xml:space="preserve">直接返回值。</x:t>
    </x:r>
  </x:si>
  <x:si>
    <x:t xml:space="preserve">日志必须同时保存原始值和转换后的结果。</x:t>
  </x:si>
  <x:si>
    <x:t xml:space="preserve">recovery</x:t>
  </x:si>
  <x:si>
    <x:t xml:space="preserve">清理恢复方式</x:t>
  </x:si>
  <x:si>
    <x:r>
      <x:rPr>
        <x:sz val="1000"/>
        <x:color rgb="FF1F2937"/>
        <x:rFont val="Noto Sans CJK SC"/>
        <x:family val="2"/>
      </x:rPr>
      <x:t xml:space="preserve">用例结束后恢复设备、对象、</x:t>
    </x:r>
    <x:r>
      <x:rPr>
        <x:sz val="1000"/>
        <x:color rgb="FF1F2937"/>
        <x:rFont val="Calibri"/>
      </x:rPr>
      <x:t xml:space="preserve">Flash</x:t>
    </x:r>
    <x:r>
      <x:rPr>
        <x:sz val="1000"/>
        <x:color rgb="FF1F2937"/>
        <x:rFont val="Noto Sans CJK SC"/>
        <x:family val="2"/>
      </x:rPr>
      <x:t xml:space="preserve">、计数器或服务的方法。</x:t>
    </x:r>
  </x:si>
  <x:si>
    <x:r>
      <x:rPr>
        <x:sz val="1000"/>
        <x:color rgb="FF1F2937"/>
        <x:rFont val="Noto Sans CJK SC"/>
        <x:family val="2"/>
      </x:rPr>
      <x:t xml:space="preserve">清理密钥对象、恢复</x:t>
    </x:r>
    <x:r>
      <x:rPr>
        <x:sz val="1000"/>
        <x:color rgb="FF1F2937"/>
        <x:rFont val="Calibri"/>
      </x:rPr>
      <x:t xml:space="preserve">Firewall</x:t>
    </x:r>
    <x:r>
      <x:rPr>
        <x:sz val="1000"/>
        <x:color rgb="FF1F2937"/>
        <x:rFont val="Noto Sans CJK SC"/>
        <x:family val="2"/>
      </x:rPr>
      <x:t xml:space="preserve">或复位测试实例。</x:t>
    </x:r>
  </x:si>
  <x:si>
    <x:t xml:space="preserve">sentinel</x:t>
  </x:si>
  <x:si>
    <x:t xml:space="preserve">预置检查值</x:t>
  </x:si>
  <x:si>
    <x:t xml:space="preserve">预先写入缓冲区或相邻通道、用于检查是否被意外修改的固定值。</x:t>
  </x:si>
  <x:si>
    <x:t xml:space="preserve">非目标通道的预置检查值必须保持不变。</x:t>
  </x:si>
  <x:si>
    <x:t xml:space="preserve">golden</x:t>
  </x:si>
  <x:si>
    <x:t xml:space="preserve">已验证正确的基准样本</x:t>
  </x:si>
  <x:si>
    <x:t xml:space="preserve">已经确认能够通过的签名、镜像、密钥或输入。</x:t>
  </x:si>
  <x:si>
    <x:r>
      <x:rPr>
        <x:sz val="1000"/>
        <x:color rgb="FF1F2937"/>
        <x:rFont val="Noto Sans CJK SC"/>
        <x:family val="2"/>
      </x:rPr>
      <x:t xml:space="preserve">先通过基准样本，再只翻转签名一个</x:t>
    </x:r>
    <x:r>
      <x:rPr>
        <x:sz val="1000"/>
        <x:color rgb="FF1F2937"/>
        <x:rFont val="Calibri"/>
      </x:rPr>
      <x:t xml:space="preserve">bit</x:t>
    </x:r>
    <x:r>
      <x:rPr>
        <x:sz val="1000"/>
        <x:color rgb="FF1F2937"/>
        <x:rFont val="Noto Sans CJK SC"/>
        <x:family val="2"/>
      </x:rPr>
      <x:t xml:space="preserve">。</x:t>
    </x:r>
  </x:si>
  <x:si>
    <x:t xml:space="preserve">Host</x:t>
  </x:si>
  <x:si>
    <x:t xml:space="preserve">主机侧软件</x:t>
  </x:si>
  <x:si>
    <x:r>
      <x:rPr>
        <x:sz val="1000"/>
        <x:color rgb="FF1F2937"/>
        <x:rFont val="Noto Sans CJK SC"/>
        <x:family val="2"/>
      </x:rPr>
      <x:t xml:space="preserve">负责构造请求、提交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事务和采集结果的软件端。</x:t>
    </x:r>
  </x:si>
  <x:si>
    <x:r>
      <x:rPr>
        <x:sz val="1000"/>
        <x:color rgb="FF1F2937"/>
        <x:rFont val="Calibri"/>
      </x:rPr>
      <x:t xml:space="preserve">Host</x:t>
    </x:r>
    <x:r>
      <x:rPr>
        <x:sz val="1000"/>
        <x:color rgb="FF1F2937"/>
        <x:rFont val="Noto Sans CJK SC"/>
        <x:family val="2"/>
      </x:rPr>
      <x:t xml:space="preserve">本地参数检查不等于</x:t>
    </x:r>
    <x:r>
      <x:rPr>
        <x:sz val="1000"/>
        <x:color rgb="FF1F2937"/>
        <x:rFont val="Calibri"/>
      </x:rPr>
      <x:t xml:space="preserve">eHSM</x:t>
    </x:r>
    <x:r>
      <x:rPr>
        <x:sz val="1000"/>
        <x:color rgb="FF1F2937"/>
        <x:rFont val="Noto Sans CJK SC"/>
        <x:family val="2"/>
      </x:rPr>
      <x:t xml:space="preserve">拒绝。</x:t>
    </x:r>
  </x:si>
  <x:si>
    <x:t xml:space="preserve">Mailbox</x:t>
  </x:si>
  <x:si>
    <x:t xml:space="preserve">邮箱通信接口</x:t>
  </x:si>
  <x:si>
    <x:r>
      <x:rPr>
        <x:sz val="1000"/>
        <x:color rgb="FF1F2937"/>
        <x:rFont val="Calibri"/>
      </x:rPr>
      <x:t xml:space="preserve">Host</x:t>
    </x:r>
    <x:r>
      <x:rPr>
        <x:sz val="1000"/>
        <x:color rgb="FF1F2937"/>
        <x:rFont val="Noto Sans CJK SC"/>
        <x:family val="2"/>
      </x:rPr>
      <x:t xml:space="preserve">与</x:t>
    </x:r>
    <x:r>
      <x:rPr>
        <x:sz val="1000"/>
        <x:color rgb="FF1F2937"/>
        <x:rFont val="Calibri"/>
      </x:rPr>
      <x:t xml:space="preserve">eHSM</x:t>
    </x:r>
    <x:r>
      <x:rPr>
        <x:sz val="1000"/>
        <x:color rgb="FF1F2937"/>
        <x:rFont val="Noto Sans CJK SC"/>
        <x:family val="2"/>
      </x:rPr>
      <x:t xml:space="preserve">之间传递命令、地址、通知和响应的硬件接口。</x:t>
    </x:r>
  </x:si>
  <x:si>
    <x:r>
      <x:rPr>
        <x:sz val="1000"/>
        <x:color rgb="FF1F2937"/>
        <x:rFont val="Calibri"/>
      </x:rPr>
      <x:t xml:space="preserve">INFO</x:t>
    </x:r>
    <x:r>
      <x:rPr>
        <x:sz val="1000"/>
        <x:color rgb="FF1F2937"/>
        <x:rFont val="Noto Sans CJK SC"/>
        <x:family val="2"/>
      </x:rPr>
      <x:t xml:space="preserve">保存信息，</x:t>
    </x:r>
    <x:r>
      <x:rPr>
        <x:sz val="1000"/>
        <x:color rgb="FF1F2937"/>
        <x:rFont val="Calibri"/>
      </x:rPr>
      <x:t xml:space="preserve">NOTE</x:t>
    </x:r>
    <x:r>
      <x:rPr>
        <x:sz val="1000"/>
        <x:color rgb="FF1F2937"/>
        <x:rFont val="Noto Sans CJK SC"/>
        <x:family val="2"/>
      </x:rPr>
      <x:t xml:space="preserve">用于通知。</x:t>
    </x:r>
  </x:si>
  <x:si>
    <x:t xml:space="preserve">INFO/NOTE</x:t>
  </x:si>
  <x:si>
    <x:r>
      <x:rPr>
        <x:sz val="1000"/>
        <x:color rgb="FF1F2937"/>
        <x:rFont val="Noto Sans CJK SC"/>
        <x:family val="2"/>
      </x:rPr>
      <x:t xml:space="preserve">信息寄存器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通知寄存器</x:t>
    </x:r>
  </x:si>
  <x:si>
    <x:r>
      <x:rPr>
        <x:sz val="1000"/>
        <x:color rgb="FF1F2937"/>
        <x:rFont val="Calibri"/>
      </x:rPr>
      <x:t xml:space="preserve">INFO</x:t>
    </x:r>
    <x:r>
      <x:rPr>
        <x:sz val="1000"/>
        <x:color rgb="FF1F2937"/>
        <x:rFont val="Noto Sans CJK SC"/>
        <x:family val="2"/>
      </x:rPr>
      <x:t xml:space="preserve">承载请求或响应信息；</x:t>
    </x:r>
    <x:r>
      <x:rPr>
        <x:sz val="1000"/>
        <x:color rgb="FF1F2937"/>
        <x:rFont val="Calibri"/>
      </x:rPr>
      <x:t xml:space="preserve">NOTE</x:t>
    </x:r>
    <x:r>
      <x:rPr>
        <x:sz val="1000"/>
        <x:color rgb="FF1F2937"/>
        <x:rFont val="Noto Sans CJK SC"/>
        <x:family val="2"/>
      </x:rPr>
      <x:t xml:space="preserve">发布新请求或新响应。</x:t>
    </x:r>
  </x:si>
  <x:si>
    <x:r>
      <x:rPr>
        <x:sz val="1000"/>
        <x:color rgb="FF1F2937"/>
        <x:rFont val="Noto Sans CJK SC"/>
        <x:family val="2"/>
      </x:rPr>
      <x:t xml:space="preserve">数据必须先准备，再通过</x:t>
    </x:r>
    <x:r>
      <x:rPr>
        <x:sz val="1000"/>
        <x:color rgb="FF1F2937"/>
        <x:rFont val="Calibri"/>
      </x:rPr>
      <x:t xml:space="preserve">NOTE</x:t>
    </x:r>
    <x:r>
      <x:rPr>
        <x:sz val="1000"/>
        <x:color rgb="FF1F2937"/>
        <x:rFont val="Noto Sans CJK SC"/>
        <x:family val="2"/>
      </x:rPr>
      <x:t xml:space="preserve">通知。</x:t>
    </x:r>
  </x:si>
  <x:si>
    <x:t xml:space="preserve">MMIO</x:t>
  </x:si>
  <x:si>
    <x:t xml:space="preserve">内存映射寄存器访问</x:t>
  </x:si>
  <x:si>
    <x:t xml:space="preserve">软件通过普通地址读写硬件寄存器。</x:t>
  </x:si>
  <x:si>
    <x:r>
      <x:rPr>
        <x:sz val="1000"/>
        <x:color rgb="FF1F2937"/>
        <x:rFont val="Noto Sans CJK SC"/>
        <x:family val="2"/>
      </x:rPr>
      <x:t xml:space="preserve">读取</x:t>
    </x:r>
    <x:r>
      <x:rPr>
        <x:sz val="1000"/>
        <x:color rgb="FF1F2937"/>
        <x:rFont val="Calibri"/>
      </x:rPr>
      <x:t xml:space="preserve">HSM</x:t>
    </x:r>
    <x:r>
      <x:rPr>
        <x:sz val="1000"/>
        <x:color rgb="FF1F2937"/>
        <x:rFont val="Noto Sans CJK SC"/>
        <x:family val="2"/>
      </x:rPr>
      <x:t xml:space="preserve">状态寄存器或配置</x:t>
    </x:r>
    <x:r>
      <x:rPr>
        <x:sz val="1000"/>
        <x:color rgb="FF1F2937"/>
        <x:rFont val="Calibri"/>
      </x:rPr>
      <x:t xml:space="preserve">IRQ</x:t>
    </x:r>
    <x:r>
      <x:rPr>
        <x:sz val="1000"/>
        <x:color rgb="FF1F2937"/>
        <x:rFont val="Noto Sans CJK SC"/>
        <x:family val="2"/>
      </x:rPr>
      <x:t xml:space="preserve">。</x:t>
    </x:r>
  </x:si>
  <x:si>
    <x:t xml:space="preserve">IRQ</x:t>
  </x:si>
  <x:si>
    <x:t xml:space="preserve">中断请求</x:t>
  </x:si>
  <x:si>
    <x:r>
      <x:rPr>
        <x:sz val="1000"/>
        <x:color rgb="FF1F2937"/>
        <x:rFont val="Noto Sans CJK SC"/>
        <x:family val="2"/>
      </x:rPr>
      <x:t xml:space="preserve">硬件向处理器报告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响应或错误事件的信号。</x:t>
    </x:r>
  </x:si>
  <x:si>
    <x:t xml:space="preserve">检查中断来源、屏蔽、清除和再次触发。</x:t>
  </x:si>
  <x:si>
    <x:t xml:space="preserve">APLIC</x:t>
  </x:si>
  <x:si>
    <x:t xml:space="preserve">高级平台级中断控制器</x:t>
  </x:si>
  <x:si>
    <x:r>
      <x:rPr>
        <x:sz val="1000"/>
        <x:color rgb="FF1F2937"/>
        <x:rFont val="Calibri"/>
      </x:rPr>
      <x:t xml:space="preserve">RISC-V</x:t>
    </x:r>
    <x:r>
      <x:rPr>
        <x:sz val="1000"/>
        <x:color rgb="FF1F2937"/>
        <x:rFont val="Noto Sans CJK SC"/>
        <x:family val="2"/>
      </x:rPr>
      <x:t xml:space="preserve">平台中配置</x:t>
    </x:r>
    <x:r>
      <x:rPr>
        <x:sz val="1000"/>
        <x:color rgb="FF1F2937"/>
        <x:rFont val="Calibri"/>
      </x:rPr>
      <x:t xml:space="preserve">IRQ</x:t>
    </x:r>
    <x:r>
      <x:rPr>
        <x:sz val="1000"/>
        <x:color rgb="FF1F2937"/>
        <x:rFont val="Noto Sans CJK SC"/>
        <x:family val="2"/>
      </x:rPr>
      <x:t xml:space="preserve">来源、目标和使能的中断控制模块。</x:t>
    </x:r>
  </x:si>
  <x:si>
    <x:r>
      <x:rPr>
        <x:sz val="1000"/>
        <x:color rgb="FF1F2937"/>
        <x:rFont val="Noto Sans CJK SC"/>
        <x:family val="2"/>
      </x:rPr>
      <x:t xml:space="preserve">为</x:t>
    </x:r>
    <x:r>
      <x:rPr>
        <x:sz val="1000"/>
        <x:color rgb="FF1F2937"/>
        <x:rFont val="Calibri"/>
      </x:rPr>
      <x:t xml:space="preserve">16</x:t>
    </x:r>
    <x:r>
      <x:rPr>
        <x:sz val="1000"/>
        <x:color rgb="FF1F2937"/>
        <x:rFont val="Noto Sans CJK SC"/>
        <x:family val="2"/>
      </x:rPr>
      <x:t xml:space="preserve">路</x:t>
    </x:r>
    <x:r>
      <x:rPr>
        <x:sz val="1000"/>
        <x:color rgb="FF1F2937"/>
        <x:rFont val="Calibri"/>
      </x:rPr>
      <x:t xml:space="preserve">Mailbox IRQ</x:t>
    </x:r>
    <x:r>
      <x:rPr>
        <x:sz val="1000"/>
        <x:color rgb="FF1F2937"/>
        <x:rFont val="Noto Sans CJK SC"/>
        <x:family val="2"/>
      </x:rPr>
      <x:t xml:space="preserve">注册目标和中断处理函数。</x:t>
    </x:r>
  </x:si>
  <x:si>
    <x:t xml:space="preserve">handler</x:t>
  </x:si>
  <x:si>
    <x:t xml:space="preserve">中断处理函数</x:t>
  </x:si>
  <x:si>
    <x:r>
      <x:rPr>
        <x:sz val="1000"/>
        <x:color rgb="FF1F2937"/>
        <x:rFont val="Calibri"/>
      </x:rPr>
      <x:t xml:space="preserve">IRQ</x:t>
    </x:r>
    <x:r>
      <x:rPr>
        <x:sz val="1000"/>
        <x:color rgb="FF1F2937"/>
        <x:rFont val="Noto Sans CJK SC"/>
        <x:family val="2"/>
      </x:rPr>
      <x:t xml:space="preserve">到达时由处理器执行的处理函数。</x:t>
    </x:r>
  </x:si>
  <x:si>
    <x:t xml:space="preserve">记录来源和次数，再按合同清除。</x:t>
  </x:si>
  <x:si>
    <x:t xml:space="preserve">mask/clear</x:t>
  </x:si>
  <x:si>
    <x:r>
      <x:rPr>
        <x:sz val="1000"/>
        <x:color rgb="FF1F2937"/>
        <x:rFont val="Noto Sans CJK SC"/>
        <x:family val="2"/>
      </x:rPr>
      <x:t xml:space="preserve">屏蔽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清除</x:t>
    </x:r>
  </x:si>
  <x:si>
    <x:t xml:space="preserve">屏蔽决定是否进入中断处理函数；清除用于确认并结束当前事件。</x:t>
  </x:si>
  <x:si>
    <x:t xml:space="preserve">屏蔽后可轮询，清除后不能形成中断风暴。</x:t>
  </x:si>
  <x:si>
    <x:t xml:space="preserve">poll</x:t>
  </x:si>
  <x:si>
    <x:t xml:space="preserve">轮询</x:t>
  </x:si>
  <x:si>
    <x:t xml:space="preserve">软件反复读取状态，等待事务完成，而不依赖中断。</x:t>
  </x:si>
  <x:si>
    <x:r>
      <x:rPr>
        <x:sz val="1000"/>
        <x:color rgb="FF1F2937"/>
        <x:rFont val="Noto Sans CJK SC"/>
        <x:family val="2"/>
      </x:rPr>
      <x:t xml:space="preserve">产品首版可继续轮询，测试仍可有独立</x:t>
    </x:r>
    <x:r>
      <x:rPr>
        <x:sz val="1000"/>
        <x:color rgb="FF1F2937"/>
        <x:rFont val="Calibri"/>
      </x:rPr>
      <x:t xml:space="preserve">IRQ</x:t>
    </x:r>
    <x:r>
      <x:rPr>
        <x:sz val="1000"/>
        <x:color rgb="FF1F2937"/>
        <x:rFont val="Noto Sans CJK SC"/>
        <x:family val="2"/>
      </x:rPr>
      <x:t xml:space="preserve">配置。</x:t>
    </x:r>
  </x:si>
  <x:si>
    <x:t xml:space="preserve">CDC</x:t>
  </x:si>
  <x:si>
    <x:t xml:space="preserve">跨时钟域</x:t>
  </x:si>
  <x:si>
    <x:t xml:space="preserve">信号跨越不同时钟区域时的同步处理。</x:t>
  </x:si>
  <x:si>
    <x:r>
      <x:rPr>
        <x:sz val="1000"/>
        <x:color rgb="FF1F2937"/>
        <x:rFont val="Noto Sans CJK SC"/>
        <x:family val="2"/>
      </x:rPr>
      <x:t xml:space="preserve">软件只能看功能结果，逐周期正确性由</x:t>
    </x:r>
    <x:r>
      <x:rPr>
        <x:sz val="1000"/>
        <x:color rgb="FF1F2937"/>
        <x:rFont val="Calibri"/>
      </x:rPr>
      <x:t xml:space="preserve">RTL/DV</x:t>
    </x:r>
    <x:r>
      <x:rPr>
        <x:sz val="1000"/>
        <x:color rgb="FF1F2937"/>
        <x:rFont val="Noto Sans CJK SC"/>
        <x:family val="2"/>
      </x:rPr>
      <x:t xml:space="preserve">补充。</x:t>
    </x:r>
  </x:si>
  <x:si>
    <x:t xml:space="preserve">pulse/level</x:t>
  </x:si>
  <x:si>
    <x:r>
      <x:rPr>
        <x:sz val="1000"/>
        <x:color rgb="FF1F2937"/>
        <x:rFont val="Noto Sans CJK SC"/>
        <x:family val="2"/>
      </x:rPr>
      <x:t xml:space="preserve">脉冲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电平</x:t>
    </x:r>
  </x:si>
  <x:si>
    <x:t xml:space="preserve">错误或中断信号可能短暂跳变，也可能保持有效。</x:t>
  </x:si>
  <x:si>
    <x:t xml:space="preserve">硬件验证需要证明短脉冲不会丢失。</x:t>
  </x:si>
  <x:si>
    <x:t xml:space="preserve">guard</x:t>
  </x:si>
  <x:si>
    <x:t xml:space="preserve">保护哨兵区</x:t>
  </x:si>
  <x:si>
    <x:t xml:space="preserve">测试区域相邻的保护数据，用于发现越界或误写。</x:t>
  </x:si>
  <x:si>
    <x:t xml:space="preserve">未授权写后目标和相邻保护区都必须不变。</x:t>
  </x:si>
  <x:si>
    <x:t xml:space="preserve">Typed API</x:t>
  </x:si>
  <x:si>
    <x:t xml:space="preserve">类型化接口</x:t>
  </x:si>
  <x:si>
    <x:r>
      <x:rPr>
        <x:sz val="1000"/>
        <x:color rgb="FF1F2937"/>
        <x:rFont val="Noto Sans CJK SC"/>
        <x:family val="2"/>
      </x:rPr>
      <x:t xml:space="preserve">对参数和结果有明确结构定义的</x:t>
    </x:r>
    <x:r>
      <x:rPr>
        <x:sz val="1000"/>
        <x:color rgb="FF1F2937"/>
        <x:rFont val="Calibri"/>
      </x:rPr>
      <x:t xml:space="preserve">Vendor</x:t>
    </x:r>
    <x:r>
      <x:rPr>
        <x:sz val="1000"/>
        <x:color rgb="FF1F2937"/>
        <x:rFont val="Noto Sans CJK SC"/>
        <x:family val="2"/>
      </x:rPr>
      <x:t xml:space="preserve">正式接口。</x:t>
    </x:r>
  </x:si>
  <x:si>
    <x:r>
      <x:rPr>
        <x:sz val="1000"/>
        <x:color rgb="FF1F2937"/>
        <x:rFont val="Calibri"/>
      </x:rPr>
      <x:t xml:space="preserve">BASIC</x:t>
    </x:r>
    <x:r>
      <x:rPr>
        <x:sz val="1000"/>
        <x:color rgb="FF1F2937"/>
        <x:rFont val="Noto Sans CJK SC"/>
        <x:family val="2"/>
      </x:rPr>
      <x:t xml:space="preserve">优先复用类型化接口。</x:t>
    </x:r>
  </x:si>
  <x:si>
    <x:t xml:space="preserve">PASS/FAIL/INCONCLUSIVE</x:t>
  </x:si>
  <x:si>
    <x:r>
      <x:rPr>
        <x:sz val="1000"/>
        <x:color rgb="FF1F2937"/>
        <x:rFont val="Noto Sans CJK SC"/>
        <x:family val="2"/>
      </x:rPr>
      <x:t xml:space="preserve">通过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失败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无法判定</x:t>
    </x:r>
  </x:si>
  <x:si>
    <x:t xml:space="preserve">分别表示满足判据、不满足判据、缺少映射或环境导致无法得出结论。</x:t>
  </x:si>
  <x:si>
    <x:r>
      <x:rPr>
        <x:sz val="1000"/>
        <x:color rgb="FF1F2937"/>
        <x:rFont val="Noto Sans CJK SC"/>
        <x:family val="2"/>
      </x:rPr>
      <x:t xml:space="preserve">缺少</x:t>
    </x:r>
    <x:r>
      <x:rPr>
        <x:sz val="1000"/>
        <x:color rgb="FF1F2937"/>
        <x:rFont val="Calibri"/>
      </x:rPr>
      <x:t xml:space="preserve">reset matrix</x:t>
    </x:r>
    <x:r>
      <x:rPr>
        <x:sz val="1000"/>
        <x:color rgb="FF1F2937"/>
        <x:rFont val="Noto Sans CJK SC"/>
        <x:family val="2"/>
      </x:rPr>
      <x:t xml:space="preserve">时不能猜测通过。</x:t>
    </x:r>
  </x:si>
  <x:si>
    <x:t xml:space="preserve">Owner</x:t>
  </x:si>
  <x:si>
    <x:r>
      <x:rPr>
        <x:sz val="1000"/>
        <x:color rgb="FF1F2937"/>
        <x:rFont val="Noto Sans CJK SC"/>
        <x:family val="2"/>
      </x:rPr>
      <x:t xml:space="preserve">负责补齐输入、实现、执行或签核的团队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人员。</x:t>
    </x:r>
  </x:si>
  <x:si>
    <x:r>
      <x:rPr>
        <x:sz val="1000"/>
        <x:color rgb="FF1F2937"/>
        <x:rFont val="Calibri"/>
      </x:rPr>
      <x:t xml:space="preserve">GSP</x:t>
    </x:r>
    <x:r>
      <x:rPr>
        <x:sz val="1000"/>
        <x:color rgb="FF1F2937"/>
        <x:rFont val="Noto Sans CJK SC"/>
        <x:family val="2"/>
      </x:rPr>
      <x:t xml:space="preserve">、</x:t>
    </x:r>
    <x:r>
      <x:rPr>
        <x:sz val="1000"/>
        <x:color rgb="FF1F2937"/>
        <x:rFont val="Calibri"/>
      </x:rPr>
      <x:t xml:space="preserve">RTL/DV</x:t>
    </x:r>
    <x:r>
      <x:rPr>
        <x:sz val="1000"/>
        <x:color rgb="FF1F2937"/>
        <x:rFont val="Noto Sans CJK SC"/>
        <x:family val="2"/>
      </x:rPr>
      <x:t xml:space="preserve">或</x:t>
    </x:r>
    <x:r>
      <x:rPr>
        <x:sz val="1000"/>
        <x:color rgb="FF1F2937"/>
        <x:rFont val="Calibri"/>
      </x:rPr>
      <x:t xml:space="preserve">Vendor</x:t>
    </x:r>
    <x:r>
      <x:rPr>
        <x:sz val="1000"/>
        <x:color rgb="FF1F2937"/>
        <x:rFont val="Noto Sans CJK SC"/>
        <x:family val="2"/>
      </x:rPr>
      <x:t xml:space="preserve">。</x:t>
    </x:r>
  </x:si>
  <x:si>
    <x:t xml:space="preserve">sign-off</x:t>
  </x:si>
  <x:si>
    <x:t xml:space="preserve">签核</x:t>
  </x:si>
  <x:si>
    <x:t xml:space="preserve">流片前对功能和验证证据的正式确认。</x:t>
  </x:si>
  <x:si>
    <x:t xml:space="preserve">软件证据与硬件补充证据共同完成签核。</x:t>
  </x:si>
  <x:si>
    <x:t xml:space="preserve">profile</x:t>
  </x:si>
  <x:si>
    <x:t xml:space="preserve">配置方案</x:t>
  </x:si>
  <x:si>
    <x:t xml:space="preserve">针对算法、中断、生命周期或测试环境的一组固定配置。</x:t>
  </x:si>
  <x:si>
    <x:r>
      <x:rPr>
        <x:sz val="1000"/>
        <x:color rgb="FF1F2937"/>
        <x:rFont val="Noto Sans CJK SC"/>
        <x:family val="2"/>
      </x:rPr>
      <x:t xml:space="preserve">产品使用轮询，测试可以建立独立</x:t>
    </x:r>
    <x:r>
      <x:rPr>
        <x:sz val="1000"/>
        <x:color rgb="FF1F2937"/>
        <x:rFont val="Calibri"/>
      </x:rPr>
      <x:t xml:space="preserve">IRQ</x:t>
    </x:r>
    <x:r>
      <x:rPr>
        <x:sz val="1000"/>
        <x:color rgb="FF1F2937"/>
        <x:rFont val="Noto Sans CJK SC"/>
        <x:family val="2"/>
      </x:rPr>
      <x:t xml:space="preserve">配置方案。</x:t>
    </x:r>
  </x:si>
  <x:si>
    <x:t xml:space="preserve">LCS</x:t>
  </x:si>
  <x:si>
    <x:t xml:space="preserve">生命周期状态</x:t>
  </x:si>
  <x:si>
    <x:r>
      <x:rPr>
        <x:sz val="1000"/>
        <x:color rgb="FF1F2937"/>
        <x:rFont val="Noto Sans CJK SC"/>
        <x:family val="2"/>
      </x:rPr>
      <x:t xml:space="preserve">芯片或</x:t>
    </x:r>
    <x:r>
      <x:rPr>
        <x:sz val="1000"/>
        <x:color rgb="FF1F2937"/>
        <x:rFont val="Calibri"/>
      </x:rPr>
      <x:t xml:space="preserve">eHSM</x:t>
    </x:r>
    <x:r>
      <x:rPr>
        <x:sz val="1000"/>
        <x:color rgb="FF1F2937"/>
        <x:rFont val="Noto Sans CJK SC"/>
        <x:family val="2"/>
      </x:rPr>
      <x:t xml:space="preserve">所处的制造、用户、调试等安全阶段。</x:t>
    </x:r>
  </x:si>
  <x:si>
    <x:t xml:space="preserve">不同生命周期可能允许不同命令。</x:t>
  </x:si>
  <x:si>
    <x:t xml:space="preserve">OTP</x:t>
  </x:si>
  <x:si>
    <x:t xml:space="preserve">一次性可编程存储器</x:t>
  </x:si>
  <x:si>
    <x:t xml:space="preserve">写入后通常不能恢复的安全存储区域。</x:t>
  </x:si>
  <x:si>
    <x:t xml:space="preserve">写测试必须使用专用测试环境。</x:t>
  </x:si>
  <x:si>
    <x:r>
      <x:rPr>
        <x:sz val="1000"/>
        <x:color rgb="FF1F2937"/>
        <x:rFont val="Noto Sans CJK SC"/>
        <x:family val="2"/>
      </x:rPr>
      <x:t xml:space="preserve">引导固件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运行固件</x:t>
    </x:r>
  </x:si>
  <x:si>
    <x:r>
      <x:rPr>
        <x:sz val="1000"/>
        <x:color rgb="FF1F2937"/>
        <x:rFont val="Calibri"/>
      </x:rPr>
      <x:t xml:space="preserve">BL</x:t>
    </x:r>
    <x:r>
      <x:rPr>
        <x:sz val="1000"/>
        <x:color rgb="FF1F2937"/>
        <x:rFont val="Noto Sans CJK SC"/>
        <x:family val="2"/>
      </x:rPr>
      <x:t xml:space="preserve">表示</x:t>
    </x:r>
    <x:r>
      <x:rPr>
        <x:sz val="1000"/>
        <x:color rgb="FF1F2937"/>
        <x:rFont val="Calibri"/>
      </x:rPr>
      <x:t xml:space="preserve">eHSM Bootloader</x:t>
    </x:r>
    <x:r>
      <x:rPr>
        <x:sz val="1000"/>
        <x:color rgb="FF1F2937"/>
        <x:rFont val="Noto Sans CJK SC"/>
        <x:family val="2"/>
      </x:rPr>
      <x:t xml:space="preserve">，</x:t>
    </x:r>
    <x:r>
      <x:rPr>
        <x:sz val="1000"/>
        <x:color rgb="FF1F2937"/>
        <x:rFont val="Calibri"/>
      </x:rPr>
      <x:t xml:space="preserve">FW</x:t>
    </x:r>
    <x:r>
      <x:rPr>
        <x:sz val="1000"/>
        <x:color rgb="FF1F2937"/>
        <x:rFont val="Noto Sans CJK SC"/>
        <x:family val="2"/>
      </x:rPr>
      <x:t xml:space="preserve">表示</x:t>
    </x:r>
    <x:r>
      <x:rPr>
        <x:sz val="1000"/>
        <x:color rgb="FF1F2937"/>
        <x:rFont val="Calibri"/>
      </x:rPr>
      <x:t xml:space="preserve">eHSM Firmware</x:t>
    </x:r>
    <x:r>
      <x:rPr>
        <x:sz val="1000"/>
        <x:color rgb="FF1F2937"/>
        <x:rFont val="Noto Sans CJK SC"/>
        <x:family val="2"/>
      </x:rPr>
      <x:t xml:space="preserve">。</x:t>
    </x:r>
  </x:si>
  <x:si>
    <x:r>
      <x:rPr>
        <x:sz val="1000"/>
        <x:color rgb="FF1F2937"/>
        <x:rFont val="Noto Sans CJK SC"/>
        <x:family val="2"/>
      </x:rPr>
      <x:t xml:space="preserve">命令</x:t>
    </x:r>
    <x:r>
      <x:rPr>
        <x:sz val="1000"/>
        <x:color rgb="FF1F2937"/>
        <x:rFont val="Calibri"/>
      </x:rPr>
      <x:t xml:space="preserve">ID</x:t>
    </x:r>
    <x:r>
      <x:rPr>
        <x:sz val="1000"/>
        <x:color rgb="FF1F2937"/>
        <x:rFont val="Noto Sans CJK SC"/>
        <x:family val="2"/>
      </x:rPr>
      <x:t xml:space="preserve">按</x:t>
    </x:r>
    <x:r>
      <x:rPr>
        <x:sz val="1000"/>
        <x:color rgb="FF1F2937"/>
        <x:rFont val="Calibri"/>
      </x:rPr>
      <x:t xml:space="preserve">BL</x:t>
    </x:r>
    <x:r>
      <x:rPr>
        <x:sz val="1000"/>
        <x:color rgb="FF1F2937"/>
        <x:rFont val="Noto Sans CJK SC"/>
        <x:family val="2"/>
      </x:rPr>
      <x:t xml:space="preserve">和</x:t>
    </x:r>
    <x:r>
      <x:rPr>
        <x:sz val="1000"/>
        <x:color rgb="FF1F2937"/>
        <x:rFont val="Calibri"/>
      </x:rPr>
      <x:t xml:space="preserve">FW</x:t>
    </x:r>
    <x:r>
      <x:rPr>
        <x:sz val="1000"/>
        <x:color rgb="FF1F2937"/>
        <x:rFont val="Noto Sans CJK SC"/>
        <x:family val="2"/>
      </x:rPr>
      <x:t xml:space="preserve">阶段分别登记。</x:t>
    </x:r>
  </x:si>
  <x:si>
    <x:t xml:space="preserve">DUT</x:t>
  </x:si>
  <x:si>
    <x:t xml:space="preserve">被测对象</x:t>
  </x:si>
  <x:si>
    <x:r>
      <x:rPr>
        <x:sz val="1000"/>
        <x:color rgb="FF1F2937"/>
        <x:rFont val="Calibri"/>
      </x:rPr>
      <x:t xml:space="preserve">Device Under Test</x:t>
    </x:r>
    <x:r>
      <x:rPr>
        <x:sz val="1000"/>
        <x:color rgb="FF1F2937"/>
        <x:rFont val="Noto Sans CJK SC"/>
        <x:family val="2"/>
      </x:rPr>
      <x:t xml:space="preserve">的缩写，指当前接受测试的芯片、模块或固件实例。</x:t>
    </x:r>
  </x:si>
  <x:si>
    <x:r>
      <x:rPr>
        <x:sz val="1000"/>
        <x:color rgb="FF1F2937"/>
        <x:rFont val="Noto Sans CJK SC"/>
        <x:family val="2"/>
      </x:rPr>
      <x:t xml:space="preserve">日志中的</x:t>
    </x:r>
    <x:r>
      <x:rPr>
        <x:sz val="1000"/>
        <x:color rgb="FF1F2937"/>
        <x:rFont val="Calibri"/>
      </x:rPr>
      <x:t xml:space="preserve">DUT</x:t>
    </x:r>
    <x:r>
      <x:rPr>
        <x:sz val="1000"/>
        <x:color rgb="FF1F2937"/>
        <x:rFont val="Noto Sans CJK SC"/>
        <x:family val="2"/>
      </x:rPr>
      <x:t xml:space="preserve">版本必须与测试基线一致。</x:t>
    </x:r>
  </x:si>
  <x:si>
    <x:t xml:space="preserve">Vendor</x:t>
  </x:si>
  <x:si>
    <x:t xml:space="preserve">供应商</x:t>
  </x:si>
  <x:si>
    <x:r>
      <x:rPr>
        <x:sz val="1000"/>
        <x:color rgb="FF1F2937"/>
        <x:rFont val="Noto Sans CJK SC"/>
        <x:family val="2"/>
      </x:rPr>
      <x:t xml:space="preserve">提供</x:t>
    </x:r>
    <x:r>
      <x:rPr>
        <x:sz val="1000"/>
        <x:color rgb="FF1F2937"/>
        <x:rFont val="Calibri"/>
      </x:rPr>
      <x:t xml:space="preserve">eHSM</x:t>
    </x:r>
    <x:r>
      <x:rPr>
        <x:sz val="1000"/>
        <x:color rgb="FF1F2937"/>
        <x:rFont val="Noto Sans CJK SC"/>
        <x:family val="2"/>
      </x:rPr>
      <x:t xml:space="preserve">固件、接口、文档或参考实现的外部交付方。</x:t>
    </x:r>
  </x:si>
  <x:si>
    <x:r>
      <x:rPr>
        <x:sz val="1000"/>
        <x:color rgb="FF1F2937"/>
        <x:rFont val="Noto Sans CJK SC"/>
        <x:family val="2"/>
      </x:rPr>
      <x:t xml:space="preserve">供应商资料是实现证据，不自动等于</x:t>
    </x:r>
    <x:r>
      <x:rPr>
        <x:sz val="1000"/>
        <x:color rgb="FF1F2937"/>
        <x:rFont val="Calibri"/>
      </x:rPr>
      <x:t xml:space="preserve">NGU800P</x:t>
    </x:r>
    <x:r>
      <x:rPr>
        <x:sz val="1000"/>
        <x:color rgb="FF1F2937"/>
        <x:rFont val="Noto Sans CJK SC"/>
        <x:family val="2"/>
      </x:rPr>
      <x:t xml:space="preserve">最终产品判据。</x:t>
    </x:r>
  </x:si>
  <x:si>
    <x:t xml:space="preserve">SoC</x:t>
  </x:si>
  <x:si>
    <x:t xml:space="preserve">片上系统</x:t>
  </x:si>
  <x:si>
    <x:r>
      <x:rPr>
        <x:sz val="1000"/>
        <x:color rgb="FF1F2937"/>
        <x:rFont val="Calibri"/>
      </x:rPr>
      <x:t xml:space="preserve">System on Chip</x:t>
    </x:r>
    <x:r>
      <x:rPr>
        <x:sz val="1000"/>
        <x:color rgb="FF1F2937"/>
        <x:rFont val="Noto Sans CJK SC"/>
        <x:family val="2"/>
      </x:rPr>
      <x:t xml:space="preserve">的缩写，指集成处理器、存储、总线和安全模块的芯片系统。</x:t>
    </x:r>
  </x:si>
  <x:si>
    <x:r>
      <x:rPr>
        <x:sz val="1000"/>
        <x:color rgb="FF1F2937"/>
        <x:rFont val="Noto Sans CJK SC"/>
        <x:family val="2"/>
      </x:rPr>
      <x:t xml:space="preserve">本表中的</x:t>
    </x:r>
    <x:r>
      <x:rPr>
        <x:sz val="1000"/>
        <x:color rgb="FF1F2937"/>
        <x:rFont val="Calibri"/>
      </x:rPr>
      <x:t xml:space="preserve">SoC</x:t>
    </x:r>
    <x:r>
      <x:rPr>
        <x:sz val="1000"/>
        <x:color rgb="FF1F2937"/>
        <x:rFont val="Noto Sans CJK SC"/>
        <x:family val="2"/>
      </x:rPr>
      <x:t xml:space="preserve">用例验证</x:t>
    </x:r>
    <x:r>
      <x:rPr>
        <x:sz val="1000"/>
        <x:color rgb="FF1F2937"/>
        <x:rFont val="Calibri"/>
      </x:rPr>
      <x:t xml:space="preserve">eHSM</x:t>
    </x:r>
    <x:r>
      <x:rPr>
        <x:sz val="1000"/>
        <x:color rgb="FF1F2937"/>
        <x:rFont val="Noto Sans CJK SC"/>
        <x:family val="2"/>
      </x:rPr>
      <x:t xml:space="preserve">与芯片侧的集成功能。</x:t>
    </x:r>
  </x:si>
  <x:si>
    <x:t xml:space="preserve">RTL/DV</x:t>
  </x:si>
  <x:si>
    <x:r>
      <x:rPr>
        <x:sz val="1000"/>
        <x:color rgb="FF1F2937"/>
        <x:rFont val="Noto Sans CJK SC"/>
        <x:family val="2"/>
      </x:rPr>
      <x:t xml:space="preserve">硬件设计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设计验证</x:t>
    </x:r>
  </x:si>
  <x:si>
    <x:r>
      <x:rPr>
        <x:sz val="1000"/>
        <x:color rgb="FF1F2937"/>
        <x:rFont val="Calibri"/>
      </x:rPr>
      <x:t xml:space="preserve">RTL</x:t>
    </x:r>
    <x:r>
      <x:rPr>
        <x:sz val="1000"/>
        <x:color rgb="FF1F2937"/>
        <x:rFont val="Noto Sans CJK SC"/>
        <x:family val="2"/>
      </x:rPr>
      <x:t xml:space="preserve">是寄存器传输级硬件设计；</x:t>
    </x:r>
    <x:r>
      <x:rPr>
        <x:sz val="1000"/>
        <x:color rgb="FF1F2937"/>
        <x:rFont val="Calibri"/>
      </x:rPr>
      <x:t xml:space="preserve">DV</x:t>
    </x:r>
    <x:r>
      <x:rPr>
        <x:sz val="1000"/>
        <x:color rgb="FF1F2937"/>
        <x:rFont val="Noto Sans CJK SC"/>
        <x:family val="2"/>
      </x:rPr>
      <x:t xml:space="preserve">是对硬件设计进行仿真和验证。</x:t>
    </x:r>
  </x:si>
  <x:si>
    <x:r>
      <x:rPr>
        <x:sz val="1000"/>
        <x:color rgb="FF1F2937"/>
        <x:rFont val="Noto Sans CJK SC"/>
        <x:family val="2"/>
      </x:rPr>
      <x:t xml:space="preserve">软件难以证明的时序、脉冲和跨时钟域行为由</x:t>
    </x:r>
    <x:r>
      <x:rPr>
        <x:sz val="1000"/>
        <x:color rgb="FF1F2937"/>
        <x:rFont val="Calibri"/>
      </x:rPr>
      <x:t xml:space="preserve">RTL/DV</x:t>
    </x:r>
    <x:r>
      <x:rPr>
        <x:sz val="1000"/>
        <x:color rgb="FF1F2937"/>
        <x:rFont val="Noto Sans CJK SC"/>
        <x:family val="2"/>
      </x:rPr>
      <x:t xml:space="preserve">补充。</x:t>
    </x:r>
  </x:si>
  <x:si>
    <x:t xml:space="preserve">TRM</x:t>
  </x:si>
  <x:si>
    <x:t xml:space="preserve">技术参考手册</x:t>
  </x:si>
  <x:si>
    <x:r>
      <x:rPr>
        <x:sz val="1000"/>
        <x:color rgb="FF1F2937"/>
        <x:rFont val="Calibri"/>
      </x:rPr>
      <x:t xml:space="preserve">Technical Reference Manual</x:t>
    </x:r>
    <x:r>
      <x:rPr>
        <x:sz val="1000"/>
        <x:color rgb="FF1F2937"/>
        <x:rFont val="Noto Sans CJK SC"/>
        <x:family val="2"/>
      </x:rPr>
      <x:t xml:space="preserve">的缩写，定义寄存器、接口和行为合同。</x:t>
    </x:r>
  </x:si>
  <x:si>
    <x:r>
      <x:rPr>
        <x:sz val="1000"/>
        <x:color rgb="FF1F2937"/>
        <x:rFont val="Noto Sans CJK SC"/>
        <x:family val="2"/>
      </x:rPr>
      <x:t xml:space="preserve">移植前应冻结与用例相关的</x:t>
    </x:r>
    <x:r>
      <x:rPr>
        <x:sz val="1000"/>
        <x:color rgb="FF1F2937"/>
        <x:rFont val="Calibri"/>
      </x:rPr>
      <x:t xml:space="preserve">TRM</x:t>
    </x:r>
    <x:r>
      <x:rPr>
        <x:sz val="1000"/>
        <x:color rgb="FF1F2937"/>
        <x:rFont val="Noto Sans CJK SC"/>
        <x:family val="2"/>
      </x:rPr>
      <x:t xml:space="preserve">版本。</x:t>
    </x:r>
  </x:si>
  <x:si>
    <x:t xml:space="preserve">API/ABI</x:t>
  </x:si>
  <x:si>
    <x:r>
      <x:rPr>
        <x:sz val="1000"/>
        <x:color rgb="FF1F2937"/>
        <x:rFont val="Noto Sans CJK SC"/>
        <x:family val="2"/>
      </x:rPr>
      <x:t xml:space="preserve">编程接口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二进制接口</x:t>
    </x:r>
  </x:si>
  <x:si>
    <x:r>
      <x:rPr>
        <x:sz val="1000"/>
        <x:color rgb="FF1F2937"/>
        <x:rFont val="Calibri"/>
      </x:rPr>
      <x:t xml:space="preserve">API</x:t>
    </x:r>
    <x:r>
      <x:rPr>
        <x:sz val="1000"/>
        <x:color rgb="FF1F2937"/>
        <x:rFont val="Noto Sans CJK SC"/>
        <x:family val="2"/>
      </x:rPr>
      <x:t xml:space="preserve">定义软件调用方式；</x:t>
    </x:r>
    <x:r>
      <x:rPr>
        <x:sz val="1000"/>
        <x:color rgb="FF1F2937"/>
        <x:rFont val="Calibri"/>
      </x:rPr>
      <x:t xml:space="preserve">ABI</x:t>
    </x:r>
    <x:r>
      <x:rPr>
        <x:sz val="1000"/>
        <x:color rgb="FF1F2937"/>
        <x:rFont val="Noto Sans CJK SC"/>
        <x:family val="2"/>
      </x:rPr>
      <x:t xml:space="preserve">定义二进制布局、参数传递和兼容规则。</x:t>
    </x:r>
  </x:si>
  <x:si>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原始请求必须遵守已冻结的</x:t>
    </x:r>
    <x:r>
      <x:rPr>
        <x:sz val="1000"/>
        <x:color rgb="FF1F2937"/>
        <x:rFont val="Calibri"/>
      </x:rPr>
      <x:t xml:space="preserve">ABI</x:t>
    </x:r>
    <x:r>
      <x:rPr>
        <x:sz val="1000"/>
        <x:color rgb="FF1F2937"/>
        <x:rFont val="Noto Sans CJK SC"/>
        <x:family val="2"/>
      </x:rPr>
      <x:t xml:space="preserve">。</x:t>
    </x:r>
  </x:si>
  <x:si>
    <x:t xml:space="preserve">RAS</x:t>
  </x:si>
  <x:si>
    <x:t xml:space="preserve">可靠性、可用性和可维护性</x:t>
  </x:si>
  <x:si>
    <x:t xml:space="preserve">用于描述错误报告、故障处置和系统恢复相关能力。</x:t>
  </x:si>
  <x:si>
    <x:r>
      <x:rPr>
        <x:sz val="1000"/>
        <x:color rgb="FF1F2937"/>
        <x:rFont val="Calibri"/>
      </x:rPr>
      <x:t xml:space="preserve">HSM</x:t>
    </x:r>
    <x:r>
      <x:rPr>
        <x:sz val="1000"/>
        <x:color rgb="FF1F2937"/>
        <x:rFont val="Noto Sans CJK SC"/>
        <x:family val="2"/>
      </x:rPr>
      <x:t xml:space="preserve">错误映射可作为</x:t>
    </x:r>
    <x:r>
      <x:rPr>
        <x:sz val="1000"/>
        <x:color rgb="FF1F2937"/>
        <x:rFont val="Calibri"/>
      </x:rPr>
      <x:t xml:space="preserve">RAS</x:t>
    </x:r>
    <x:r>
      <x:rPr>
        <x:sz val="1000"/>
        <x:color rgb="FF1F2937"/>
        <x:rFont val="Noto Sans CJK SC"/>
        <x:family val="2"/>
      </x:rPr>
      <x:t xml:space="preserve">集成的一部分检查。</x:t>
    </x:r>
  </x:si>
  <x:si>
    <x:t xml:space="preserve">EMU</x:t>
  </x:si>
  <x:si>
    <x:t xml:space="preserve">硬件仿真环境</x:t>
  </x:si>
  <x:si>
    <x:r>
      <x:rPr>
        <x:sz val="1000"/>
        <x:color rgb="FF1F2937"/>
        <x:rFont val="Noto Sans CJK SC"/>
        <x:family val="2"/>
      </x:rPr>
      <x:t xml:space="preserve">用于在流片前运行接近真实</x:t>
    </x:r>
    <x:r>
      <x:rPr>
        <x:sz val="1000"/>
        <x:color rgb="FF1F2937"/>
        <x:rFont val="Calibri"/>
      </x:rPr>
      <x:t xml:space="preserve">SoC</x:t>
    </x:r>
    <x:r>
      <x:rPr>
        <x:sz val="1000"/>
        <x:color rgb="FF1F2937"/>
        <x:rFont val="Noto Sans CJK SC"/>
        <x:family val="2"/>
      </x:rPr>
      <x:t xml:space="preserve">的软件与硬件模型。</x:t>
    </x:r>
  </x:si>
  <x:si>
    <x:r>
      <x:rPr>
        <x:sz val="1000"/>
        <x:color rgb="FF1F2937"/>
        <x:rFont val="Calibri"/>
      </x:rPr>
      <x:t xml:space="preserve">L3/L4</x:t>
    </x:r>
    <x:r>
      <x:rPr>
        <x:sz val="1000"/>
        <x:color rgb="FF1F2937"/>
        <x:rFont val="Noto Sans CJK SC"/>
        <x:family val="2"/>
      </x:rPr>
      <x:t xml:space="preserve">用例通常在</x:t>
    </x:r>
    <x:r>
      <x:rPr>
        <x:sz val="1000"/>
        <x:color rgb="FF1F2937"/>
        <x:rFont val="Calibri"/>
      </x:rPr>
      <x:t xml:space="preserve">EMU</x:t>
    </x:r>
    <x:r>
      <x:rPr>
        <x:sz val="1000"/>
        <x:color rgb="FF1F2937"/>
        <x:rFont val="Noto Sans CJK SC"/>
        <x:family val="2"/>
      </x:rPr>
      <x:t xml:space="preserve">集成环境执行。</x:t>
    </x:r>
  </x:si>
  <x:si>
    <x:t xml:space="preserve">P0/P1</x:t>
  </x:si>
  <x:si>
    <x:t xml:space="preserve">优先级等级</x:t>
  </x:si>
  <x:si>
    <x:r>
      <x:rPr>
        <x:sz val="1000"/>
        <x:color rgb="FF1F2937"/>
        <x:rFont val="Calibri"/>
      </x:rPr>
      <x:t xml:space="preserve">P0</x:t>
    </x:r>
    <x:r>
      <x:rPr>
        <x:sz val="1000"/>
        <x:color rgb="FF1F2937"/>
        <x:rFont val="Noto Sans CJK SC"/>
        <x:family val="2"/>
      </x:rPr>
      <x:t xml:space="preserve">表示最高优先级，</x:t>
    </x:r>
    <x:r>
      <x:rPr>
        <x:sz val="1000"/>
        <x:color rgb="FF1F2937"/>
        <x:rFont val="Calibri"/>
      </x:rPr>
      <x:t xml:space="preserve">P1</x:t>
    </x:r>
    <x:r>
      <x:rPr>
        <x:sz val="1000"/>
        <x:color rgb="FF1F2937"/>
        <x:rFont val="Noto Sans CJK SC"/>
        <x:family val="2"/>
      </x:rPr>
      <x:t xml:space="preserve">表示次高优先级。</x:t>
    </x:r>
  </x:si>
  <x:si>
    <x:t xml:space="preserve">用于安排流片前必须完成或应完成的验证项。</x:t>
  </x:si>
  <x:si>
    <x:t xml:space="preserve">L0/L1/L2/L3/L4</x:t>
  </x:si>
  <x:si>
    <x:r>
      <x:rPr>
        <x:sz val="1000"/>
        <x:color rgb="FF1F2937"/>
        <x:rFont val="Noto Sans CJK SC"/>
        <x:family val="2"/>
      </x:rPr>
      <x:t xml:space="preserve">从静态规范检查、</x:t>
    </x:r>
    <x:r>
      <x:rPr>
        <x:sz val="1000"/>
        <x:color rgb="FF1F2937"/>
        <x:rFont val="Calibri"/>
      </x:rPr>
      <x:t xml:space="preserve">Host</x:t>
    </x:r>
    <x:r>
      <x:rPr>
        <x:sz val="1000"/>
        <x:color rgb="FF1F2937"/>
        <x:rFont val="Noto Sans CJK SC"/>
        <x:family val="2"/>
      </x:rPr>
      <x:t xml:space="preserve">合同、供应商仿真到</x:t>
    </x:r>
    <x:r>
      <x:rPr>
        <x:sz val="1000"/>
        <x:color rgb="FF1F2937"/>
        <x:rFont val="Calibri"/>
      </x:rPr>
      <x:t xml:space="preserve">SoC</x:t>
    </x:r>
    <x:r>
      <x:rPr>
        <x:sz val="1000"/>
        <x:color rgb="FF1F2937"/>
        <x:rFont val="Noto Sans CJK SC"/>
        <x:family val="2"/>
      </x:rPr>
      <x:t xml:space="preserve">仿真集成及故障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发布验证的层级标识。</x:t>
    </x:r>
  </x:si>
  <x:si>
    <x:t xml:space="preserve">用例表保留层级代码，便于筛选和计划执行环境。</x:t>
  </x:si>
  <x:si>
    <x:t xml:space="preserve">W1C/W1S</x:t>
  </x:si>
  <x:si>
    <x:r>
      <x:rPr>
        <x:sz val="1000"/>
        <x:color rgb="FF1F2937"/>
        <x:rFont val="Noto Sans CJK SC"/>
        <x:family val="2"/>
      </x:rPr>
      <x:t xml:space="preserve">写</x:t>
    </x:r>
    <x:r>
      <x:rPr>
        <x:sz val="1000"/>
        <x:color rgb="FF1F2937"/>
        <x:rFont val="Calibri"/>
      </x:rPr>
      <x:t xml:space="preserve">1</x:t>
    </x:r>
    <x:r>
      <x:rPr>
        <x:sz val="1000"/>
        <x:color rgb="FF1F2937"/>
        <x:rFont val="Noto Sans CJK SC"/>
        <x:family val="2"/>
      </x:rPr>
      <x:t xml:space="preserve">清除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写</x:t>
    </x:r>
    <x:r>
      <x:rPr>
        <x:sz val="1000"/>
        <x:color rgb="FF1F2937"/>
        <x:rFont val="Calibri"/>
      </x:rPr>
      <x:t xml:space="preserve">1</x:t>
    </x:r>
    <x:r>
      <x:rPr>
        <x:sz val="1000"/>
        <x:color rgb="FF1F2937"/>
        <x:rFont val="Noto Sans CJK SC"/>
        <x:family val="2"/>
      </x:rPr>
      <x:t xml:space="preserve">置位</x:t>
    </x:r>
  </x:si>
  <x:si>
    <x:r>
      <x:rPr>
        <x:sz val="1000"/>
        <x:color rgb="FF1F2937"/>
        <x:rFont val="Noto Sans CJK SC"/>
        <x:family val="2"/>
      </x:rPr>
      <x:t xml:space="preserve">寄存器位的常见写入语义；写入</x:t>
    </x:r>
    <x:r>
      <x:rPr>
        <x:sz val="1000"/>
        <x:color rgb="FF1F2937"/>
        <x:rFont val="Calibri"/>
      </x:rPr>
      <x:t xml:space="preserve">1</x:t>
    </x:r>
    <x:r>
      <x:rPr>
        <x:sz val="1000"/>
        <x:color rgb="FF1F2937"/>
        <x:rFont val="Noto Sans CJK SC"/>
        <x:family val="2"/>
      </x:rPr>
      <x:t xml:space="preserve">分别表示清除或置位。</x:t>
    </x:r>
  </x:si>
  <x:si>
    <x:t xml:space="preserve">复位和中断用例必须按寄存器合同执行，不能自行猜测。</x:t>
  </x:si>
  <x:si>
    <x:t xml:space="preserve">bit</x:t>
  </x:si>
  <x:si>
    <x:t xml:space="preserve">位</x:t>
  </x:si>
  <x:si>
    <x:t xml:space="preserve">二进制数据的最小单位，常用于寄存器字段、状态或单比特故障变异。</x:t>
  </x:si>
  <x:si>
    <x:r>
      <x:rPr>
        <x:sz val="1000"/>
        <x:color rgb="FF1F2937"/>
        <x:rFont val="Noto Sans CJK SC"/>
        <x:family val="2"/>
      </x:rPr>
      <x:t xml:space="preserve">翻转</x:t>
    </x:r>
    <x:r>
      <x:rPr>
        <x:sz val="1000"/>
        <x:color rgb="FF1F2937"/>
        <x:rFont val="Calibri"/>
      </x:rPr>
      <x:t xml:space="preserve">1 bit</x:t>
    </x:r>
    <x:r>
      <x:rPr>
        <x:sz val="1000"/>
        <x:color rgb="FF1F2937"/>
        <x:rFont val="Noto Sans CJK SC"/>
        <x:family val="2"/>
      </x:rPr>
      <x:t xml:space="preserve">表示只改变一个二进制位。</x:t>
    </x:r>
  </x:si>
  <x:si>
    <x:t xml:space="preserve">master_id</x:t>
  </x:si>
  <x:si>
    <x:t xml:space="preserve">主设备标识</x:t>
  </x:si>
  <x:si>
    <x:t xml:space="preserve">总线上用于区分访问发起者身份的字段。</x:t>
  </x:si>
  <x:si>
    <x:r>
      <x:rPr>
        <x:sz val="1000"/>
        <x:color rgb="FF1F2937"/>
        <x:rFont val="Calibri"/>
      </x:rPr>
      <x:t xml:space="preserve">Firewall</x:t>
    </x:r>
    <x:r>
      <x:rPr>
        <x:sz val="1000"/>
        <x:color rgb="FF1F2937"/>
        <x:rFont val="Noto Sans CJK SC"/>
        <x:family val="2"/>
      </x:rPr>
      <x:t xml:space="preserve">权限测试需冻结授权和未授权主设备标识。</x:t>
    </x:r>
  </x:si>
  <x:si>
    <x:t xml:space="preserve">Region</x:t>
  </x:si>
  <x:si>
    <x:t xml:space="preserve">受控地址区域</x:t>
  </x:si>
  <x:si>
    <x:r>
      <x:rPr>
        <x:sz val="1000"/>
        <x:color rgb="FF1F2937"/>
        <x:rFont val="Calibri"/>
      </x:rPr>
      <x:t xml:space="preserve">Firewall</x:t>
    </x:r>
    <x:r>
      <x:rPr>
        <x:sz val="1000"/>
        <x:color rgb="FF1F2937"/>
        <x:rFont val="Noto Sans CJK SC"/>
        <x:family val="2"/>
      </x:rPr>
      <x:t xml:space="preserve">按地址范围划分并配置权限的保护区域。</x:t>
    </x:r>
  </x:si>
  <x:si>
    <x:r>
      <x:rPr>
        <x:sz val="1000"/>
        <x:color rgb="FF1F2937"/>
        <x:rFont val="Calibri"/>
      </x:rPr>
      <x:t xml:space="preserve">SRAM</x:t>
    </x:r>
    <x:r>
      <x:rPr>
        <x:sz val="1000"/>
        <x:color rgb="FF1F2937"/>
        <x:rFont val="Noto Sans CJK SC"/>
        <x:family val="2"/>
      </x:rPr>
      <x:t xml:space="preserve">测试区域必须可恢复且不得包含量产秘密。</x:t>
    </x:r>
  </x:si>
  <x:si>
    <x:t xml:space="preserve">direct aperture</x:t>
  </x:si>
  <x:si>
    <x:t xml:space="preserve">直连地址窗口</x:t>
  </x:si>
  <x:si>
    <x:r>
      <x:rPr>
        <x:sz val="1000"/>
        <x:color rgb="FF1F2937"/>
        <x:rFont val="Noto Sans CJK SC"/>
        <x:family val="2"/>
      </x:rPr>
      <x:t xml:space="preserve">处理器直接访问某个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通道寄存器组的地址范围。</x:t>
    </x:r>
  </x:si>
  <x:si>
    <x:t xml:space="preserve">需冻结基地址、步长和实际实现的通道数。</x:t>
  </x:si>
  <x:si>
    <x:t xml:space="preserve">reset matrix</x:t>
  </x:si>
  <x:si>
    <x:t xml:space="preserve">复位规则矩阵</x:t>
  </x:si>
  <x:si>
    <x:t xml:space="preserve">定义不同复位类型下各寄存器、状态机和安全状态清除或保持的规则。</x:t>
  </x:si>
  <x:si>
    <x:t xml:space="preserve">规则未冻结时相关用例输出无法判定。</x:t>
  </x:si>
  <x:si>
    <x:t xml:space="preserve">fault injection</x:t>
  </x:si>
  <x:si>
    <x:t xml:space="preserve">故障注入</x:t>
  </x:si>
  <x:si>
    <x:t xml:space="preserve">通过硬件验证环境主动构造正常软件难以产生的内部错误。</x:t>
  </x:si>
  <x:si>
    <x:r>
      <x:rPr>
        <x:sz val="1000"/>
        <x:color rgb="FF1F2937"/>
        <x:rFont val="Noto Sans CJK SC"/>
        <x:family val="2"/>
      </x:rPr>
      <x:t xml:space="preserve">不得为了测试而修改或定制</x:t>
    </x:r>
    <x:r>
      <x:rPr>
        <x:sz val="1000"/>
        <x:color rgb="FF1F2937"/>
        <x:rFont val="Calibri"/>
      </x:rPr>
      <x:t xml:space="preserve">eHSM</x:t>
    </x:r>
    <x:r>
      <x:rPr>
        <x:sz val="1000"/>
        <x:color rgb="FF1F2937"/>
        <x:rFont val="Noto Sans CJK SC"/>
        <x:family val="2"/>
      </x:rPr>
      <x:t xml:space="preserve">固件。</x:t>
    </x:r>
  </x:si>
  <x:si>
    <x:t xml:space="preserve">READY_AFTER_*</x:t>
  </x:si>
  <x:si>
    <x:t xml:space="preserve">满足前置条件后可实施</x:t>
  </x:si>
  <x:si>
    <x:t xml:space="preserve">表示用例设计已存在，但必须先具备星号所指的基线、合同、映射或输入。</x:t>
  </x:si>
  <x:si>
    <x:r>
      <x:rPr>
        <x:sz val="1000"/>
        <x:color rgb="FF1F2937"/>
        <x:rFont val="Calibri"/>
      </x:rPr>
      <x:t xml:space="preserve">READY_AFTER_BASELINE</x:t>
    </x:r>
    <x:r>
      <x:rPr>
        <x:sz val="1000"/>
        <x:color rgb="FF1F2937"/>
        <x:rFont val="Noto Sans CJK SC"/>
        <x:family val="2"/>
      </x:rPr>
      <x:t xml:space="preserve">表示冻结测试基线后可实施。</x:t>
    </x:r>
  </x:si>
  <x:si>
    <x:t xml:space="preserve">NEEDS_*</x:t>
  </x:si>
  <x:si>
    <x:t xml:space="preserve">仍缺少所列输入或资源</x:t>
  </x:si>
  <x:si>
    <x:t xml:space="preserve">表示移植或执行前必须补齐星号所指的寄存器映射、测试环境、判据或合同。</x:t>
  </x:si>
  <x:si>
    <x:r>
      <x:rPr>
        <x:sz val="1000"/>
        <x:color rgb="FF1F2937"/>
        <x:rFont val="Calibri"/>
      </x:rPr>
      <x:t xml:space="preserve">NEEDS_RESET_CONTROL_AND_MATRIX</x:t>
    </x:r>
    <x:r>
      <x:rPr>
        <x:sz val="1000"/>
        <x:color rgb="FF1F2937"/>
        <x:rFont val="Noto Sans CJK SC"/>
        <x:family val="2"/>
      </x:rPr>
      <x:t xml:space="preserve">表示仍缺复位控制和复位规则矩阵。</x:t>
    </x:r>
  </x:si>
  <x:si>
    <x:t xml:space="preserve">MUST_PASS*</x:t>
  </x:si>
  <x:si>
    <x:t xml:space="preserve">具备条件后必须通过</x:t>
  </x:si>
  <x:si>
    <x:t xml:space="preserve">表示流片前的强制通过门禁；如果环境或专用资源尚不具备，应按表中规则记录无法判定。</x:t>
  </x:si>
  <x:si>
    <x:r>
      <x:rPr>
        <x:sz val="1000"/>
        <x:color rgb="FF1F2937"/>
        <x:rFont val="Calibri"/>
      </x:rPr>
      <x:t xml:space="preserve">MUST_PASS_BASIC</x:t>
    </x:r>
    <x:r>
      <x:rPr>
        <x:sz val="1000"/>
        <x:color rgb="FF1F2937"/>
        <x:rFont val="Noto Sans CJK SC"/>
        <x:family val="2"/>
      </x:rPr>
      <x:t xml:space="preserve">表示基本功能用例必须通过。</x:t>
    </x:r>
  </x:si>
  <x:si>
    <x:t xml:space="preserve">PLANNED / DESIGN_COMPLETE</x:t>
  </x:si>
  <x:si>
    <x:r>
      <x:rPr>
        <x:sz val="1000"/>
        <x:color rgb="FF1F2937"/>
        <x:rFont val="Noto Sans CJK SC"/>
        <x:family val="2"/>
      </x:rPr>
      <x:t xml:space="preserve">已规划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设计完成</x:t>
    </x:r>
  </x:si>
  <x:si>
    <x:r>
      <x:rPr>
        <x:sz val="1000"/>
        <x:color rgb="FF1F2937"/>
        <x:rFont val="Calibri"/>
      </x:rPr>
      <x:t xml:space="preserve">PLANNED</x:t>
    </x:r>
    <x:r>
      <x:rPr>
        <x:sz val="1000"/>
        <x:color rgb="FF1F2937"/>
        <x:rFont val="Noto Sans CJK SC"/>
        <x:family val="2"/>
      </x:rPr>
      <x:t xml:space="preserve">表示尚未执行；</x:t>
    </x:r>
    <x:r>
      <x:rPr>
        <x:sz val="1000"/>
        <x:color rgb="FF1F2937"/>
        <x:rFont val="Calibri"/>
      </x:rPr>
      <x:t xml:space="preserve">DESIGN_COMPLETE</x:t>
    </x:r>
    <x:r>
      <x:rPr>
        <x:sz val="1000"/>
        <x:color rgb="FF1F2937"/>
        <x:rFont val="Noto Sans CJK SC"/>
        <x:family val="2"/>
      </x:rPr>
      <x:t xml:space="preserve">表示用例设计和移植要求已完成。</x:t>
    </x:r>
  </x:si>
  <x:si>
    <x:t xml:space="preserve">二者都不代表目标环境测试已经通过。</x:t>
  </x:si>
  <x:si>
    <x:t xml:space="preserve">NOT_EXECUTED</x:t>
  </x:si>
  <x:si>
    <x:t xml:space="preserve">尚未执行</x:t>
  </x:si>
  <x:si>
    <x:r>
      <x:rPr>
        <x:sz val="1000"/>
        <x:color rgb="FF1F2937"/>
        <x:rFont val="Noto Sans CJK SC"/>
        <x:family val="2"/>
      </x:rPr>
      <x:t xml:space="preserve">表示只完成设计或静态检查，尚未产生目标环境的通过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失败证据。</x:t>
    </x:r>
  </x:si>
  <x:si>
    <x:r>
      <x:rPr>
        <x:sz val="1000"/>
        <x:color rgb="FF1F2937"/>
        <x:rFont val="Calibri"/>
      </x:rPr>
      <x:t xml:space="preserve">v0.3.6</x:t>
    </x:r>
    <x:r>
      <x:rPr>
        <x:sz val="1000"/>
        <x:color rgb="FF1F2937"/>
        <x:rFont val="Noto Sans CJK SC"/>
        <x:family val="2"/>
      </x:rPr>
      <x:t xml:space="preserve">中代码接入与目标执行状态分开记录；</x:t>
    </x:r>
    <x:r>
      <x:rPr>
        <x:sz val="1000"/>
        <x:color rgb="FF1F2937"/>
        <x:rFont val="Calibri"/>
      </x:rPr>
      <x:t xml:space="preserve">TARGET_NOT_EXECUTED</x:t>
    </x:r>
    <x:r>
      <x:rPr>
        <x:sz val="1000"/>
        <x:color rgb="FF1F2937"/>
        <x:rFont val="Noto Sans CJK SC"/>
        <x:family val="2"/>
      </x:rPr>
      <x:t xml:space="preserve">不等于失败。</x:t>
    </x:r>
  </x:si>
  <x:si>
    <x:t xml:space="preserve">已被后续版本替代</x:t>
  </x:si>
  <x:si>
    <x:t xml:space="preserve">旧设计仍保留用于追溯，但不再作为当前执行依据。</x:t>
  </x:si>
  <x:si>
    <x:r>
      <x:rPr>
        <x:sz val="1000"/>
        <x:color rgb="FF1F2937"/>
        <x:rFont val="Calibri"/>
      </x:rPr>
      <x:t xml:space="preserve">v0.3.4</x:t>
    </x:r>
    <x:r>
      <x:rPr>
        <x:sz val="1000"/>
        <x:color rgb="FF1F2937"/>
        <x:rFont val="Noto Sans CJK SC"/>
        <x:family val="2"/>
      </x:rPr>
      <x:t xml:space="preserve">由</x:t>
    </x:r>
    <x:r>
      <x:rPr>
        <x:sz val="1000"/>
        <x:color rgb="FF1F2937"/>
        <x:rFont val="Calibri"/>
      </x:rPr>
      <x:t xml:space="preserve">v0.3.5</x:t>
    </x:r>
    <x:r>
      <x:rPr>
        <x:sz val="1000"/>
        <x:color rgb="FF1F2937"/>
        <x:rFont val="Noto Sans CJK SC"/>
        <x:family val="2"/>
      </x:rPr>
      <x:t xml:space="preserve">术语中文化版替代。</x:t>
    </x:r>
  </x:si>
  <x:si>
    <x:t xml:space="preserve">NOT_APPLICABLE / N/A</x:t>
  </x:si>
  <x:si>
    <x:t xml:space="preserve">不适用</x:t>
  </x:si>
  <x:si>
    <x:t xml:space="preserve">当前产品范围、环境或命令不适用该项，不应记为通过。</x:t>
  </x:si>
  <x:si>
    <x:r>
      <x:rPr>
        <x:sz val="1000"/>
        <x:color rgb="FF1F2937"/>
        <x:rFont val="Calibri"/>
      </x:rPr>
      <x:t xml:space="preserve">Host</x:t>
    </x:r>
    <x:r>
      <x:rPr>
        <x:sz val="1000"/>
        <x:color rgb="FF1F2937"/>
        <x:rFont val="Noto Sans CJK SC"/>
        <x:family val="2"/>
      </x:rPr>
      <x:t xml:space="preserve">本地拦截且未到达</x:t>
    </x:r>
    <x:r>
      <x:rPr>
        <x:sz val="1000"/>
        <x:color rgb="FF1F2937"/>
        <x:rFont val="Calibri"/>
      </x:rPr>
      <x:t xml:space="preserve">eHSM</x:t>
    </x:r>
    <x:r>
      <x:rPr>
        <x:sz val="1000"/>
        <x:color rgb="FF1F2937"/>
        <x:rFont val="Noto Sans CJK SC"/>
        <x:family val="2"/>
      </x:rPr>
      <x:t xml:space="preserve">的参数组合可记为不适用。</x:t>
    </x:r>
  </x:si>
  <x:si>
    <x:t xml:space="preserve">PORTING_BLOCKER</x:t>
  </x:si>
  <x:si>
    <x:t xml:space="preserve">移植阻塞项</x:t>
  </x:si>
  <x:si>
    <x:r>
      <x:rPr>
        <x:sz val="1000"/>
        <x:color rgb="FF1F2937"/>
        <x:rFont val="Noto Sans CJK SC"/>
        <x:family val="2"/>
      </x:rPr>
      <x:t xml:space="preserve">缺少该输入会使</x:t>
    </x:r>
    <x:r>
      <x:rPr>
        <x:sz val="1000"/>
        <x:color rgb="FF1F2937"/>
        <x:rFont val="Calibri"/>
      </x:rPr>
      <x:t xml:space="preserve">Codex</x:t>
    </x:r>
    <x:r>
      <x:rPr>
        <x:sz val="1000"/>
        <x:color rgb="FF1F2937"/>
        <x:rFont val="Noto Sans CJK SC"/>
        <x:family val="2"/>
      </x:rPr>
      <x:t xml:space="preserve">无法正确绑定地址、权限、返回码或调用路径。</x:t>
    </x:r>
  </x:si>
  <x:si>
    <x:r>
      <x:rPr>
        <x:sz val="1000"/>
        <x:color rgb="FF1F2937"/>
        <x:rFont val="Noto Sans CJK SC"/>
        <x:family val="2"/>
      </x:rPr>
      <x:t xml:space="preserve">必须由</x:t>
    </x:r>
    <x:r>
      <x:rPr>
        <x:sz val="1000"/>
        <x:color rgb="FF1F2937"/>
        <x:rFont val="Calibri"/>
      </x:rPr>
      <x:t xml:space="preserve">RTL</x:t>
    </x:r>
    <x:r>
      <x:rPr>
        <x:sz val="1000"/>
        <x:color rgb="FF1F2937"/>
        <x:rFont val="Noto Sans CJK SC"/>
        <x:family val="2"/>
      </x:rPr>
      <x:t xml:space="preserve">、</x:t>
    </x:r>
    <x:r>
      <x:rPr>
        <x:sz val="1000"/>
        <x:color rgb="FF1F2937"/>
        <x:rFont val="Calibri"/>
      </x:rPr>
      <x:t xml:space="preserve">TRM</x:t>
    </x:r>
    <x:r>
      <x:rPr>
        <x:sz val="1000"/>
        <x:color rgb="FF1F2937"/>
        <x:rFont val="Noto Sans CJK SC"/>
        <x:family val="2"/>
      </x:rPr>
      <x:t xml:space="preserve">或接口负责人补齐，不能用猜测值代替。</x:t>
    </x:r>
  </x:si>
  <x:si>
    <x:t xml:space="preserve">待确认假设</x:t>
  </x:si>
  <x:si>
    <x:t xml:space="preserve">当前资料不足时临时登记的假设，后续必须由权威资料或负责人确认。</x:t>
  </x:si>
  <x:si>
    <x:t xml:space="preserve">假设不能直接作为流片前通过证据。</x:t>
  </x:si>
  <x:si>
    <x:t xml:space="preserve">目标头文件基线命令</x:t>
  </x:si>
  <x:si>
    <x:r>
      <x:rPr>
        <x:sz val="1000"/>
        <x:color rgb="FF1F2937"/>
        <x:rFont val="Calibri"/>
      </x:rPr>
      <x:t xml:space="preserve">BL</x:t>
    </x:r>
    <x:r>
      <x:rPr>
        <x:sz val="1000"/>
        <x:color rgb="FF1F2937"/>
        <x:rFont val="Noto Sans CJK SC"/>
        <x:family val="2"/>
      </x:rPr>
      <x:t xml:space="preserve">或</x:t>
    </x:r>
    <x:r>
      <x:rPr>
        <x:sz val="1000"/>
        <x:color rgb="FF1F2937"/>
        <x:rFont val="Calibri"/>
      </x:rPr>
      <x:t xml:space="preserve">FW</x:t>
    </x:r>
    <x:r>
      <x:rPr>
        <x:sz val="1000"/>
        <x:color rgb="FF1F2937"/>
        <x:rFont val="Noto Sans CJK SC"/>
        <x:family val="2"/>
      </x:rPr>
      <x:t xml:space="preserve">目标头文件中已经登记、当前按每命令一条基本功能用例覆盖的命令。</x:t>
    </x:r>
  </x:si>
  <x:si>
    <x:r>
      <x:rPr>
        <x:sz val="1000"/>
        <x:color rgb="FF1F2937"/>
        <x:rFont val="Noto Sans CJK SC"/>
        <x:family val="2"/>
      </x:rPr>
      <x:t xml:space="preserve">本版目标命令合计</x:t>
    </x:r>
    <x:r>
      <x:rPr>
        <x:sz val="1000"/>
        <x:color rgb="FF1F2937"/>
        <x:rFont val="Calibri"/>
      </x:rPr>
      <x:t xml:space="preserve">52</x:t>
    </x:r>
    <x:r>
      <x:rPr>
        <x:sz val="1000"/>
        <x:color rgb="FF1F2937"/>
        <x:rFont val="Noto Sans CJK SC"/>
        <x:family val="2"/>
      </x:rPr>
      <x:t xml:space="preserve">条。</x:t>
    </x:r>
  </x:si>
  <x:si>
    <x:t xml:space="preserve">仅主机头文件存在的候选命令</x:t>
  </x:si>
  <x:si>
    <x:r>
      <x:rPr>
        <x:sz val="1000"/>
        <x:color rgb="FF1F2937"/>
        <x:rFont val="Noto Sans CJK SC"/>
        <x:family val="2"/>
      </x:rPr>
      <x:t xml:space="preserve">只在</x:t>
    </x:r>
    <x:r>
      <x:rPr>
        <x:sz val="1000"/>
        <x:color rgb="FF1F2937"/>
        <x:rFont val="Calibri"/>
      </x:rPr>
      <x:t xml:space="preserve">Host</x:t>
    </x:r>
    <x:r>
      <x:rPr>
        <x:sz val="1000"/>
        <x:color rgb="FF1F2937"/>
        <x:rFont val="Noto Sans CJK SC"/>
        <x:family val="2"/>
      </x:rPr>
      <x:t xml:space="preserve">头文件发现、尚未确认属于</x:t>
    </x:r>
    <x:r>
      <x:rPr>
        <x:sz val="1000"/>
        <x:color rgb="FF1F2937"/>
        <x:rFont val="Calibri"/>
      </x:rPr>
      <x:t xml:space="preserve">NGU800P</x:t>
    </x:r>
    <x:r>
      <x:rPr>
        <x:sz val="1000"/>
        <x:color rgb="FF1F2937"/>
        <x:rFont val="Noto Sans CJK SC"/>
        <x:family val="2"/>
      </x:rPr>
      <x:t xml:space="preserve">交付范围的命令。</x:t>
    </x:r>
  </x:si>
  <x:si>
    <x:t xml:space="preserve">确认适用前不生成基本功能用例。</x:t>
  </x:si>
  <x:si>
    <x:t xml:space="preserve">当前只规划基本功能用例</x:t>
  </x:si>
  <x:si>
    <x:r>
      <x:rPr>
        <x:sz val="1000"/>
        <x:color rgb="FF1F2937"/>
        <x:rFont val="Noto Sans CJK SC"/>
        <x:family val="2"/>
      </x:rPr>
      <x:t xml:space="preserve">当前风险判断下不额外建立独立</x:t>
    </x:r>
    <x:r>
      <x:rPr>
        <x:sz val="1000"/>
        <x:color rgb="FF1F2937"/>
        <x:rFont val="Calibri"/>
      </x:rPr>
      <x:t xml:space="preserve">eHSM</x:t>
    </x:r>
    <x:r>
      <x:rPr>
        <x:sz val="1000"/>
        <x:color rgb="FF1F2937"/>
        <x:rFont val="Noto Sans CJK SC"/>
        <x:family val="2"/>
      </x:rPr>
      <x:t xml:space="preserve">负向族。</x:t>
    </x:r>
  </x:si>
  <x:si>
    <x:t xml:space="preserve">仍可在后续基于新风险或合同增加负向覆盖。</x:t>
  </x:si>
  <x:si>
    <x:r>
      <x:rPr>
        <x:sz val="1000"/>
        <x:color rgb="FF1F2937"/>
        <x:rFont val="Noto Sans CJK SC"/>
        <x:family val="2"/>
      </x:rPr>
      <x:t xml:space="preserve">由</x:t>
    </x:r>
    <x:r>
      <x:rPr>
        <x:sz val="1000"/>
        <x:color rgb="FF1F2937"/>
        <x:rFont val="Calibri"/>
      </x:rPr>
      <x:t xml:space="preserve">eHSM</x:t>
    </x:r>
    <x:r>
      <x:rPr>
        <x:sz val="1000"/>
        <x:color rgb="FF1F2937"/>
        <x:rFont val="Noto Sans CJK SC"/>
        <x:family val="2"/>
      </x:rPr>
      <x:t xml:space="preserve">负向用例族覆盖</x:t>
    </x:r>
  </x:si>
  <x:si>
    <x:r>
      <x:rPr>
        <x:sz val="1000"/>
        <x:color rgb="FF1F2937"/>
        <x:rFont val="Noto Sans CJK SC"/>
        <x:family val="2"/>
      </x:rPr>
      <x:t xml:space="preserve">该命令的安全拒绝行为由</x:t>
    </x:r>
    <x:r>
      <x:rPr>
        <x:sz val="1000"/>
        <x:color rgb="FF1F2937"/>
        <x:rFont val="Calibri"/>
      </x:rPr>
      <x:t xml:space="preserve">14</x:t>
    </x:r>
    <x:r>
      <x:rPr>
        <x:sz val="1000"/>
        <x:color rgb="FF1F2937"/>
        <x:rFont val="Noto Sans CJK SC"/>
        <x:family val="2"/>
      </x:rPr>
      <x:t xml:space="preserve">条</x:t>
    </x:r>
    <x:r>
      <x:rPr>
        <x:sz val="1000"/>
        <x:color rgb="FF1F2937"/>
        <x:rFont val="Calibri"/>
      </x:rPr>
      <x:t xml:space="preserve">eHSM</x:t>
    </x:r>
    <x:r>
      <x:rPr>
        <x:sz val="1000"/>
        <x:color rgb="FF1F2937"/>
        <x:rFont val="Noto Sans CJK SC"/>
        <x:family val="2"/>
      </x:rPr>
      <x:t xml:space="preserve">负向用例中的相关用例族统一验证。</x:t>
    </x:r>
  </x:si>
  <x:si>
    <x:t xml:space="preserve">验签命令由错误签名或错误摘要用例族覆盖。</x:t>
  </x:si>
  <x:si>
    <x:r>
      <x:rPr>
        <x:sz val="1000"/>
        <x:color rgb="FF1F2937"/>
        <x:rFont val="Calibri"/>
      </x:rPr>
      <x:t xml:space="preserve">WAVE0</x:t>
    </x:r>
    <x:r>
      <x:rPr>
        <x:sz val="1000"/>
        <x:color rgb="FF1F2937"/>
        <x:rFont val="Noto Sans CJK SC"/>
        <x:family val="2"/>
      </x:rPr>
      <x:t xml:space="preserve">～</x:t>
    </x:r>
    <x:r>
      <x:rPr>
        <x:sz val="1000"/>
        <x:color rgb="FF1F2937"/>
        <x:rFont val="Calibri"/>
      </x:rPr>
      <x:t xml:space="preserve">WAVE4</x:t>
    </x:r>
  </x:si>
  <x:si>
    <x:t xml:space="preserve">执行波次</x:t>
  </x:si>
  <x:si>
    <x:r>
      <x:rPr>
        <x:sz val="1000"/>
        <x:color rgb="FF1F2937"/>
        <x:rFont val="Noto Sans CJK SC"/>
        <x:family val="2"/>
      </x:rPr>
      <x:t xml:space="preserve">表示后续移植和执行的先后批次，从日常冒烟、根信任、身份密钥到多芯粒</x:t>
    </x:r>
    <x:r>
      <x:rPr>
        <x:sz val="1000"/>
        <x:color rgb="FF1F2937"/>
        <x:rFont val="Calibri"/>
      </x:rPr>
      <x:t xml:space="preserve">/Firewall</x:t>
    </x:r>
    <x:r>
      <x:rPr>
        <x:sz val="1000"/>
        <x:color rgb="FF1F2937"/>
        <x:rFont val="Noto Sans CJK SC"/>
        <x:family val="2"/>
      </x:rPr>
      <x:t xml:space="preserve">和密码兼容验证。</x:t>
    </x:r>
  </x:si>
  <x:si>
    <x:t xml:space="preserve">波次用于排期，不表示用例优先级或通过状态。</x:t>
  </x:si>
  <x:si>
    <x:t xml:space="preserve">真实接口已接入</x:t>
  </x:si>
  <x:si>
    <x:r>
      <x:rPr>
        <x:sz val="1000"/>
        <x:color rgb="FF1F2937"/>
        <x:rFont val="Calibri"/>
      </x:rPr>
      <x:t xml:space="preserve">case</x:t>
    </x:r>
    <x:r>
      <x:rPr>
        <x:sz val="1000"/>
        <x:color rgb="FF1F2937"/>
        <x:rFont val="Noto Sans CJK SC"/>
        <x:family val="2"/>
      </x:rPr>
      <x:t xml:space="preserve">已经调用</x:t>
    </x:r>
    <x:r>
      <x:rPr>
        <x:sz val="1000"/>
        <x:color rgb="FF1F2937"/>
        <x:rFont val="Calibri"/>
      </x:rPr>
      <x:t xml:space="preserve">baremetal</x:t>
    </x:r>
    <x:r>
      <x:rPr>
        <x:sz val="1000"/>
        <x:color rgb="FF1F2937"/>
        <x:rFont val="Noto Sans CJK SC"/>
        <x:family val="2"/>
      </x:rPr>
      <x:t xml:space="preserve">内移植的</x:t>
    </x:r>
    <x:r>
      <x:rPr>
        <x:sz val="1000"/>
        <x:color rgb="FF1F2937"/>
        <x:rFont val="Calibri"/>
      </x:rPr>
      <x:t xml:space="preserve">eHSM typed API</x:t>
    </x:r>
    <x:r>
      <x:rPr>
        <x:sz val="1000"/>
        <x:color rgb="FF1F2937"/>
        <x:rFont val="Noto Sans CJK SC"/>
        <x:family val="2"/>
      </x:rPr>
      <x:t xml:space="preserve">并执行本地</x:t>
    </x:r>
    <x:r>
      <x:rPr>
        <x:sz val="1000"/>
        <x:color rgb="FF1F2937"/>
        <x:rFont val="Calibri"/>
      </x:rPr>
      <x:t xml:space="preserve">Expected</x:t>
    </x:r>
    <x:r>
      <x:rPr>
        <x:sz val="1000"/>
        <x:color rgb="FF1F2937"/>
        <x:rFont val="Noto Sans CJK SC"/>
        <x:family val="2"/>
      </x:rPr>
      <x:t xml:space="preserve">判定。</x:t>
    </x:r>
  </x:si>
  <x:si>
    <x:r>
      <x:rPr>
        <x:sz val="1000"/>
        <x:color rgb="FF1F2937"/>
        <x:rFont val="Noto Sans CJK SC"/>
        <x:family val="2"/>
      </x:rPr>
      <x:t xml:space="preserve">只表示代码路径完成；没有目标</x:t>
    </x:r>
    <x:r>
      <x:rPr>
        <x:sz val="1000"/>
        <x:color rgb="FF1F2937"/>
        <x:rFont val="Calibri"/>
      </x:rPr>
      <x:t xml:space="preserve">Evidence</x:t>
    </x:r>
    <x:r>
      <x:rPr>
        <x:sz val="1000"/>
        <x:color rgb="FF1F2937"/>
        <x:rFont val="Noto Sans CJK SC"/>
        <x:family val="2"/>
      </x:rPr>
      <x:t xml:space="preserve">时不能写硬件</x:t>
    </x:r>
    <x:r>
      <x:rPr>
        <x:sz val="1000"/>
        <x:color rgb="FF1F2937"/>
        <x:rFont val="Calibri"/>
      </x:rPr>
      <x:t xml:space="preserve">PASS</x:t>
    </x:r>
    <x:r>
      <x:rPr>
        <x:sz val="1000"/>
        <x:color rgb="FF1F2937"/>
        <x:rFont val="Noto Sans CJK SC"/>
        <x:family val="2"/>
      </x:rPr>
      <x:t xml:space="preserve">。</x:t>
    </x:r>
  </x:si>
  <x:si>
    <x:t xml:space="preserve">门禁不可判定</x:t>
  </x:si>
  <x:si>
    <x:r>
      <x:rPr>
        <x:sz val="1000"/>
        <x:color rgb="FF1F2937"/>
        <x:rFont val="Calibri"/>
      </x:rPr>
      <x:t xml:space="preserve">case ID</x:t>
    </x:r>
    <x:r>
      <x:rPr>
        <x:sz val="1000"/>
        <x:color rgb="FF1F2937"/>
        <x:rFont val="Noto Sans CJK SC"/>
        <x:family val="2"/>
      </x:rPr>
      <x:t xml:space="preserve">和</x:t>
    </x:r>
    <x:r>
      <x:rPr>
        <x:sz val="1000"/>
        <x:color rgb="FF1F2937"/>
        <x:rFont val="Calibri"/>
      </x:rPr>
      <x:t xml:space="preserve">CMD</x:t>
    </x:r>
    <x:r>
      <x:rPr>
        <x:sz val="1000"/>
        <x:color rgb="FF1F2937"/>
        <x:rFont val="Noto Sans CJK SC"/>
        <x:family val="2"/>
      </x:rPr>
      <x:t xml:space="preserve">入口存在，但缺少已批准输入、镜像或恢复合同，在发送目标命令前返回明确原因。</x:t>
    </x:r>
  </x:si>
  <x:si>
    <x:r>
      <x:rPr>
        <x:sz val="1000"/>
        <x:color rgb="FF1F2937"/>
        <x:rFont val="Noto Sans CJK SC"/>
        <x:family val="2"/>
      </x:rPr>
      <x:t xml:space="preserve">当前仅</x:t>
    </x:r>
    <x:r>
      <x:rPr>
        <x:sz val="1000"/>
        <x:color rgb="FF1F2937"/>
        <x:rFont val="Calibri"/>
      </x:rPr>
      <x:t xml:space="preserve">MB-BL-006-BASIC</x:t>
    </x:r>
    <x:r>
      <x:rPr>
        <x:sz val="1000"/>
        <x:color rgb="FF1F2937"/>
        <x:rFont val="Noto Sans CJK SC"/>
        <x:family val="2"/>
      </x:rPr>
      <x:t xml:space="preserve">使用。</x:t>
    </x:r>
  </x:si>
  <x:si>
    <x:t xml:space="preserve">已有构建证据</x:t>
  </x:si>
  <x:si>
    <x:r>
      <x:rPr>
        <x:sz val="1000"/>
        <x:color rgb="FF1F2937"/>
        <x:rFont val="Noto Sans CJK SC"/>
        <x:family val="2"/>
      </x:rPr>
      <x:t xml:space="preserve">已有对应源码编译、链接、</x:t>
    </x:r>
    <x:r>
      <x:rPr>
        <x:sz val="1000"/>
        <x:color rgb="FF1F2937"/>
        <x:rFont val="Calibri"/>
      </x:rPr>
      <x:t xml:space="preserve">registry</x:t>
    </x:r>
    <x:r>
      <x:rPr>
        <x:sz val="1000"/>
        <x:color rgb="FF1F2937"/>
        <x:rFont val="Noto Sans CJK SC"/>
        <x:family val="2"/>
      </x:rPr>
      <x:t xml:space="preserve">或静态矩阵</x:t>
    </x:r>
    <x:r>
      <x:rPr>
        <x:sz val="1000"/>
        <x:color rgb="FF1F2937"/>
        <x:rFont val="Calibri"/>
      </x:rPr>
      <x:t xml:space="preserve">Evidence</x:t>
    </x:r>
    <x:r>
      <x:rPr>
        <x:sz val="1000"/>
        <x:color rgb="FF1F2937"/>
        <x:rFont val="Noto Sans CJK SC"/>
        <x:family val="2"/>
      </x:rPr>
      <x:t xml:space="preserve">。</x:t>
    </x:r>
  </x:si>
  <x:si>
    <x:r>
      <x:rPr>
        <x:sz val="1000"/>
        <x:color rgb="FF1F2937"/>
        <x:rFont val="Noto Sans CJK SC"/>
        <x:family val="2"/>
      </x:rPr>
      <x:t xml:space="preserve">不等于</x:t>
    </x:r>
    <x:r>
      <x:rPr>
        <x:sz val="1000"/>
        <x:color rgb="FF1F2937"/>
        <x:rFont val="Calibri"/>
      </x:rPr>
      <x:t xml:space="preserve">EMU/FPGA</x:t>
    </x:r>
    <x:r>
      <x:rPr>
        <x:sz val="1000"/>
        <x:color rgb="FF1F2937"/>
        <x:rFont val="Noto Sans CJK SC"/>
        <x:family val="2"/>
      </x:rPr>
      <x:t xml:space="preserve">真实</x:t>
    </x:r>
    <x:r>
      <x:rPr>
        <x:sz val="1000"/>
        <x:color rgb="FF1F2937"/>
        <x:rFont val="Calibri"/>
      </x:rPr>
      <x:t xml:space="preserve">Mailbox</x:t>
    </x:r>
    <x:r>
      <x:rPr>
        <x:sz val="1000"/>
        <x:color rgb="FF1F2937"/>
        <x:rFont val="Noto Sans CJK SC"/>
        <x:family val="2"/>
      </x:rPr>
      <x:t xml:space="preserve">执行通过。</x:t>
    </x:r>
  </x:si>
  <x:si>
    <x:t xml:space="preserve">目标环境尚未执行</x:t>
  </x:si>
  <x:si>
    <x:r>
      <x:rPr>
        <x:sz val="1000"/>
        <x:color rgb="FF1F2937"/>
        <x:rFont val="Noto Sans CJK SC"/>
        <x:family val="2"/>
      </x:rPr>
      <x:t xml:space="preserve">尚未取得</x:t>
    </x:r>
    <x:r>
      <x:rPr>
        <x:sz val="1000"/>
        <x:color rgb="FF1F2937"/>
        <x:rFont val="Calibri"/>
      </x:rPr>
      <x:t xml:space="preserve">EMU/FPGA</x:t>
    </x:r>
    <x:r>
      <x:rPr>
        <x:sz val="1000"/>
        <x:color rgb="FF1F2937"/>
        <x:rFont val="Noto Sans CJK SC"/>
        <x:family val="2"/>
      </x:rPr>
      <x:t xml:space="preserve">目标机真实执行记录。</x:t>
    </x:r>
  </x:si>
  <x:si>
    <x:r>
      <x:rPr>
        <x:sz val="1000"/>
        <x:color rgb="FF1F2937"/>
        <x:rFont val="Noto Sans CJK SC"/>
        <x:family val="2"/>
      </x:rPr>
      <x:t xml:space="preserve">必须与</x:t>
    </x:r>
    <x:r>
      <x:rPr>
        <x:sz val="1000"/>
        <x:color rgb="FF1F2937"/>
        <x:rFont val="Calibri"/>
      </x:rPr>
      <x:t xml:space="preserve">REAL_API/</x:t>
    </x:r>
    <x:r>
      <x:rPr>
        <x:sz val="1000"/>
        <x:color rgb="FF1F2937"/>
        <x:rFont val="Noto Sans CJK SC"/>
        <x:family val="2"/>
      </x:rPr>
      <x:t xml:space="preserve">构建状态分开记录。</x:t>
    </x:r>
  </x:si>
  <x:si>
    <x:r>
      <x:rPr>
        <x:sz val="1000"/>
        <x:color rgb="FF1F2937"/>
        <x:rFont val="Noto Sans CJK SC"/>
        <x:family val="2"/>
      </x:rPr>
      <x:t xml:space="preserve">单条</x:t>
    </x:r>
    <x:r>
      <x:rPr>
        <x:sz val="1000"/>
        <x:color rgb="FF1F2937"/>
        <x:rFont val="Calibri"/>
      </x:rPr>
      <x:t xml:space="preserve">CMD</x:t>
    </x:r>
    <x:r>
      <x:rPr>
        <x:sz val="1000"/>
        <x:color rgb="FF1F2937"/>
        <x:rFont val="Noto Sans CJK SC"/>
        <x:family val="2"/>
      </x:rPr>
      <x:t xml:space="preserve">执行</x:t>
    </x:r>
  </x:si>
  <x:si>
    <x:r>
      <x:rPr>
        <x:sz val="1000"/>
        <x:color rgb="FF1F2937"/>
        <x:rFont val="Noto Sans CJK SC"/>
        <x:family val="2"/>
      </x:rPr>
      <x:t xml:space="preserve">通过现有</x:t>
    </x:r>
    <x:r>
      <x:rPr>
        <x:sz val="1000"/>
        <x:color rgb="FF1F2937"/>
        <x:rFont val="Calibri"/>
      </x:rPr>
      <x:t xml:space="preserve">security_test CMD</x:t>
    </x:r>
    <x:r>
      <x:rPr>
        <x:sz val="1000"/>
        <x:color rgb="FF1F2937"/>
        <x:rFont val="Noto Sans CJK SC"/>
        <x:family val="2"/>
      </x:rPr>
      <x:t xml:space="preserve">按稳定</x:t>
    </x:r>
    <x:r>
      <x:rPr>
        <x:sz val="1000"/>
        <x:color rgb="FF1F2937"/>
        <x:rFont val="Calibri"/>
      </x:rPr>
      <x:t xml:space="preserve">case ID</x:t>
    </x:r>
    <x:r>
      <x:rPr>
        <x:sz val="1000"/>
        <x:color rgb="FF1F2937"/>
        <x:rFont val="Noto Sans CJK SC"/>
        <x:family val="2"/>
      </x:rPr>
      <x:t xml:space="preserve">直接执行。</x:t>
    </x:r>
  </x:si>
  <x:si>
    <x:r>
      <x:rPr>
        <x:sz val="1000"/>
        <x:color rgb="FF1F2937"/>
        <x:rFont val="Noto Sans CJK SC"/>
        <x:family val="2"/>
      </x:rPr>
      <x:t xml:space="preserve">命令形式：</x:t>
    </x:r>
    <x:r>
      <x:rPr>
        <x:sz val="1000"/>
        <x:color rgb="FF1F2937"/>
        <x:rFont val="Calibri"/>
      </x:rPr>
      <x:t xml:space="preserve">security_test run &lt;case_id&gt;</x:t>
    </x:r>
    <x:r>
      <x:rPr>
        <x:sz val="1000"/>
        <x:color rgb="FF1F2937"/>
        <x:rFont val="Noto Sans CJK SC"/>
        <x:family val="2"/>
      </x:rPr>
      <x:t xml:space="preserve">；不使用脚本</x:t>
    </x:r>
    <x:r>
      <x:rPr>
        <x:sz val="1000"/>
        <x:color rgb="FF1F2937"/>
        <x:rFont val="Calibri"/>
      </x:rPr>
      <x:t xml:space="preserve">Runner</x:t>
    </x:r>
    <x:r>
      <x:rPr>
        <x:sz val="1000"/>
        <x:color rgb="FF1F2937"/>
        <x:rFont val="Noto Sans CJK SC"/>
        <x:family val="2"/>
      </x:rPr>
      <x:t xml:space="preserve">。</x:t>
    </x:r>
  </x:si>
  <x:si>
    <x:t xml:space="preserve">SECURITY_OTP_PRELOADED</x:t>
  </x:si>
  <x:si>
    <x:r>
      <x:rPr>
        <x:sz val="1000"/>
        <x:color rgb="FF1F2937"/>
        <x:rFont val="Calibri"/>
      </x:rPr>
      <x:t xml:space="preserve">OTP</x:t>
    </x:r>
    <x:r>
      <x:rPr>
        <x:sz val="1000"/>
        <x:color rgb="FF1F2937"/>
        <x:rFont val="Noto Sans CJK SC"/>
        <x:family val="2"/>
      </x:rPr>
      <x:t xml:space="preserve">预置编译</x:t>
    </x:r>
    <x:r>
      <x:rPr>
        <x:sz val="1000"/>
        <x:color rgb="FF1F2937"/>
        <x:rFont val="Calibri"/>
      </x:rPr>
      <x:t xml:space="preserve">Profile</x:t>
    </x:r>
  </x:si>
  <x:si>
    <x:r>
      <x:rPr>
        <x:sz val="1000"/>
        <x:color rgb="FF1F2937"/>
        <x:rFont val="Noto Sans CJK SC"/>
        <x:family val="2"/>
      </x:rPr>
      <x:t xml:space="preserve">值</x:t>
    </x:r>
    <x:r>
      <x:rPr>
        <x:sz val="1000"/>
        <x:color rgb="FF1F2937"/>
        <x:rFont val="Calibri"/>
      </x:rPr>
      <x:t xml:space="preserve">0</x:t>
    </x:r>
    <x:r>
      <x:rPr>
        <x:sz val="1000"/>
        <x:color rgb="FF1F2937"/>
        <x:rFont val="Noto Sans CJK SC"/>
        <x:family val="2"/>
      </x:rPr>
      <x:t xml:space="preserve">表示</x:t>
    </x:r>
    <x:r>
      <x:rPr>
        <x:sz val="1000"/>
        <x:color rgb="FF1F2937"/>
        <x:rFont val="Calibri"/>
      </x:rPr>
      <x:t xml:space="preserve">UNPROVISIONED</x:t>
    </x:r>
    <x:r>
      <x:rPr>
        <x:sz val="1000"/>
        <x:color rgb="FF1F2937"/>
        <x:rFont val="Noto Sans CJK SC"/>
        <x:family val="2"/>
      </x:rPr>
      <x:t xml:space="preserve">失败关闭</x:t>
    </x:r>
    <x:r>
      <x:rPr>
        <x:sz val="1000"/>
        <x:color rgb="FF1F2937"/>
        <x:rFont val="Calibri"/>
      </x:rPr>
      <x:t xml:space="preserve">Profile</x:t>
    </x:r>
    <x:r>
      <x:rPr>
        <x:sz val="1000"/>
        <x:color rgb="FF1F2937"/>
        <x:rFont val="Noto Sans CJK SC"/>
        <x:family val="2"/>
      </x:rPr>
      <x:t xml:space="preserve">，值</x:t>
    </x:r>
    <x:r>
      <x:rPr>
        <x:sz val="1000"/>
        <x:color rgb="FF1F2937"/>
        <x:rFont val="Calibri"/>
      </x:rPr>
      <x:t xml:space="preserve">1</x:t>
    </x:r>
    <x:r>
      <x:rPr>
        <x:sz val="1000"/>
        <x:color rgb="FF1F2937"/>
        <x:rFont val="Noto Sans CJK SC"/>
        <x:family val="2"/>
      </x:rPr>
      <x:t xml:space="preserve">表示</x:t>
    </x:r>
    <x:r>
      <x:rPr>
        <x:sz val="1000"/>
        <x:color rgb="FF1F2937"/>
        <x:rFont val="Calibri"/>
      </x:rPr>
      <x:t xml:space="preserve">PRELOADED</x:t>
    </x:r>
    <x:r>
      <x:rPr>
        <x:sz val="1000"/>
        <x:color rgb="FF1F2937"/>
        <x:rFont val="Noto Sans CJK SC"/>
        <x:family val="2"/>
      </x:rPr>
      <x:t xml:space="preserve">正向功能</x:t>
    </x:r>
    <x:r>
      <x:rPr>
        <x:sz val="1000"/>
        <x:color rgb="FF1F2937"/>
        <x:rFont val="Calibri"/>
      </x:rPr>
      <x:t xml:space="preserve">Profile</x:t>
    </x:r>
    <x:r>
      <x:rPr>
        <x:sz val="1000"/>
        <x:color rgb="FF1F2937"/>
        <x:rFont val="Noto Sans CJK SC"/>
        <x:family val="2"/>
      </x:rPr>
      <x:t xml:space="preserve">。</x:t>
    </x:r>
  </x:si>
  <x:si>
    <x:r>
      <x:rPr>
        <x:sz val="1000"/>
        <x:color rgb="FF1F2937"/>
        <x:rFont val="Noto Sans CJK SC"/>
        <x:family val="2"/>
      </x:rPr>
      <x:t xml:space="preserve">两个</x:t>
    </x:r>
    <x:r>
      <x:rPr>
        <x:sz val="1000"/>
        <x:color rgb="FF1F2937"/>
        <x:rFont val="Calibri"/>
      </x:rPr>
      <x:t xml:space="preserve">Profile</x:t>
    </x:r>
    <x:r>
      <x:rPr>
        <x:sz val="1000"/>
        <x:color rgb="FF1F2937"/>
        <x:rFont val="Noto Sans CJK SC"/>
        <x:family val="2"/>
      </x:rPr>
      <x:t xml:space="preserve">的</x:t>
    </x:r>
    <x:r>
      <x:rPr>
        <x:sz val="1000"/>
        <x:color rgb="FF1F2937"/>
        <x:rFont val="Calibri"/>
      </x:rPr>
      <x:t xml:space="preserve">SUCCESS</x:t>
    </x:r>
    <x:r>
      <x:rPr>
        <x:sz val="1000"/>
        <x:color rgb="FF1F2937"/>
        <x:rFont val="Noto Sans CJK SC"/>
        <x:family val="2"/>
      </x:rPr>
      <x:t xml:space="preserve">含义不同，未预置结果不能替代工作簿正向覆盖。</x:t>
    </x:r>
  </x:si>
  <x:si>
    <x:t xml:space="preserve">fixture_id / load receipt</x:t>
  </x:si>
  <x:si>
    <x:r>
      <x:rPr>
        <x:sz val="1000"/>
        <x:color rgb="FF1F2937"/>
        <x:rFont val="Noto Sans CJK SC"/>
        <x:family val="2"/>
      </x:rPr>
      <x:t xml:space="preserve">预置环境标识</x:t>
    </x:r>
    <x:r>
      <x:rPr>
        <x:sz val="1000"/>
        <x:color rgb="FF1F2937"/>
        <x:rFont val="Calibri"/>
      </x:rPr>
      <x:t xml:space="preserve">/</x:t>
    </x:r>
    <x:r>
      <x:rPr>
        <x:sz val="1000"/>
        <x:color rgb="FF1F2937"/>
        <x:rFont val="Noto Sans CJK SC"/>
        <x:family val="2"/>
      </x:rPr>
      <x:t xml:space="preserve">加载回执</x:t>
    </x:r>
  </x:si>
  <x:si>
    <x:r>
      <x:rPr>
        <x:sz val="1000"/>
        <x:color rgb="FF1F2937"/>
        <x:rFont val="Noto Sans CJK SC"/>
        <x:family val="2"/>
      </x:rPr>
      <x:t xml:space="preserve">将</x:t>
    </x:r>
    <x:r>
      <x:rPr>
        <x:sz val="1000"/>
        <x:color rgb="FF1F2937"/>
        <x:rFont val="Calibri"/>
      </x:rPr>
      <x:t xml:space="preserve">case Expected</x:t>
    </x:r>
    <x:r>
      <x:rPr>
        <x:sz val="1000"/>
        <x:color rgb="FF1F2937"/>
        <x:rFont val="Noto Sans CJK SC"/>
        <x:family val="2"/>
      </x:rPr>
      <x:t xml:space="preserve">、</x:t>
    </x:r>
    <x:r>
      <x:rPr>
        <x:sz val="1000"/>
        <x:color rgb="FF1F2937"/>
        <x:rFont val="Calibri"/>
      </x:rPr>
      <x:t xml:space="preserve">eFuse</x:t>
    </x:r>
    <x:r>
      <x:rPr>
        <x:sz val="1000"/>
        <x:color rgb="FF1F2937"/>
        <x:rFont val="Noto Sans CJK SC"/>
        <x:family val="2"/>
      </x:rPr>
      <x:t xml:space="preserve">内容、</x:t>
    </x:r>
    <x:r>
      <x:rPr>
        <x:sz val="1000"/>
        <x:color rgb="FF1F2937"/>
        <x:rFont val="Calibri"/>
      </x:rPr>
      <x:t xml:space="preserve">eHSM baseline</x:t>
    </x:r>
    <x:r>
      <x:rPr>
        <x:sz val="1000"/>
        <x:color rgb="FF1F2937"/>
        <x:rFont val="Noto Sans CJK SC"/>
        <x:family val="2"/>
      </x:rPr>
      <x:t xml:space="preserve">和本次实际加载动作绑定。</x:t>
    </x:r>
  </x:si>
  <x:si>
    <x:r>
      <x:rPr>
        <x:sz val="1000"/>
        <x:color rgb="FF1F2937"/>
        <x:rFont val="Noto Sans CJK SC"/>
        <x:family val="2"/>
      </x:rPr>
      <x:t xml:space="preserve">缺少绑定时不得宣称整份</x:t>
    </x:r>
    <x:r>
      <x:rPr>
        <x:sz val="1000"/>
        <x:color rgb="FF1F2937"/>
        <x:rFont val="Calibri"/>
      </x:rPr>
      <x:t xml:space="preserve">fixture</x:t>
    </x:r>
    <x:r>
      <x:rPr>
        <x:sz val="1000"/>
        <x:color rgb="FF1F2937"/>
        <x:rFont val="Noto Sans CJK SC"/>
        <x:family val="2"/>
      </x:rPr>
      <x:t xml:space="preserve">或相关密钥用例已获得目标</x:t>
    </x:r>
    <x:r>
      <x:rPr>
        <x:sz val="1000"/>
        <x:color rgb="FF1F2937"/>
        <x:rFont val="Calibri"/>
      </x:rPr>
      <x:t xml:space="preserve">PASS</x:t>
    </x:r>
    <x:r>
      <x:rPr>
        <x:sz val="1000"/>
        <x:color rgb="FF1F2937"/>
        <x:rFont val="Noto Sans CJK SC"/>
        <x:family val="2"/>
      </x:rPr>
      <x:t xml:space="preserve">。</x:t>
    </x:r>
  </x:si>
</x:sst>
</file>

<file path=xl/styles.xml><?xml version="1.0" encoding="utf-8"?>
<x:styleSheet xmlns:x="http://schemas.openxmlformats.org/spreadsheetml/2006/main">
  <x:numFmts count="4">
    <x:numFmt numFmtId="164" formatCode="General"/>
    <x:numFmt numFmtId="165" formatCode="yyyy\-mm\-dd"/>
    <x:numFmt numFmtId="200" formatCode="@"/>
    <x:numFmt numFmtId="201" formatCode="yyyy-mm-dd"/>
  </x:numFmts>
  <x:fonts count="20">
    <x:font>
      <x:sz val="10"/>
      <x:name val="Arial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1"/>
      <x:name val="Calibri"/>
    </x:font>
    <x:font>
      <x:b/>
      <x:sz val="16"/>
      <x:color rgb="FFFFFFFF"/>
      <x:name val="Calibri"/>
    </x:font>
    <x:font>
      <x:b/>
      <x:sz val="16"/>
      <x:color rgb="FFFFFFFF"/>
      <x:name val="Noto Sans CJK SC"/>
    </x:font>
    <x:font>
      <x:b/>
      <x:sz val="11"/>
      <x:color rgb="FFFFFFFF"/>
      <x:name val="Noto Sans CJK SC"/>
    </x:font>
    <x:font>
      <x:sz val="10"/>
      <x:color rgb="FF1F2937"/>
      <x:name val="Noto Sans CJK SC"/>
    </x:font>
    <x:font>
      <x:sz val="10"/>
      <x:color rgb="FF1F2937"/>
      <x:name val="Calibri"/>
    </x:font>
    <x:font>
      <x:sz val="10"/>
      <x:name val="Noto Sans CJK SC"/>
    </x:font>
    <x:font>
      <x:b/>
      <x:sz val="11"/>
      <x:color rgb="FFFFFFFF"/>
      <x:name val="Calibri"/>
    </x:font>
    <x:font>
      <x:b/>
      <x:sz val="11"/>
      <x:color rgb="FF1F2937"/>
      <x:name val="Noto Sans CJK SC"/>
    </x:font>
    <x:font>
      <x:b/>
      <x:sz val="11"/>
      <x:color rgb="FF1F2937"/>
      <x:name val="Calibri"/>
    </x:font>
    <x:font>
      <x:b/>
      <x:sz val="16"/>
      <x:color rgb="FFFFFFFF"/>
      <x:name val="Microsoft YaHei"/>
    </x:font>
    <x:font>
      <x:b/>
      <x:sz val="10"/>
      <x:color rgb="FFFFFFFF"/>
      <x:name val="Microsoft YaHei"/>
    </x:font>
    <x:font>
      <x:sz val="9"/>
      <x:color rgb="FF1F1F1F"/>
      <x:name val="Microsoft YaHei"/>
    </x:font>
    <x:font>
      <x:sz val="10"/>
      <x:name val="Microsoft YaHei"/>
    </x:font>
    <x:font>
      <x:sz val="10"/>
      <x:color rgb="FF7F6000"/>
      <x:name val="Microsoft YaHei"/>
    </x:font>
    <x:font>
      <x:b/>
      <x:sz val="10"/>
      <x:color rgb="FF7F6000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</x:fills>
  <x:borders count="17">
    <x:border diagonalUp="0" diagonalDown="0"/>
    <x:border diagonalUp="0" diagonalDown="0">
      <x:right style="thin">
        <x:color rgb="FFB4C6E7"/>
      </x:right>
    </x:border>
    <x:border diagonalUp="0" diagonalDown="0">
      <x:left style="thin">
        <x:color rgb="FFB4C6E7"/>
      </x:left>
    </x:border>
    <x:border diagonalUp="0" diagonalDown="0">
      <x:bottom style="thin">
        <x:color rgb="FFE5E7EB"/>
      </x:bottom>
    </x:border>
    <x:border diagonalUp="0" diagonalDown="0">
      <x:top style="thin">
        <x:color rgb="FFE5E7EB"/>
      </x:top>
      <x:bottom style="thin">
        <x:color rgb="FFE5E7EB"/>
      </x:bottom>
    </x:border>
    <x:border diagonalUp="0" diagonalDown="0">
      <x:left style="thin">
        <x:color rgb="FFB4C6E7"/>
      </x:left>
      <x:right style="thin">
        <x:color rgb="FFB4C6E7"/>
      </x:right>
    </x:border>
    <x:border diagonalUp="0" diagonalDown="0">
      <x:bottom style="thin">
        <x:color rgb="FFD9E2F3"/>
      </x:bottom>
    </x:border>
    <x:border diagonalUp="0" diagonalDown="0">
      <x:top style="thin">
        <x:color rgb="FFD9E2F3"/>
      </x:top>
      <x:bottom style="thin">
        <x:color rgb="FFD9E2F3"/>
      </x:bottom>
    </x:border>
    <x:border diagonalUp="0" diagonalDown="0">
      <x:right style="thin">
        <x:color rgb="FFD9E2F3"/>
      </x:right>
      <x:bottom style="thin">
        <x:color rgb="FFD9E2F3"/>
      </x:bottom>
    </x:border>
    <x:border diagonalUp="0" diagonalDown="0">
      <x:left style="thin">
        <x:color rgb="FFD9E2F3"/>
      </x:left>
      <x:right style="thin">
        <x:color rgb="FFD9E2F3"/>
      </x:right>
      <x:bottom style="thin">
        <x:color rgb="FFD9E2F3"/>
      </x:bottom>
    </x:border>
    <x:border diagonalUp="0" diagonalDown="0">
      <x:left style="thin">
        <x:color rgb="FFD9E2F3"/>
      </x:left>
      <x:bottom style="thin">
        <x:color rgb="FFD9E2F3"/>
      </x:bottom>
    </x:border>
    <x:border diagonalUp="0" diagonalDown="0">
      <x:right style="thin">
        <x:color rgb="FFD9E2F3"/>
      </x:right>
      <x:top style="thin">
        <x:color rgb="FFD9E2F3"/>
      </x:top>
      <x:bottom style="thin">
        <x:color rgb="FFD9E2F3"/>
      </x:bottom>
    </x:border>
    <x:border diagonalUp="0" diagonalDown="0"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 diagonalUp="0" diagonalDown="0">
      <x:left style="thin">
        <x:color rgb="FFD9E2F3"/>
      </x:left>
      <x:top style="thin">
        <x:color rgb="FFD9E2F3"/>
      </x:top>
      <x:bottom style="thin">
        <x:color rgb="FFD9E2F3"/>
      </x:bottom>
    </x:border>
    <x:border diagonalUp="0" diagonalDown="0">
      <x:right style="thin">
        <x:color rgb="FFD9E2F3"/>
      </x:right>
      <x:top style="thin">
        <x:color rgb="FFD9E2F3"/>
      </x:top>
    </x:border>
    <x:border diagonalUp="0" diagonalDown="0">
      <x:left style="thin">
        <x:color rgb="FFD9E2F3"/>
      </x:left>
      <x:right style="thin">
        <x:color rgb="FFD9E2F3"/>
      </x:right>
      <x:top style="thin">
        <x:color rgb="FFD9E2F3"/>
      </x:top>
    </x:border>
    <x:border diagonalUp="0" diagonalDown="0">
      <x:left style="thin">
        <x:color rgb="FFD9E2F3"/>
      </x:left>
      <x:top style="thin">
        <x:color rgb="FFD9E2F3"/>
      </x:top>
    </x:border>
  </x:borders>
  <x:cellStyleXfs count="21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  <x:xf numFmtId="164" fontId="4" fillId="0" borderId="0" applyFont="1" applyBorder="1" applyAlignment="1" applyProtection="1">
      <x:alignment horizontal="general" vertical="bottom" wrapText="0" shrinkToFit="0"/>
      <x:protection locked="1" hidden="0"/>
    </x:xf>
  </x:cellStyleXfs>
  <x:cellXfs count="67">
    <x:xf numFmtId="164" fontId="0" fillId="0" borderId="0" xfId="0" applyFont="0" applyBorder="0" applyAlignment="0">
      <x:alignment horizontal="general" vertical="bottom" wrapText="0"/>
    </x:xf>
    <x:xf numFmtId="164" fontId="5" fillId="2" borderId="0" xfId="20" applyFont="1" applyBorder="1" applyAlignment="1">
      <x:alignment horizontal="general" vertical="center" wrapText="0"/>
    </x:xf>
    <x:xf numFmtId="164" fontId="7" fillId="3" borderId="1" xfId="20" applyFont="1" applyBorder="1" applyAlignment="1">
      <x:alignment horizontal="general" vertical="center" wrapText="1"/>
    </x:xf>
    <x:xf numFmtId="164" fontId="7" fillId="3" borderId="2" xfId="20" applyFont="1" applyBorder="1" applyAlignment="1">
      <x:alignment horizontal="general" vertical="center" wrapText="1"/>
    </x:xf>
    <x:xf numFmtId="164" fontId="7" fillId="3" borderId="0" xfId="20" applyFont="1" applyBorder="1" applyAlignment="1">
      <x:alignment horizontal="general" vertical="center" wrapText="1"/>
    </x:xf>
    <x:xf numFmtId="164" fontId="8" fillId="0" borderId="3" xfId="20" applyFont="1" applyBorder="1" applyAlignment="1">
      <x:alignment horizontal="general" vertical="top" wrapText="1"/>
    </x:xf>
    <x:xf numFmtId="165" fontId="9" fillId="0" borderId="3" xfId="20" applyFont="1" applyBorder="1" applyAlignment="1">
      <x:alignment horizontal="general" vertical="top" wrapText="1"/>
    </x:xf>
    <x:xf numFmtId="164" fontId="9" fillId="0" borderId="3" xfId="20" applyFont="1" applyBorder="1" applyAlignment="1">
      <x:alignment horizontal="general" vertical="top" wrapText="1"/>
    </x:xf>
    <x:xf numFmtId="164" fontId="8" fillId="0" borderId="4" xfId="20" applyFont="1" applyBorder="1" applyAlignment="1">
      <x:alignment horizontal="general" vertical="top" wrapText="1"/>
    </x:xf>
    <x:xf numFmtId="164" fontId="9" fillId="0" borderId="4" xfId="20" applyFont="1" applyBorder="1" applyAlignment="1">
      <x:alignment horizontal="general" vertical="top" wrapText="1"/>
    </x:xf>
    <x:xf numFmtId="164" fontId="6" fillId="2" borderId="0" xfId="20" applyFont="1" applyBorder="1" applyAlignment="1">
      <x:alignment horizontal="general" vertical="center" wrapText="0"/>
    </x:xf>
    <x:xf numFmtId="164" fontId="7" fillId="3" borderId="5" xfId="20" applyFont="1" applyBorder="1" applyAlignment="1">
      <x:alignment horizontal="general" vertical="center" wrapText="1"/>
    </x:xf>
    <x:xf numFmtId="164" fontId="11" fillId="3" borderId="5" xfId="20" applyFont="1" applyBorder="1" applyAlignment="1">
      <x:alignment horizontal="general" vertical="center" wrapText="1"/>
    </x:xf>
    <x:xf numFmtId="164" fontId="11" fillId="3" borderId="2" xfId="20" applyFont="1" applyBorder="1" applyAlignment="1">
      <x:alignment horizontal="general" vertical="center" wrapText="1"/>
    </x:xf>
    <x:xf numFmtId="165" fontId="9" fillId="0" borderId="4" xfId="20" applyFont="1" applyBorder="1" applyAlignment="1">
      <x:alignment horizontal="general" vertical="top" wrapText="1"/>
    </x:xf>
    <x:xf numFmtId="164" fontId="11" fillId="3" borderId="1" xfId="20" applyFont="1" applyBorder="1" applyAlignment="1">
      <x:alignment horizontal="general" vertical="center" wrapText="1"/>
    </x:xf>
    <x:xf numFmtId="164" fontId="12" fillId="4" borderId="0" xfId="20" applyFont="1" applyBorder="1" applyAlignment="1">
      <x:alignment horizontal="general" vertical="center" wrapText="1"/>
    </x:xf>
    <x:xf numFmtId="164" fontId="0" fillId="5" borderId="0" xfId="0" applyNumberFormat="1" applyFont="1" applyFill="1" applyBorder="1" applyAlignment="1">
      <x:alignment horizontal="general" vertical="bottom" wrapText="0"/>
    </x:xf>
    <x:xf numFmtId="164" fontId="14" fillId="5" borderId="0" xfId="0" applyNumberFormat="1" applyFont="1" applyFill="1" applyBorder="1" applyAlignment="1">
      <x:alignment horizontal="general" vertical="bottom" wrapText="0"/>
    </x:xf>
    <x:xf numFmtId="164" fontId="14" fillId="5" borderId="0" xfId="0" applyNumberFormat="1" applyFont="1" applyFill="1" applyBorder="1" applyAlignment="1">
      <x:alignment horizontal="general" vertical="center" wrapText="0"/>
    </x:xf>
    <x:xf numFmtId="164" fontId="0" fillId="6" borderId="0" xfId="0" applyNumberFormat="1" applyFont="1" applyFill="1" applyBorder="1" applyAlignment="1">
      <x:alignment horizontal="general" vertical="bottom" wrapText="0"/>
    </x:xf>
    <x:xf numFmtId="164" fontId="15" fillId="6" borderId="0" xfId="0" applyNumberFormat="1" applyFont="1" applyFill="1" applyBorder="1" applyAlignment="1">
      <x:alignment horizontal="general" vertical="bottom" wrapText="0"/>
    </x:xf>
    <x:xf numFmtId="164" fontId="15" fillId="6" borderId="0" xfId="0" applyNumberFormat="1" applyFont="1" applyFill="1" applyBorder="1" applyAlignment="1">
      <x:alignment horizontal="general" vertical="bottom" wrapText="1"/>
    </x:xf>
    <x:xf numFmtId="164" fontId="15" fillId="6" borderId="0" xfId="0" applyNumberFormat="1" applyFont="1" applyFill="1" applyBorder="1" applyAlignment="1">
      <x:alignment horizontal="general" vertical="center" wrapText="1"/>
    </x:xf>
    <x:xf numFmtId="164" fontId="16" fillId="0" borderId="0" xfId="0" applyNumberFormat="1" applyFont="1" applyFill="1" applyBorder="1" applyAlignment="1">
      <x:alignment horizontal="general" vertical="bottom" wrapText="0"/>
    </x:xf>
    <x:xf numFmtId="164" fontId="16" fillId="0" borderId="6" xfId="0" applyNumberFormat="1" applyFont="1" applyFill="1" applyBorder="1" applyAlignment="1">
      <x:alignment horizontal="general" vertical="bottom" wrapText="0"/>
    </x:xf>
    <x:xf numFmtId="164" fontId="16" fillId="0" borderId="7" xfId="0" applyNumberFormat="1" applyFont="1" applyFill="1" applyBorder="1" applyAlignment="1">
      <x:alignment horizontal="general" vertical="bottom" wrapText="0"/>
    </x:xf>
    <x:xf numFmtId="164" fontId="16" fillId="0" borderId="6" xfId="0" applyNumberFormat="1" applyFont="1" applyFill="1" applyBorder="1" applyAlignment="1">
      <x:alignment horizontal="general" vertical="bottom" wrapText="1"/>
    </x:xf>
    <x:xf numFmtId="164" fontId="16" fillId="0" borderId="7" xfId="0" applyNumberFormat="1" applyFont="1" applyFill="1" applyBorder="1" applyAlignment="1">
      <x:alignment horizontal="general" vertical="bottom" wrapText="1"/>
    </x:xf>
    <x:xf numFmtId="164" fontId="16" fillId="0" borderId="6" xfId="0" applyNumberFormat="1" applyFont="1" applyFill="1" applyBorder="1" applyAlignment="1">
      <x:alignment horizontal="general" vertical="top" wrapText="1"/>
    </x:xf>
    <x:xf numFmtId="164" fontId="16" fillId="0" borderId="7" xfId="0" applyNumberFormat="1" applyFont="1" applyFill="1" applyBorder="1" applyAlignment="1">
      <x:alignment horizontal="general" vertical="top" wrapText="1"/>
    </x:xf>
    <x:xf numFmtId="200" fontId="0" fillId="0" borderId="0" xfId="0" applyNumberFormat="1" applyFont="1" applyFill="1" applyBorder="1" applyAlignment="1">
      <x:alignment horizontal="general" vertical="bottom" wrapText="0"/>
    </x:xf>
    <x:xf numFmtId="164" fontId="15" fillId="6" borderId="0" xfId="0" applyNumberFormat="1" applyFont="1" applyFill="1" applyBorder="1" applyAlignment="1">
      <x:alignment horizontal="general" vertical="center" wrapText="0"/>
    </x:xf>
    <x:xf numFmtId="200" fontId="17" fillId="0" borderId="0" xfId="0" applyNumberFormat="1" applyFont="1" applyFill="1" applyBorder="1" applyAlignment="1">
      <x:alignment horizontal="general" vertical="bottom" wrapText="0"/>
    </x:xf>
    <x:xf numFmtId="164" fontId="17" fillId="0" borderId="0" xfId="0" applyNumberFormat="1" applyFont="1" applyFill="1" applyBorder="1" applyAlignment="1">
      <x:alignment horizontal="general" vertical="bottom" wrapText="0"/>
    </x:xf>
    <x:xf numFmtId="200" fontId="17" fillId="0" borderId="8" xfId="0" applyNumberFormat="1" applyFont="1" applyFill="1" applyBorder="1" applyAlignment="1">
      <x:alignment horizontal="general" vertical="bottom" wrapText="0"/>
    </x:xf>
    <x:xf numFmtId="164" fontId="17" fillId="0" borderId="9" xfId="0" applyNumberFormat="1" applyFont="1" applyFill="1" applyBorder="1" applyAlignment="1">
      <x:alignment horizontal="general" vertical="bottom" wrapText="0"/>
    </x:xf>
    <x:xf numFmtId="200" fontId="17" fillId="0" borderId="9" xfId="0" applyNumberFormat="1" applyFont="1" applyFill="1" applyBorder="1" applyAlignment="1">
      <x:alignment horizontal="general" vertical="bottom" wrapText="0"/>
    </x:xf>
    <x:xf numFmtId="164" fontId="17" fillId="0" borderId="10" xfId="0" applyNumberFormat="1" applyFont="1" applyFill="1" applyBorder="1" applyAlignment="1">
      <x:alignment horizontal="general" vertical="bottom" wrapText="0"/>
    </x:xf>
    <x:xf numFmtId="200" fontId="17" fillId="0" borderId="11" xfId="0" applyNumberFormat="1" applyFont="1" applyFill="1" applyBorder="1" applyAlignment="1">
      <x:alignment horizontal="general" vertical="bottom" wrapText="0"/>
    </x:xf>
    <x:xf numFmtId="164" fontId="17" fillId="0" borderId="12" xfId="0" applyNumberFormat="1" applyFont="1" applyFill="1" applyBorder="1" applyAlignment="1">
      <x:alignment horizontal="general" vertical="bottom" wrapText="0"/>
    </x:xf>
    <x:xf numFmtId="200" fontId="17" fillId="0" borderId="12" xfId="0" applyNumberFormat="1" applyFont="1" applyFill="1" applyBorder="1" applyAlignment="1">
      <x:alignment horizontal="general" vertical="bottom" wrapText="0"/>
    </x:xf>
    <x:xf numFmtId="164" fontId="17" fillId="0" borderId="13" xfId="0" applyNumberFormat="1" applyFont="1" applyFill="1" applyBorder="1" applyAlignment="1">
      <x:alignment horizontal="general" vertical="bottom" wrapText="0"/>
    </x:xf>
    <x:xf numFmtId="200" fontId="17" fillId="0" borderId="14" xfId="0" applyNumberFormat="1" applyFont="1" applyFill="1" applyBorder="1" applyAlignment="1">
      <x:alignment horizontal="general" vertical="bottom" wrapText="0"/>
    </x:xf>
    <x:xf numFmtId="164" fontId="17" fillId="0" borderId="15" xfId="0" applyNumberFormat="1" applyFont="1" applyFill="1" applyBorder="1" applyAlignment="1">
      <x:alignment horizontal="general" vertical="bottom" wrapText="0"/>
    </x:xf>
    <x:xf numFmtId="200" fontId="17" fillId="0" borderId="15" xfId="0" applyNumberFormat="1" applyFont="1" applyFill="1" applyBorder="1" applyAlignment="1">
      <x:alignment horizontal="general" vertical="bottom" wrapText="0"/>
    </x:xf>
    <x:xf numFmtId="164" fontId="17" fillId="0" borderId="16" xfId="0" applyNumberFormat="1" applyFont="1" applyFill="1" applyBorder="1" applyAlignment="1">
      <x:alignment horizontal="general" vertical="bottom" wrapText="0"/>
    </x:xf>
    <x:xf numFmtId="200" fontId="17" fillId="0" borderId="8" xfId="0" applyNumberFormat="1" applyFont="1" applyFill="1" applyBorder="1" applyAlignment="1">
      <x:alignment horizontal="general" vertical="center" wrapText="0"/>
    </x:xf>
    <x:xf numFmtId="164" fontId="17" fillId="0" borderId="9" xfId="0" applyNumberFormat="1" applyFont="1" applyFill="1" applyBorder="1" applyAlignment="1">
      <x:alignment horizontal="general" vertical="center" wrapText="0"/>
    </x:xf>
    <x:xf numFmtId="200" fontId="17" fillId="0" borderId="9" xfId="0" applyNumberFormat="1" applyFont="1" applyFill="1" applyBorder="1" applyAlignment="1">
      <x:alignment horizontal="general" vertical="center" wrapText="0"/>
    </x:xf>
    <x:xf numFmtId="164" fontId="17" fillId="0" borderId="10" xfId="0" applyNumberFormat="1" applyFont="1" applyFill="1" applyBorder="1" applyAlignment="1">
      <x:alignment horizontal="general" vertical="center" wrapText="0"/>
    </x:xf>
    <x:xf numFmtId="200" fontId="17" fillId="0" borderId="11" xfId="0" applyNumberFormat="1" applyFont="1" applyFill="1" applyBorder="1" applyAlignment="1">
      <x:alignment horizontal="general" vertical="center" wrapText="0"/>
    </x:xf>
    <x:xf numFmtId="164" fontId="17" fillId="0" borderId="12" xfId="0" applyNumberFormat="1" applyFont="1" applyFill="1" applyBorder="1" applyAlignment="1">
      <x:alignment horizontal="general" vertical="center" wrapText="0"/>
    </x:xf>
    <x:xf numFmtId="200" fontId="17" fillId="0" borderId="12" xfId="0" applyNumberFormat="1" applyFont="1" applyFill="1" applyBorder="1" applyAlignment="1">
      <x:alignment horizontal="general" vertical="center" wrapText="0"/>
    </x:xf>
    <x:xf numFmtId="164" fontId="17" fillId="0" borderId="13" xfId="0" applyNumberFormat="1" applyFont="1" applyFill="1" applyBorder="1" applyAlignment="1">
      <x:alignment horizontal="general" vertical="center" wrapText="0"/>
    </x:xf>
    <x:xf numFmtId="200" fontId="17" fillId="0" borderId="14" xfId="0" applyNumberFormat="1" applyFont="1" applyFill="1" applyBorder="1" applyAlignment="1">
      <x:alignment horizontal="general" vertical="center" wrapText="0"/>
    </x:xf>
    <x:xf numFmtId="164" fontId="17" fillId="0" borderId="15" xfId="0" applyNumberFormat="1" applyFont="1" applyFill="1" applyBorder="1" applyAlignment="1">
      <x:alignment horizontal="general" vertical="center" wrapText="0"/>
    </x:xf>
    <x:xf numFmtId="200" fontId="17" fillId="0" borderId="15" xfId="0" applyNumberFormat="1" applyFont="1" applyFill="1" applyBorder="1" applyAlignment="1">
      <x:alignment horizontal="general" vertical="center" wrapText="0"/>
    </x:xf>
    <x:xf numFmtId="164" fontId="17" fillId="0" borderId="16" xfId="0" applyNumberFormat="1" applyFont="1" applyFill="1" applyBorder="1" applyAlignment="1">
      <x:alignment horizontal="general" vertical="center" wrapText="0"/>
    </x:xf>
    <x:xf numFmtId="164" fontId="0" fillId="7" borderId="0" xfId="0" applyNumberFormat="1" applyFont="1" applyFill="1" applyBorder="1" applyAlignment="1">
      <x:alignment horizontal="general" vertical="bottom" wrapText="0"/>
    </x:xf>
    <x:xf numFmtId="164" fontId="18" fillId="7" borderId="0" xfId="0" applyNumberFormat="1" applyFont="1" applyFill="1" applyBorder="1" applyAlignment="1">
      <x:alignment horizontal="general" vertical="bottom" wrapText="0"/>
    </x:xf>
    <x:xf numFmtId="164" fontId="18" fillId="7" borderId="0" xfId="0" applyNumberFormat="1" applyFont="1" applyFill="1" applyBorder="1" applyAlignment="1">
      <x:alignment horizontal="general" vertical="bottom" wrapText="1"/>
    </x:xf>
    <x:xf numFmtId="201" fontId="9" fillId="0" borderId="3" xfId="0" applyNumberFormat="1" applyFont="1" applyFill="1" applyBorder="1" applyAlignment="1">
      <x:alignment horizontal="general" vertical="top" wrapText="1"/>
    </x:xf>
    <x:xf numFmtId="201" fontId="0" fillId="0" borderId="0" xfId="0" applyNumberFormat="1" applyFont="1" applyFill="1" applyBorder="1" applyAlignment="1">
      <x:alignment horizontal="general" vertical="bottom" wrapText="0"/>
    </x:xf>
    <x:xf numFmtId="164" fontId="0" fillId="8" borderId="0" xfId="0" applyNumberFormat="1" applyFont="1" applyFill="1" applyBorder="1" applyAlignment="1">
      <x:alignment horizontal="general" vertical="bottom" wrapText="0"/>
    </x:xf>
    <x:xf numFmtId="164" fontId="19" fillId="8" borderId="0" xfId="0" applyNumberFormat="1" applyFont="1" applyFill="1" applyBorder="1" applyAlignment="1">
      <x:alignment horizontal="general" vertical="bottom" wrapText="0"/>
    </x:xf>
    <x:xf numFmtId="164" fontId="19" fillId="8" borderId="0" xfId="0" applyNumberFormat="1" applyFont="1" applyFill="1" applyBorder="1" applyAlignment="1">
      <x:alignment horizontal="general" vertical="bottom" wrapText="1"/>
    </x:xf>
  </x:cellXfs>
  <x:cellStyles count="7">
    <x:cellStyle name="Normal" xfId="0"/>
    <x:cellStyle name="Comma" xfId="15"/>
    <x:cellStyle name="Comma [0]" xfId="16"/>
    <x:cellStyle name="Currency" xfId="17"/>
    <x:cellStyle name="Currency [0]" xfId="18"/>
    <x:cellStyle name="Percent" xfId="19"/>
    <x:cellStyle name="Normal" xfId="20"/>
  </x:cellStyles>
  <x:dxfs count="50">
    <x:dxf>
      <x:font>
        <x:b/>
        <x:color rgb="FF9C0006"/>
      </x:font>
      <x:fill>
        <x:patternFill>
          <x:bgColor rgb="FFF4CCCC"/>
        </x:patternFill>
      </x:fill>
    </x:dxf>
    <x:dxf>
      <x:font>
        <x:color rgb="FF9C5700"/>
      </x:font>
      <x:fill>
        <x:patternFill>
          <x:bgColor rgb="FFFCE4D6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color rgb="FF595959"/>
      </x:font>
      <x:fill>
        <x:patternFill>
          <x:bgColor rgb="FFE7E6E6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color rgb="FF9C5700"/>
      </x:font>
      <x:fill>
        <x:patternFill>
          <x:bgColor rgb="FFFCE4D6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color rgb="FF595959"/>
      </x:font>
      <x:fill>
        <x:patternFill>
          <x:bgColor rgb="FFE7E6E6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color rgb="FF9C5700"/>
      </x:font>
      <x:fill>
        <x:patternFill>
          <x:bgColor rgb="FFFCE4D6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color rgb="FF595959"/>
      </x:font>
      <x:fill>
        <x:patternFill>
          <x:bgColor rgb="FFE7E6E6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color rgb="FF9C5700"/>
      </x:font>
      <x:fill>
        <x:patternFill>
          <x:bgColor rgb="FFFCE4D6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color rgb="FF595959"/>
      </x:font>
      <x:fill>
        <x:patternFill>
          <x:bgColor rgb="FFE7E6E6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color rgb="FF9C5700"/>
      </x:font>
      <x:fill>
        <x:patternFill>
          <x:bgColor rgb="FFFCE4D6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color rgb="FF595959"/>
      </x:font>
      <x:fill>
        <x:patternFill>
          <x:bgColor rgb="FFE7E6E6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color rgb="FF9C5700"/>
      </x:font>
      <x:fill>
        <x:patternFill>
          <x:bgColor rgb="FFFCE4D6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color rgb="FF595959"/>
      </x:font>
      <x:fill>
        <x:patternFill>
          <x:bgColor rgb="FFE7E6E6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color rgb="FF9C5700"/>
      </x:font>
      <x:fill>
        <x:patternFill>
          <x:bgColor rgb="FFFCE4D6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color rgb="FF595959"/>
      </x:font>
      <x:fill>
        <x:patternFill>
          <x:bgColor rgb="FFE7E6E6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color rgb="FF9C5700"/>
      </x:font>
      <x:fill>
        <x:patternFill>
          <x:bgColor rgb="FFFCE4D6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color rgb="FF595959"/>
      </x:font>
      <x:fill>
        <x:patternFill>
          <x:bgColor rgb="FFE7E6E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color rgb="FF006100"/>
      </x:font>
      <x:fill>
        <x:patternFill>
          <x:bgColor rgb="FFE2F0D9"/>
        </x:patternFill>
      </x:fill>
    </x:dxf>
  </x:dxf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9C0006"/>
      <x:rgbColor rgb="FF008000"/>
      <x:rgbColor rgb="FF000080"/>
      <x:rgbColor rgb="FF7F6000"/>
      <x:rgbColor rgb="FF800080"/>
      <x:rgbColor rgb="FF008080"/>
      <x:rgbColor rgb="FFB4C6E7"/>
      <x:rgbColor rgb="FF808080"/>
      <x:rgbColor rgb="FF9999FF"/>
      <x:rgbColor rgb="FF993366"/>
      <x:rgbColor rgb="FFFFF2CC"/>
      <x:rgbColor rgb="FFE5E7EB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E7E6E6"/>
      <x:rgbColor rgb="FFE2F0D9"/>
      <x:rgbColor rgb="FFFCE4D6"/>
      <x:rgbColor rgb="FF99CCFF"/>
      <x:rgbColor rgb="FFFF99CC"/>
      <x:rgbColor rgb="FFCC99FF"/>
      <x:rgbColor rgb="FFF4CCCC"/>
      <x:rgbColor rgb="FF3366FF"/>
      <x:rgbColor rgb="FF33CCCC"/>
      <x:rgbColor rgb="FF99CC00"/>
      <x:rgbColor rgb="FFFFCC00"/>
      <x:rgbColor rgb="FFFF9900"/>
      <x:rgbColor rgb="FFFF6600"/>
      <x:rgbColor rgb="FF595959"/>
      <x:rgbColor rgb="FF969696"/>
      <x:rgbColor rgb="FF17365D"/>
      <x:rgbColor rgb="FF339966"/>
      <x:rgbColor rgb="FF003300"/>
      <x:rgbColor rgb="FF375623"/>
      <x:rgbColor rgb="FF9C5700"/>
      <x:rgbColor rgb="FF993366"/>
      <x:rgbColor rgb="FF1F4E78"/>
      <x:rgbColor rgb="FF1F2937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6a3bbaaa6a4fb0" /><Relationship Type="http://schemas.openxmlformats.org/officeDocument/2006/relationships/theme" Target="/xl/theme/theme1.xml" Id="R5001dd8eee794012" /><Relationship Type="http://schemas.openxmlformats.org/officeDocument/2006/relationships/sharedStrings" Target="/xl/sharedStrings.xml" Id="R343f2b69fe854843" /><Relationship Type="http://schemas.openxmlformats.org/officeDocument/2006/relationships/worksheet" Target="/xl/worksheets/sheet1.xml" Id="R245dac301c80434b" /><Relationship Type="http://schemas.openxmlformats.org/officeDocument/2006/relationships/worksheet" Target="/xl/worksheets/sheet2.xml" Id="Ra668db1208144dd2" /><Relationship Type="http://schemas.openxmlformats.org/officeDocument/2006/relationships/worksheet" Target="/xl/worksheets/sheet3.xml" Id="Rf0e1809929184fe8" /><Relationship Type="http://schemas.openxmlformats.org/officeDocument/2006/relationships/worksheet" Target="/xl/worksheets/sheet4.xml" Id="R5d7d32679e3b49ce" /><Relationship Type="http://schemas.openxmlformats.org/officeDocument/2006/relationships/worksheet" Target="/xl/worksheets/sheet5.xml" Id="R438549c278924f0a" /><Relationship Type="http://schemas.openxmlformats.org/officeDocument/2006/relationships/worksheet" Target="/xl/worksheets/sheet6.xml" Id="Rc0eb64cf4af647f2" /><Relationship Type="http://schemas.openxmlformats.org/officeDocument/2006/relationships/worksheet" Target="/xl/worksheets/sheet7.xml" Id="Reccda0d6120345d7" /><Relationship Type="http://schemas.openxmlformats.org/officeDocument/2006/relationships/worksheet" Target="/xl/worksheets/sheet8.xml" Id="Re3c7b9b1c7dd445f" /><Relationship Type="http://schemas.openxmlformats.org/officeDocument/2006/relationships/worksheet" Target="/xl/worksheets/sheet9.xml" Id="R858d70cf6f074903" /><Relationship Type="http://schemas.openxmlformats.org/officeDocument/2006/relationships/worksheet" Target="/xl/worksheets/sheet10.xml" Id="Rcdffe04d86b64a2a" /><Relationship Type="http://schemas.openxmlformats.org/officeDocument/2006/relationships/worksheet" Target="/xl/worksheets/sheet11.xml" Id="R68d7e81706c14a8c" /><Relationship Type="http://schemas.openxmlformats.org/officeDocument/2006/relationships/worksheet" Target="/xl/worksheets/sheet12.xml" Id="R1b4f32d3c2674ac0" /></Relationships>
</file>

<file path=xl/tables/table1.xml><?xml version="1.0" encoding="utf-8"?>
<x:table xmlns:x="http://schemas.openxmlformats.org/spreadsheetml/2006/main" id="3" name="CoverageRules" displayName="CoverageRules" ref="A3:G8" headerRowCount="1" totalsRowCount="0" totalsRowShown="0">
  <x:tableColumns count="7">
    <x:tableColumn id="1" name="类型标识"/>
    <x:tableColumn id="2" name="适用对象"/>
    <x:tableColumn id="3" name="构造原则"/>
    <x:tableColumn id="4" name="用例/参数化输入拆分规则"/>
    <x:tableColumn id="5" name="主要验证层级"/>
    <x:tableColumn id="6" name="流片前判定"/>
    <x:tableColumn id="7" name="示例"/>
  </x:tableColumns>
</x:table>
</file>

<file path=xl/tables/table2.xml><?xml version="1.0" encoding="utf-8"?>
<x:table xmlns:x="http://schemas.openxmlformats.org/spreadsheetml/2006/main" id="5" name="MailboxCommandInventory" displayName="MailboxCommandInventory" ref="A3:N73" headerRowCount="1" totalsRowCount="0" totalsRowShown="0">
  <x:tableColumns count="14">
    <x:tableColumn id="1" name="阶段"/>
    <x:tableColumn id="2" name="命令 ID"/>
    <x:tableColumn id="3" name="命令名"/>
    <x:tableColumn id="4" name="分类"/>
    <x:tableColumn id="5" name="风险等级"/>
    <x:tableColumn id="6" name="适用性"/>
    <x:tableColumn id="7" name="事实状态"/>
    <x:tableColumn id="8" name="BASIC"/>
    <x:tableColumn id="9" name="eHSM负向策略"/>
    <x:tableColumn id="10" name="Host本地负向策略"/>
    <x:tableColumn id="11" name="实现难度"/>
    <x:tableColumn id="12" name="流片前门禁"/>
    <x:tableColumn id="13" name="来源"/>
    <x:tableColumn id="14" name="备注"/>
  </x:tableColumns>
</x:table>
</file>

<file path=xl/tables/table3.xml><?xml version="1.0" encoding="utf-8"?>
<x:table xmlns:x="http://schemas.openxmlformats.org/spreadsheetml/2006/main" id="6" name="MailboxTestCases" displayName="MailboxTestCases" ref="A3:X69" headerRowCount="1" totalsRowCount="0" totalsRowShown="0">
  <x:tableColumns count="24">
    <x:tableColumn id="1" name="用例 ID"/>
    <x:tableColumn id="2" name="用例类型"/>
    <x:tableColumn id="3" name="覆盖范围"/>
    <x:tableColumn id="4" name="阶段"/>
    <x:tableColumn id="5" name="命令 ID"/>
    <x:tableColumn id="6" name="命令/适用命令"/>
    <x:tableColumn id="7" name="测试点/参数化输入策略"/>
    <x:tableColumn id="8" name="目标"/>
    <x:tableColumn id="9" name="必要性"/>
    <x:tableColumn id="10" name="前置条件"/>
    <x:tableColumn id="11" name="步骤"/>
    <x:tableColumn id="12" name="输入/激励"/>
    <x:tableColumn id="13" name="预期结果"/>
    <x:tableColumn id="14" name="安全判据"/>
    <x:tableColumn id="15" name="优先级"/>
    <x:tableColumn id="16" name="验证层级"/>
    <x:tableColumn id="17" name="实现难度"/>
    <x:tableColumn id="18" name="波次"/>
    <x:tableColumn id="19" name="责任人"/>
    <x:tableColumn id="20" name="执行方式"/>
    <x:tableColumn id="21" name="移植状态"/>
    <x:tableColumn id="22" name="流片前门禁"/>
    <x:tableColumn id="23" name="准入门禁"/>
    <x:tableColumn id="24" name="来源"/>
  </x:tableColumns>
</x:table>
</file>

<file path=xl/tables/table4.xml><?xml version="1.0" encoding="utf-8"?>
<x:table xmlns:x="http://schemas.openxmlformats.org/spreadsheetml/2006/main" id="7" name="SocIntegrationCases" displayName="SocIntegrationCases" ref="A3:P11" headerRowCount="1" totalsRowCount="0" totalsRowShown="0">
  <x:tableColumns count="16">
    <x:tableColumn id="1" name="用例 ID"/>
    <x:tableColumn id="2" name="分组"/>
    <x:tableColumn id="3" name="名称"/>
    <x:tableColumn id="4" name="目标"/>
    <x:tableColumn id="5" name="前置条件"/>
    <x:tableColumn id="6" name="步骤"/>
    <x:tableColumn id="7" name="输入/激励"/>
    <x:tableColumn id="8" name="预期结果"/>
    <x:tableColumn id="9" name="优先级"/>
    <x:tableColumn id="10" name="验证层级"/>
    <x:tableColumn id="11" name="波次"/>
    <x:tableColumn id="12" name="责任人"/>
    <x:tableColumn id="13" name="自动化"/>
    <x:tableColumn id="14" name="状态"/>
    <x:tableColumn id="15" name="准入门禁"/>
    <x:tableColumn id="16" name="来源"/>
  </x:tableColumns>
</x:table>
</file>

<file path=xl/tables/table5.xml><?xml version="1.0" encoding="utf-8"?>
<x:table xmlns:x="http://schemas.openxmlformats.org/spreadsheetml/2006/main" id="4" name="HardwareVerificationRequirements" displayName="HardwareVerificationRequirements" ref="A3:L11" headerRowCount="1" totalsRowCount="0" totalsRowShown="0">
  <x:tableColumns count="12">
    <x:tableColumn id="1" name="需求 ID"/>
    <x:tableColumn id="2" name="分组"/>
    <x:tableColumn id="3" name="补充验证目标"/>
    <x:tableColumn id="4" name="关联软件用例"/>
    <x:tableColumn id="5" name="软件配置/激励"/>
    <x:tableColumn id="6" name="软件通过判据"/>
    <x:tableColumn id="7" name="仍需硬件补充的内容"/>
    <x:tableColumn id="8" name="建议责任人"/>
    <x:tableColumn id="9" name="来源/待绑定"/>
    <x:tableColumn id="10" name="分层结论"/>
    <x:tableColumn id="11" name="状态"/>
    <x:tableColumn id="12" name="禁止事项"/>
  </x:tableColumns>
</x:table>
</file>

<file path=xl/tables/table6.xml><?xml version="1.0" encoding="utf-8"?>
<x:table xmlns:x="http://schemas.openxmlformats.org/spreadsheetml/2006/main" id="2" name="CodexPortingGuide" displayName="CodexPortingGuide" ref="A3:T77" headerRowCount="1" totalsRowCount="0" totalsRowShown="0">
  <x:tableColumns count="20">
    <x:tableColumn id="1" name="用例 ID"/>
    <x:tableColumn id="2" name="来源工作表"/>
    <x:tableColumn id="3" name="域"/>
    <x:tableColumn id="4" name="分组"/>
    <x:tableColumn id="5" name="名称"/>
    <x:tableColumn id="6" name="优先级"/>
    <x:tableColumn id="7" name="实现难度"/>
    <x:tableColumn id="8" name="验证层级"/>
    <x:tableColumn id="9" name="波次"/>
    <x:tableColumn id="10" name="目标仓库"/>
    <x:tableColumn id="11" name="设计状态"/>
    <x:tableColumn id="12" name="流片前门禁"/>
    <x:tableColumn id="13" name="准入门禁"/>
    <x:tableColumn id="14" name="移植实现要求"/>
    <x:tableColumn id="15" name="所需输入"/>
    <x:tableColumn id="16" name="禁止事项"/>
    <x:tableColumn id="17" name="完成标准"/>
    <x:tableColumn id="18" name="验证证据要求"/>
    <x:tableColumn id="19" name="Codex执行顺序"/>
    <x:tableColumn id="20" name="备注"/>
  </x:tableColumns>
</x:table>
</file>

<file path=xl/tables/table7.xml><?xml version="1.0" encoding="utf-8"?>
<x:table xmlns:x="http://schemas.openxmlformats.org/spreadsheetml/2006/main" id="1" name="ChineseTerminologyGuide" displayName="ChineseTerminologyGuide" ref="A4:D67" headerRowCount="1" totalsRowCount="0" totalsRowShown="0">
  <x:tableColumns count="4">
    <x:tableColumn id="1" name="英文术语/缩写"/>
    <x:tableColumn id="2" name="中文解释"/>
    <x:tableColumn id="3" name="在本工作簿中的含义"/>
    <x:tableColumn id="4" name="示例或使用要求"/>
  </x:tableColumns>
</x:table>
</file>

<file path=xl/tables/table8.xml><?xml version="1.0" encoding="utf-8"?>
<x:table xmlns:x="http://schemas.openxmlformats.org/spreadsheetml/2006/main" id="8" name="FirewallDetailedCases" displayName="FirewallDetailedCases" ref="A3:L52" headerRowCount="1" totalsRowCount="0" totalsRowShown="0">
  <x:tableColumns count="12">
    <x:tableColumn id="1" name="case_id"/>
    <x:tableColumn id="2" name="requirement_id"/>
    <x:tableColumn id="3" name="priority"/>
    <x:tableColumn id="4" name="status"/>
    <x:tableColumn id="5" name="instance"/>
    <x:tableColumn id="6" name="category"/>
    <x:tableColumn id="7" name="title"/>
    <x:tableColumn id="8" name="precondition"/>
    <x:tableColumn id="9" name="stimulus"/>
    <x:tableColumn id="10" name="expected_result"/>
    <x:tableColumn id="11" name="evidence"/>
    <x:tableColumn id="12" name="blocker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FirewallUserIdMap" displayName="FirewallUserIdMap" ref="A3:H19" headerRowCount="1" totalsRowCount="0" totalsRowShown="0">
  <x:tableColumns count="8">
    <x:tableColumn id="1" name="UserId"/>
    <x:tableColumn id="2" name="Die"/>
    <x:tableColumn id="3" name="Master"/>
    <x:tableColumn id="4" name="写位"/>
    <x:tableColumn id="5" name="读位"/>
    <x:tableColumn id="6" name="单Master读写掩码"/>
    <x:tableColumn id="7" name="双Die读写掩码"/>
    <x:tableColumn id="8" name="编码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1e0c0ce8da34e5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622c442a78d43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546035badb74c0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8ec098d22fd43e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d8240ca28354f5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c13a263d8eb462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7.xml" Id="Rb3791c6353694d9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48683248cef9449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9.xml" Id="R3d49015f3f0f4f0a" /></Relationships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10.76953125" defaultRowHeight="15"/>
  <x:cols>
    <x:col min="1" max="2" width="27.729999542236328" hidden="0" customWidth="1"/>
    <x:col min="3" max="8" width="21.43000030517578" hidden="0" customWidth="1"/>
  </x:cols>
  <x:sheetData>
    <x:row r="1" ht="19.200000762939453" hidden="0" customHeight="1">
      <x:c r="A1" s="1" t="str">
        <x:v>NGU800P 安全测试用例与 Codex 移植指导 v0.3.8（SoC安全功能收敛版）</x:v>
      </x:c>
      <x:c r="B1" s="1"/>
      <x:c r="C1" s="1"/>
      <x:c r="D1" s="1"/>
      <x:c r="E1" s="1"/>
      <x:c r="F1" s="1"/>
      <x:c r="G1" s="1"/>
      <x:c r="H1" s="1"/>
    </x:row>
    <x:row r="2"/>
    <x:row r="3" ht="15" hidden="0" customHeight="1">
      <x:c r="A3" s="2" t="s">
        <x:v>0</x:v>
      </x:c>
      <x:c r="B3" s="3" t="s">
        <x:v>1</x:v>
      </x:c>
      <x:c r="D3" s="4" t="s">
        <x:v>2</x:v>
      </x:c>
      <x:c r="E3" s="4"/>
      <x:c r="F3" s="4"/>
      <x:c r="G3" s="4"/>
      <x:c r="H3" s="4"/>
    </x:row>
    <x:row r="4" ht="15" hidden="0" customHeight="1">
      <x:c r="A4" s="5" t="s">
        <x:v>3</x:v>
      </x:c>
      <x:c r="B4" s="62" t="n">
        <x:v>46247</x:v>
      </x:c>
      <x:c r="D4" s="7" t="s">
        <x:v>4</x:v>
      </x:c>
      <x:c r="E4" s="7"/>
      <x:c r="F4" s="7"/>
      <x:c r="G4" s="7"/>
      <x:c r="H4" s="7"/>
    </x:row>
    <x:row r="5" ht="24" hidden="0" customHeight="1">
      <x:c r="A5" s="8" t="s">
        <x:v>5</x:v>
      </x:c>
      <x:c r="B5" s="8" t="str">
        <x:v>用例设计已收敛；目标执行未执行（TARGET_NOT_EXECUTED）</x:v>
      </x:c>
      <x:c r="D5" s="9" t="s">
        <x:v>6</x:v>
      </x:c>
      <x:c r="E5" s="9"/>
      <x:c r="F5" s="9"/>
      <x:c r="G5" s="9"/>
      <x:c r="H5" s="9"/>
    </x:row>
    <x:row r="6" ht="15" hidden="0" customHeight="1">
      <x:c r="A6" s="9" t="s">
        <x:v>7</x:v>
      </x:c>
      <x:c r="B6" s="8" t="n">
        <x:f aca="0">COUNTIF('Mailbox命令清单'!$A$4:$A$73,"BL")</x:f>
        <x:v>15</x:v>
      </x:c>
      <x:c r="D6" s="9" t="s">
        <x:v>8</x:v>
      </x:c>
      <x:c r="E6" s="9"/>
      <x:c r="F6" s="9"/>
      <x:c r="G6" s="9"/>
      <x:c r="H6" s="9"/>
    </x:row>
    <x:row r="7" ht="15" hidden="0" customHeight="1">
      <x:c r="A7" s="9" t="s">
        <x:v>9</x:v>
      </x:c>
      <x:c r="B7" s="8" t="n">
        <x:f aca="0">COUNTIF('Mailbox命令清单'!$A$4:$A$73,"FW")</x:f>
        <x:v>37</x:v>
      </x:c>
      <x:c r="D7" s="9" t="s">
        <x:v>10</x:v>
      </x:c>
      <x:c r="E7" s="9"/>
      <x:c r="F7" s="9"/>
      <x:c r="G7" s="9"/>
      <x:c r="H7" s="9"/>
    </x:row>
    <x:row r="8" ht="15" hidden="0" customHeight="1">
      <x:c r="A8" s="8" t="s">
        <x:v>11</x:v>
      </x:c>
      <x:c r="B8" s="8" t="n">
        <x:f aca="0">SUM(B6:B7)</x:f>
        <x:v>52</x:v>
      </x:c>
      <x:c r="D8" s="9" t="str">
        <x:v>5. SoC软件用例收敛为7条：SEC_CFG全寄存器、从Die Debug、SEC_CFG/SPIFC默认权限、SRAM默认权限、SRAM重新配置、Mailbox中断。</x:v>
      </x:c>
      <x:c r="E8" s="9"/>
      <x:c r="F8" s="9"/>
      <x:c r="G8" s="9"/>
      <x:c r="H8" s="9"/>
    </x:row>
    <x:row r="9" ht="15" hidden="0" customHeight="1">
      <x:c r="A9" s="8" t="s">
        <x:v>12</x:v>
      </x:c>
      <x:c r="B9" s="8" t="n">
        <x:f aca="0">COUNTIF('Mailbox命令清单'!$A$4:$A$73,"HOST_HEADER_ONLY_CANDIDATE")</x:f>
        <x:v>18</x:v>
      </x:c>
      <x:c r="D9" s="9" t="str">
        <x:v>6. dbg_en_cfg只验证主Die控制从Die Debug；soc_dbg_en_out加入Mailbox鉴权成功、失败和CLOSE_DEBUG判据，二者不得混用。</x:v>
      </x:c>
      <x:c r="E9" s="9"/>
      <x:c r="F9" s="9"/>
      <x:c r="G9" s="9"/>
      <x:c r="H9" s="9"/>
    </x:row>
    <x:row r="10" ht="15" hidden="0" customHeight="1">
      <x:c r="A10" s="9" t="s">
        <x:v>13</x:v>
      </x:c>
      <x:c r="B10" s="8" t="n">
        <x:f aca="0">COUNTIF('Mailbox用例'!$B$4:$B$69,"BASIC")</x:f>
        <x:v>52</x:v>
      </x:c>
      <x:c r="D10" s="9" t="str">
        <x:v>7. SEC_CFG/SPIFC Firewall不改配置；默认仅启动核和eHSM可读写，其他核均无权限。</x:v>
      </x:c>
      <x:c r="E10" s="9"/>
      <x:c r="F10" s="9"/>
      <x:c r="G10" s="9"/>
      <x:c r="H10" s="9"/>
    </x:row>
    <x:row r="11" ht="15" hidden="0" customHeight="1">
      <x:c r="A11" s="9" t="s">
        <x:v>14</x:v>
      </x:c>
      <x:c r="B11" s="8" t="n">
        <x:f aca="0">COUNTIF('Mailbox用例'!$B$4:$B$69,"EHSM_NEGATIVE")</x:f>
        <x:v>14</x:v>
      </x:c>
      <x:c r="D11" s="9" t="str">
        <x:v>8. SRAM默认权限和重新配置保留两条用例，每条用例内部都遍历Region0～Region4，不按Region拆用例。</x:v>
      </x:c>
      <x:c r="E11" s="9"/>
      <x:c r="F11" s="9"/>
      <x:c r="G11" s="9"/>
      <x:c r="H11" s="9"/>
    </x:row>
    <x:row r="12" ht="15" hidden="0" customHeight="1">
      <x:c r="A12" s="9" t="s">
        <x:v>15</x:v>
      </x:c>
      <x:c r="B12" s="8" t="n">
        <x:f aca="0">SUM(B10:B11)</x:f>
        <x:v>66</x:v>
      </x:c>
      <x:c r="D12" s="9" t="str">
        <x:v>9. 严重错误组合中断与ECC 1-bit独立中断由EDA构造；软件只读取、清除和记录，不进入Codex移植计数。</x:v>
      </x:c>
      <x:c r="E12" s="9"/>
      <x:c r="F12" s="9"/>
      <x:c r="G12" s="9"/>
      <x:c r="H12" s="9"/>
    </x:row>
    <x:row r="13" ht="15" hidden="0" customHeight="1">
      <x:c r="A13" s="9" t="s">
        <x:v>16</x:v>
      </x:c>
      <x:c r="B13" s="8" t="n">
        <x:f aca="0"/>
        <x:v>7</x:v>
      </x:c>
      <x:c r="D13" t="str">
        <x:v>10. 共73条Codex可移植软件用例；3项EDA/硬件需求单列，其中eHSM Master访问项在无公开软件路径时必须由EDA补齐。</x:v>
      </x:c>
    </x:row>
    <x:row r="14" ht="15" hidden="0" customHeight="1">
      <x:c r="A14" s="9" t="s">
        <x:v>17</x:v>
      </x:c>
      <x:c r="B14" s="8" t="n">
        <x:f aca="0"/>
        <x:v>73</x:v>
      </x:c>
    </x:row>
    <x:row r="15" ht="15" hidden="0" customHeight="1">
      <x:c r="A15" s="8" t="str">
        <x:v>EDA/硬件验证需求（不移植）</x:v>
      </x:c>
      <x:c r="B15" s="8" t="n">
        <x:f aca="0"/>
        <x:v>3</x:v>
      </x:c>
    </x:row>
    <x:row r="16" ht="15" hidden="0" customHeight="1">
      <x:c r="A16" s="8" t="s">
        <x:v>18</x:v>
      </x:c>
      <x:c r="B16" s="8" t="n">
        <x:f aca="0">COUNTIF('Mailbox用例'!$B$4:$B$69,"HOST_LOCAL_NEGATIVE")</x:f>
        <x:v>0</x:v>
      </x:c>
    </x:row>
    <x:row r="17" ht="24" hidden="0" customHeight="1">
      <x:c r="A17" s="9" t="s">
        <x:v>19</x:v>
      </x:c>
      <x:c r="B17" s="9" t="s">
        <x:v>20</x:v>
      </x:c>
    </x:row>
    <x:row r="18" ht="15" hidden="0" customHeight="1">
      <x:c r="A18" s="4" t="s">
        <x:v>21</x:v>
      </x:c>
      <x:c r="B18" s="4"/>
      <x:c r="C18" s="4"/>
      <x:c r="D18" s="4"/>
      <x:c r="E18" s="4"/>
      <x:c r="F18" s="4"/>
      <x:c r="G18" s="4"/>
      <x:c r="H18" s="4"/>
    </x:row>
    <x:row r="19" ht="15" hidden="0" customHeight="1">
      <x:c r="A19" s="5" t="s">
        <x:v>22</x:v>
      </x:c>
      <x:c r="B19" s="5"/>
      <x:c r="C19" s="5"/>
      <x:c r="D19" s="5"/>
      <x:c r="E19" s="5"/>
      <x:c r="F19" s="5"/>
      <x:c r="G19" s="5"/>
      <x:c r="H19" s="5"/>
    </x:row>
    <x:row r="20" ht="15" hidden="0" customHeight="1">
      <x:c r="A20" s="9" t="s">
        <x:v>23</x:v>
      </x:c>
      <x:c r="B20" s="9"/>
      <x:c r="C20" s="9"/>
      <x:c r="D20" s="9"/>
      <x:c r="E20" s="9"/>
      <x:c r="F20" s="9"/>
      <x:c r="G20" s="9"/>
      <x:c r="H20" s="9"/>
    </x:row>
    <x:row r="21" ht="15" hidden="0" customHeight="1">
      <x:c r="A21" s="9" t="s">
        <x:v>24</x:v>
      </x:c>
      <x:c r="B21" s="9"/>
      <x:c r="C21" s="9"/>
      <x:c r="D21" s="9"/>
      <x:c r="E21" s="9"/>
      <x:c r="F21" s="9"/>
      <x:c r="G21" s="9"/>
      <x:c r="H21" s="9"/>
    </x:row>
    <x:row r="22" ht="15" hidden="0" customHeight="1">
      <x:c r="A22" s="8" t="s">
        <x:v>25</x:v>
      </x:c>
      <x:c r="B22" s="8"/>
      <x:c r="C22" s="8"/>
      <x:c r="D22" s="8"/>
      <x:c r="E22" s="8"/>
      <x:c r="F22" s="8"/>
      <x:c r="G22" s="8"/>
      <x:c r="H22" s="8"/>
    </x:row>
    <x:row r="23" ht="15" hidden="0" customHeight="1">
      <x:c r="A23" s="9" t="str">
        <x:v>SoC范围来源：SRC-0025 Firewall、SRC-0026 SEC_CFG、SRC-0027 SoC测试范围与错误中断补充输入。</x:v>
      </x:c>
      <x:c r="B23" s="9"/>
      <x:c r="C23" s="9"/>
      <x:c r="D23" s="9"/>
      <x:c r="E23" s="9"/>
      <x:c r="F23" s="9"/>
      <x:c r="G23" s="9"/>
      <x:c r="H23" s="9"/>
    </x:row>
    <x:row r="24" ht="15" hidden="0" customHeight="1">
      <x:c r="A24" s="8" t="str">
        <x:v>配套指导：docs/06-verification/NGU800P安全测试用例设计与Codex移植指导.md。</x:v>
      </x:c>
      <x:c r="B24" s="8"/>
      <x:c r="C24" s="8"/>
      <x:c r="D24" s="8"/>
      <x:c r="E24" s="8"/>
      <x:c r="F24" s="8"/>
      <x:c r="G24" s="8"/>
      <x:c r="H24" s="8"/>
    </x:row>
    <x:row r="25" ht="15" hidden="0" customHeight="1">
      <x:c r="A25" s="8" t="str">
        <x:v>EDA边界：docs/06-verification/NGU800P软件不便覆盖的硬件安全验证项.md。</x:v>
      </x:c>
      <x:c r="B25" s="8"/>
      <x:c r="C25" s="8"/>
      <x:c r="D25" s="8"/>
      <x:c r="E25" s="8"/>
      <x:c r="F25" s="8"/>
      <x:c r="G25" s="8"/>
      <x:c r="H25" s="8"/>
    </x:row>
    <x:row r="26" ht="15" hidden="0" customHeight="1">
      <x:c r="A26" s="8" t="str">
        <x:v>说明性文字使用中文；命令、寄存器、状态码、用例ID和门禁码保留原标识。</x:v>
      </x:c>
      <x:c r="B26" s="8"/>
      <x:c r="C26" s="8"/>
      <x:c r="D26" s="8"/>
      <x:c r="E26" s="8"/>
      <x:c r="F26" s="8"/>
      <x:c r="G26" s="8"/>
      <x:c r="H26" s="8"/>
    </x:row>
  </x:sheetData>
  <x:mergeCells>
    <x:mergeCell ref="D3:H3"/>
    <x:mergeCell ref="D4:H4"/>
    <x:mergeCell ref="D5:H5"/>
    <x:mergeCell ref="D6:H6"/>
    <x:mergeCell ref="D7:H7"/>
    <x:mergeCell ref="D8:H8"/>
    <x:mergeCell ref="D9:H9"/>
    <x:mergeCell ref="D10:H10"/>
    <x:mergeCell ref="D11:H11"/>
    <x:mergeCell ref="D12:H12"/>
    <x:mergeCell ref="A18:H18"/>
    <x:mergeCell ref="A19:H19"/>
    <x:mergeCell ref="A20:H20"/>
    <x:mergeCell ref="A21:H21"/>
    <x:mergeCell ref="A22:H22"/>
    <x:mergeCell ref="A23:H23"/>
    <x:mergeCell ref="A24:H24"/>
    <x:mergeCell ref="A25:H25"/>
    <x:mergeCell ref="A26:H26"/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ColWidth="10.76953125" defaultRowHeight="15"/>
  <x:cols>
    <x:col min="1" max="1" width="27.729999542236328" hidden="0" customWidth="1"/>
    <x:col min="2" max="7" width="47.88999938964844" hidden="0" customWidth="1"/>
  </x:cols>
  <x:sheetData>
    <x:row r="1" ht="19.200000762939453" hidden="0" customHeight="1">
      <x:c r="A1" s="10" t="str">
        <x:v>测试用例覆盖与裁剪规则（v0.3.8）</x:v>
      </x:c>
      <x:c r="B1" s="10"/>
      <x:c r="C1" s="10"/>
      <x:c r="D1" s="10"/>
      <x:c r="E1" s="10"/>
      <x:c r="F1" s="10"/>
      <x:c r="G1" s="10"/>
    </x:row>
    <x:row r="2"/>
    <x:row r="3" ht="15" hidden="0" customHeight="1">
      <x:c r="A3" s="2" t="s">
        <x:v>26</x:v>
      </x:c>
      <x:c r="B3" s="11" t="s">
        <x:v>27</x:v>
      </x:c>
      <x:c r="C3" s="11" t="s">
        <x:v>28</x:v>
      </x:c>
      <x:c r="D3" s="11" t="s">
        <x:v>29</x:v>
      </x:c>
      <x:c r="E3" s="11" t="s">
        <x:v>30</x:v>
      </x:c>
      <x:c r="F3" s="11" t="s">
        <x:v>31</x:v>
      </x:c>
      <x:c r="G3" s="3" t="s">
        <x:v>32</x:v>
      </x:c>
    </x:row>
    <x:row r="4" ht="36" hidden="0" customHeight="1">
      <x:c r="A4" s="7" t="str">
        <x:v>Mailbox BASIC</x:v>
      </x:c>
      <x:c r="B4" s="7" t="str">
        <x:v>每条目标命令一条</x:v>
      </x:c>
      <x:c r="C4" s="5" t="str">
        <x:v>52</x:v>
      </x:c>
      <x:c r="D4" s="5" t="str">
        <x:v>保留</x:v>
      </x:c>
      <x:c r="E4" s="7" t="str">
        <x:v>合法输入、正常响应、返回码与Mailbox闭环；Debug Auth/CLOSE_DEBUG增加soc_dbg_en_out及实际Debug访问判据</x:v>
      </x:c>
      <x:c r="F4" s="5" t="str">
        <x:v>软件可移植</x:v>
      </x:c>
      <x:c r="G4" s="7" t="str">
        <x:v>不替代eHSM负向</x:v>
      </x:c>
    </x:row>
    <x:row r="5" ht="36" hidden="0" customHeight="1">
      <x:c r="A5" s="9" t="str">
        <x:v>eHSM负向</x:v>
      </x:c>
      <x:c r="B5" s="9" t="str">
        <x:v>按安全失败路径归并</x:v>
      </x:c>
      <x:c r="C5" s="8" t="str">
        <x:v>14</x:v>
      </x:c>
      <x:c r="D5" s="8" t="str">
        <x:v>保留</x:v>
      </x:c>
      <x:c r="E5" s="9" t="str">
        <x:v>错误签名、认证、Key、OTP等必须真实到达eHSM；Debug鉴权失败时soc_dbg_en_out和实际Debug均保持关闭</x:v>
      </x:c>
      <x:c r="F5" s="8" t="str">
        <x:v>软件可移植</x:v>
      </x:c>
      <x:c r="G5" s="8" t="str">
        <x:v>Host本地拒绝不算PASS</x:v>
      </x:c>
    </x:row>
    <x:row r="6" ht="24" hidden="0" customHeight="1">
      <x:c r="A6" s="9" t="str">
        <x:v>SoC安全功能</x:v>
      </x:c>
      <x:c r="B6" s="9" t="str">
        <x:v>按安全方案功能归并</x:v>
      </x:c>
      <x:c r="C6" s="9" t="str">
        <x:v>7</x:v>
      </x:c>
      <x:c r="D6" s="9" t="str">
        <x:v>重构</x:v>
      </x:c>
      <x:c r="E6" s="9" t="str">
        <x:v>SEC_CFG 2条、Firewall 4条、Mailbox IRQ 1条；SRAM两条均各自遍历5个Region</x:v>
      </x:c>
      <x:c r="F6" s="8" t="str">
        <x:v>软件可移植/协同</x:v>
      </x:c>
      <x:c r="G6" s="9" t="str">
        <x:v>不扩展为IP完整回归</x:v>
      </x:c>
    </x:row>
    <x:row r="7" ht="24" hidden="0" customHeight="1">
      <x:c r="A7" s="9" t="str">
        <x:v>EDA/硬件需求</x:v>
      </x:c>
      <x:c r="B7" s="8" t="str">
        <x:v>软件无法合法构造的硬件激励</x:v>
      </x:c>
      <x:c r="C7" s="8" t="str">
        <x:v>3</x:v>
      </x:c>
      <x:c r="D7" s="8" t="str">
        <x:v>单列</x:v>
      </x:c>
      <x:c r="E7" s="9" t="str">
        <x:v>严重错误组合中断、ECC 1-bit独立中断；无eHSM公开路径时补充eHSM Master默认权限</x:v>
      </x:c>
      <x:c r="F7" s="8" t="str">
        <x:v>不移植</x:v>
      </x:c>
      <x:c r="G7" s="9" t="str">
        <x:v>软件只作观察器</x:v>
      </x:c>
    </x:row>
    <x:row r="8" ht="24" hidden="0" customHeight="1">
      <x:c r="A8" s="9" t="str">
        <x:v>Host本地健壮性</x:v>
      </x:c>
      <x:c r="B8" s="8" t="str">
        <x:v>Host内即可拒绝</x:v>
      </x:c>
      <x:c r="C8" s="8" t="str">
        <x:v>0</x:v>
      </x:c>
      <x:c r="D8" s="8" t="str">
        <x:v>退出</x:v>
      </x:c>
      <x:c r="E8" s="9" t="str">
        <x:v>NULL、缓冲区、日志、Host超时等不属于本轮流片前eHSM/SoC安全功能测试</x:v>
      </x:c>
      <x:c r="F8" s="8" t="str">
        <x:v>不纳入</x:v>
      </x:c>
      <x:c r="G8" s="9" t="str">
        <x:v>可另建软件质量任务</x:v>
      </x:c>
    </x:row>
  </x:sheetData>
  <x:mergeCells>
    <x:mergeCell ref="A1:G1"/>
  </x:mergeCells>
  <x:conditionalFormatting sqref="A4:F8">
    <x:cfRule type="containsText" dxfId="0" priority="2" aboveAverage="0" percent="0" bottom="0" operator="containsText" text="BLOCK" rank="0" equalAverage="0">
      <x:formula>NOT(ISERROR(SEARCH("BLOCK",A4)))</x:formula>
    </x:cfRule>
    <x:cfRule type="containsText" dxfId="1" priority="3" aboveAverage="0" percent="0" bottom="0" operator="containsText" text="NEEDS" rank="0" equalAverage="0">
      <x:formula>NOT(ISERROR(SEARCH("NEEDS",A4)))</x:formula>
    </x:cfRule>
    <x:cfRule type="containsText" dxfId="2" priority="4" aboveAverage="0" percent="0" bottom="0" operator="containsText" text="READY" rank="0" equalAverage="0">
      <x:formula>NOT(ISERROR(SEARCH("READY",A4)))</x:formula>
    </x:cfRule>
    <x:cfRule type="containsText" dxfId="3" priority="5" aboveAverage="0" percent="0" bottom="0" operator="containsText" text="COMPLETED" rank="0" equalAverage="0">
      <x:formula>NOT(ISERROR(SEARCH("COMPLETED",A4)))</x:formula>
    </x:cfRule>
    <x:cfRule type="containsText" dxfId="4" priority="6" aboveAverage="0" percent="0" bottom="0" operator="containsText" text="SUPERSEDED" rank="0" equalAverage="0">
      <x:formula>NOT(ISERROR(SEARCH("SUPERSEDED",A4)))</x:formula>
    </x:cfRule>
    <x:cfRule type="containsText" dxfId="5" priority="7" aboveAverage="0" percent="0" bottom="0" operator="containsText" text="N/A" rank="0" equalAverage="0">
      <x:formula>NOT(ISERROR(SEARCH("N/A",A4)))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1e0c0ce8da34e52"/>
  </x:tableParts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ColWidth="10.76953125" defaultRowHeight="15"/>
  <x:cols>
    <x:col min="1" max="1" width="25.209999084472656" hidden="0" customWidth="1"/>
    <x:col min="2" max="2" width="15.119999885559082" hidden="0" customWidth="1"/>
    <x:col min="3" max="3" width="47.88999938964844" hidden="0" customWidth="1"/>
    <x:col min="4" max="4" width="25.209999084472656" hidden="0" customWidth="1"/>
    <x:col min="5" max="12" width="30.239999771118164" hidden="0" customWidth="1"/>
    <x:col min="13" max="13" width="55.439998626708984" hidden="0" customWidth="1"/>
    <x:col min="14" max="14" width="35.290000915527344" hidden="0" customWidth="1"/>
    <x:col min="15" max="15" width="16.84000015258789" hidden="0" customWidth="1"/>
    <x:col min="16" max="16" width="26.530000686645508" hidden="0" customWidth="1"/>
    <x:col min="17" max="17" width="30.6200008392334" hidden="0" customWidth="1"/>
    <x:col min="18" max="18" width="18.3700008392334" hidden="0" customWidth="1"/>
    <x:col min="19" max="20" width="21.43000030517578" hidden="0" customWidth="1"/>
    <x:col min="21" max="21" width="38.779998779296875" hidden="0" customWidth="1"/>
  </x:cols>
  <x:sheetData>
    <x:row r="1" ht="30" hidden="0" customHeight="1">
      <x:c r="A1" s="1" t="s">
        <x:v>33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</x:row>
    <x:row r="3" ht="30" hidden="0" customHeight="1">
      <x:c r="A3" s="2" t="s">
        <x:v>34</x:v>
      </x:c>
      <x:c r="B3" s="11" t="s">
        <x:v>35</x:v>
      </x:c>
      <x:c r="C3" s="11" t="s">
        <x:v>36</x:v>
      </x:c>
      <x:c r="D3" s="11" t="s">
        <x:v>37</x:v>
      </x:c>
      <x:c r="E3" s="11" t="s">
        <x:v>38</x:v>
      </x:c>
      <x:c r="F3" s="11" t="s">
        <x:v>39</x:v>
      </x:c>
      <x:c r="G3" s="11" t="s">
        <x:v>40</x:v>
      </x:c>
      <x:c r="H3" s="12" t="s">
        <x:v>41</x:v>
      </x:c>
      <x:c r="I3" s="12" t="s">
        <x:v>42</x:v>
      </x:c>
      <x:c r="J3" s="12" t="s">
        <x:v>43</x:v>
      </x:c>
      <x:c r="K3" s="11" t="s">
        <x:v>44</x:v>
      </x:c>
      <x:c r="L3" s="11" t="s">
        <x:v>45</x:v>
      </x:c>
      <x:c r="M3" s="11" t="s">
        <x:v>46</x:v>
      </x:c>
      <x:c r="N3" s="3" t="s">
        <x:v>47</x:v>
      </x:c>
      <x:c r="O3" s="13" t="s">
        <x:v>48</x:v>
      </x:c>
      <x:c r="P3" s="3" t="s">
        <x:v>49</x:v>
      </x:c>
      <x:c r="Q3" s="3" t="s">
        <x:v>50</x:v>
      </x:c>
      <x:c r="R3" s="3" t="s">
        <x:v>51</x:v>
      </x:c>
      <x:c r="S3" s="3" t="s">
        <x:v>52</x:v>
      </x:c>
      <x:c r="T3" s="3" t="s">
        <x:v>53</x:v>
      </x:c>
      <x:c r="U3" s="13" t="s">
        <x:v>54</x:v>
      </x:c>
    </x:row>
    <x:row r="4" ht="42" hidden="0" customHeight="1">
      <x:c r="A4" s="7" t="s">
        <x:v>55</x:v>
      </x:c>
      <x:c r="B4" s="7" t="s">
        <x:v>56</x:v>
      </x:c>
      <x:c r="C4" s="7" t="s">
        <x:v>57</x:v>
      </x:c>
      <x:c r="D4" s="5" t="s">
        <x:v>58</x:v>
      </x:c>
      <x:c r="E4" s="7" t="s">
        <x:v>59</x:v>
      </x:c>
      <x:c r="F4" s="7" t="s">
        <x:v>60</x:v>
      </x:c>
      <x:c r="G4" s="7" t="s">
        <x:v>61</x:v>
      </x:c>
      <x:c r="H4" s="7" t="s">
        <x:v>62</x:v>
      </x:c>
      <x:c r="I4" s="7" t="s">
        <x:v>63</x:v>
      </x:c>
      <x:c r="J4" s="7" t="s">
        <x:v>64</x:v>
      </x:c>
      <x:c r="K4" s="7" t="s">
        <x:v>65</x:v>
      </x:c>
      <x:c r="L4" s="7" t="s">
        <x:v>66</x:v>
      </x:c>
      <x:c r="M4" s="7" t="s">
        <x:v>67</x:v>
      </x:c>
      <x:c r="N4" s="5" t="s">
        <x:v>68</x:v>
      </x:c>
      <x:c r="O4" s="7" t="s">
        <x:v>69</x:v>
      </x:c>
      <x:c r="P4" s="7" t="s">
        <x:v>70</x:v>
      </x:c>
      <x:c r="Q4" s="7" t="s">
        <x:v>71</x:v>
      </x:c>
      <x:c r="R4" s="7" t="s">
        <x:v>72</x:v>
      </x:c>
      <x:c r="S4" s="7" t="s">
        <x:v>73</x:v>
      </x:c>
      <x:c r="T4" s="7" t="s">
        <x:v>74</x:v>
      </x:c>
      <x:c r="U4" s="7" t="s">
        <x:v>75</x:v>
      </x:c>
    </x:row>
    <x:row r="5" ht="42" hidden="0" customHeight="1">
      <x:c r="A5" s="9" t="s">
        <x:v>55</x:v>
      </x:c>
      <x:c r="B5" s="9" t="s">
        <x:v>76</x:v>
      </x:c>
      <x:c r="C5" s="9" t="s">
        <x:v>77</x:v>
      </x:c>
      <x:c r="D5" s="8" t="s">
        <x:v>78</x:v>
      </x:c>
      <x:c r="E5" s="9" t="s">
        <x:v>59</x:v>
      </x:c>
      <x:c r="F5" s="9" t="s">
        <x:v>60</x:v>
      </x:c>
      <x:c r="G5" s="9" t="s">
        <x:v>61</x:v>
      </x:c>
      <x:c r="H5" s="9" t="s">
        <x:v>62</x:v>
      </x:c>
      <x:c r="I5" s="9" t="s">
        <x:v>63</x:v>
      </x:c>
      <x:c r="J5" s="9" t="s">
        <x:v>64</x:v>
      </x:c>
      <x:c r="K5" s="9" t="s">
        <x:v>65</x:v>
      </x:c>
      <x:c r="L5" s="9" t="s">
        <x:v>66</x:v>
      </x:c>
      <x:c r="M5" s="9" t="s">
        <x:v>67</x:v>
      </x:c>
      <x:c r="N5" s="8" t="s">
        <x:v>79</x:v>
      </x:c>
      <x:c r="O5" s="9" t="s">
        <x:v>80</x:v>
      </x:c>
      <x:c r="P5" s="9" t="s">
        <x:v>81</x:v>
      </x:c>
      <x:c r="Q5" s="9" t="s">
        <x:v>82</x:v>
      </x:c>
      <x:c r="R5" s="9" t="s">
        <x:v>72</x:v>
      </x:c>
      <x:c r="S5" s="9" t="s">
        <x:v>73</x:v>
      </x:c>
      <x:c r="T5" s="9" t="s">
        <x:v>74</x:v>
      </x:c>
      <x:c r="U5" s="9" t="s">
        <x:v>75</x:v>
      </x:c>
    </x:row>
    <x:row r="6" ht="42" hidden="0" customHeight="1">
      <x:c r="A6" s="9" t="s">
        <x:v>55</x:v>
      </x:c>
      <x:c r="B6" s="9" t="s">
        <x:v>83</x:v>
      </x:c>
      <x:c r="C6" s="9" t="s">
        <x:v>84</x:v>
      </x:c>
      <x:c r="D6" s="9" t="s">
        <x:v>85</x:v>
      </x:c>
      <x:c r="E6" s="9" t="s">
        <x:v>86</x:v>
      </x:c>
      <x:c r="F6" s="9" t="s">
        <x:v>60</x:v>
      </x:c>
      <x:c r="G6" s="9" t="s">
        <x:v>61</x:v>
      </x:c>
      <x:c r="H6" s="9" t="s">
        <x:v>62</x:v>
      </x:c>
      <x:c r="I6" s="9" t="s">
        <x:v>87</x:v>
      </x:c>
      <x:c r="J6" s="9" t="s">
        <x:v>64</x:v>
      </x:c>
      <x:c r="K6" s="9" t="s">
        <x:v>88</x:v>
      </x:c>
      <x:c r="L6" s="9" t="s">
        <x:v>89</x:v>
      </x:c>
      <x:c r="M6" s="9" t="s">
        <x:v>67</x:v>
      </x:c>
      <x:c r="N6" s="8" t="s">
        <x:v>90</x:v>
      </x:c>
      <x:c r="O6" s="9" t="s">
        <x:v>91</x:v>
      </x:c>
      <x:c r="P6" s="9" t="s">
        <x:v>92</x:v>
      </x:c>
      <x:c r="Q6" s="9" t="s">
        <x:v>93</x:v>
      </x:c>
      <x:c r="R6" s="9" t="s">
        <x:v>72</x:v>
      </x:c>
      <x:c r="S6" s="9" t="s">
        <x:v>73</x:v>
      </x:c>
      <x:c r="T6" s="9" t="s">
        <x:v>74</x:v>
      </x:c>
      <x:c r="U6" s="9" t="s">
        <x:v>94</x:v>
      </x:c>
    </x:row>
    <x:row r="7" ht="42" hidden="0" customHeight="1">
      <x:c r="A7" s="9" t="s">
        <x:v>55</x:v>
      </x:c>
      <x:c r="B7" s="9" t="s">
        <x:v>95</x:v>
      </x:c>
      <x:c r="C7" s="9" t="s">
        <x:v>96</x:v>
      </x:c>
      <x:c r="D7" s="9" t="s">
        <x:v>85</x:v>
      </x:c>
      <x:c r="E7" s="9" t="s">
        <x:v>97</x:v>
      </x:c>
      <x:c r="F7" s="9" t="s">
        <x:v>60</x:v>
      </x:c>
      <x:c r="G7" s="9" t="s">
        <x:v>61</x:v>
      </x:c>
      <x:c r="H7" s="9" t="s">
        <x:v>62</x:v>
      </x:c>
      <x:c r="I7" s="9" t="s">
        <x:v>87</x:v>
      </x:c>
      <x:c r="J7" s="9" t="s">
        <x:v>64</x:v>
      </x:c>
      <x:c r="K7" s="9" t="s">
        <x:v>98</x:v>
      </x:c>
      <x:c r="L7" s="9" t="s">
        <x:v>66</x:v>
      </x:c>
      <x:c r="M7" s="9" t="s">
        <x:v>67</x:v>
      </x:c>
      <x:c r="N7" s="8" t="s">
        <x:v>99</x:v>
      </x:c>
      <x:c r="O7" s="9" t="s">
        <x:v>100</x:v>
      </x:c>
      <x:c r="P7" s="9" t="s">
        <x:v>101</x:v>
      </x:c>
      <x:c r="Q7" s="9" t="s">
        <x:v>102</x:v>
      </x:c>
      <x:c r="R7" s="9" t="s">
        <x:v>72</x:v>
      </x:c>
      <x:c r="S7" s="9" t="s">
        <x:v>73</x:v>
      </x:c>
      <x:c r="T7" s="9" t="s">
        <x:v>74</x:v>
      </x:c>
      <x:c r="U7" s="9" t="s">
        <x:v>103</x:v>
      </x:c>
    </x:row>
    <x:row r="8" ht="42" hidden="0" customHeight="1">
      <x:c r="A8" s="9" t="s">
        <x:v>55</x:v>
      </x:c>
      <x:c r="B8" s="9" t="s">
        <x:v>104</x:v>
      </x:c>
      <x:c r="C8" s="9" t="s">
        <x:v>105</x:v>
      </x:c>
      <x:c r="D8" s="8" t="s">
        <x:v>106</x:v>
      </x:c>
      <x:c r="E8" s="9" t="s">
        <x:v>97</x:v>
      </x:c>
      <x:c r="F8" s="9" t="s">
        <x:v>60</x:v>
      </x:c>
      <x:c r="G8" s="9" t="s">
        <x:v>61</x:v>
      </x:c>
      <x:c r="H8" s="9" t="s">
        <x:v>62</x:v>
      </x:c>
      <x:c r="I8" s="9" t="s">
        <x:v>63</x:v>
      </x:c>
      <x:c r="J8" s="9" t="s">
        <x:v>64</x:v>
      </x:c>
      <x:c r="K8" s="9" t="s">
        <x:v>98</x:v>
      </x:c>
      <x:c r="L8" s="9" t="s">
        <x:v>66</x:v>
      </x:c>
      <x:c r="M8" s="9" t="s">
        <x:v>67</x:v>
      </x:c>
      <x:c r="N8" s="8" t="s">
        <x:v>107</x:v>
      </x:c>
      <x:c r="O8" s="9" t="s">
        <x:v>108</x:v>
      </x:c>
      <x:c r="P8" s="9" t="s">
        <x:v>109</x:v>
      </x:c>
      <x:c r="Q8" s="9" t="s">
        <x:v>110</x:v>
      </x:c>
      <x:c r="R8" s="9" t="s">
        <x:v>72</x:v>
      </x:c>
      <x:c r="S8" s="9" t="s">
        <x:v>73</x:v>
      </x:c>
      <x:c r="T8" s="9" t="s">
        <x:v>74</x:v>
      </x:c>
      <x:c r="U8" s="9" t="s">
        <x:v>75</x:v>
      </x:c>
    </x:row>
    <x:row r="9" ht="42" hidden="0" customHeight="1">
      <x:c r="A9" s="9" t="s">
        <x:v>55</x:v>
      </x:c>
      <x:c r="B9" s="9" t="s">
        <x:v>111</x:v>
      </x:c>
      <x:c r="C9" s="9" t="s">
        <x:v>112</x:v>
      </x:c>
      <x:c r="D9" s="8" t="s">
        <x:v>106</x:v>
      </x:c>
      <x:c r="E9" s="9" t="s">
        <x:v>97</x:v>
      </x:c>
      <x:c r="F9" s="9" t="s">
        <x:v>60</x:v>
      </x:c>
      <x:c r="G9" s="9" t="s">
        <x:v>61</x:v>
      </x:c>
      <x:c r="H9" s="9" t="s">
        <x:v>62</x:v>
      </x:c>
      <x:c r="I9" s="9" t="s">
        <x:v>87</x:v>
      </x:c>
      <x:c r="J9" s="9" t="s">
        <x:v>64</x:v>
      </x:c>
      <x:c r="K9" s="9" t="s">
        <x:v>98</x:v>
      </x:c>
      <x:c r="L9" s="9" t="s">
        <x:v>66</x:v>
      </x:c>
      <x:c r="M9" s="9" t="s">
        <x:v>67</x:v>
      </x:c>
      <x:c r="N9" s="8" t="s">
        <x:v>113</x:v>
      </x:c>
      <x:c r="O9" s="9" t="s">
        <x:v>114</x:v>
      </x:c>
      <x:c r="P9" s="9" t="s">
        <x:v>115</x:v>
      </x:c>
      <x:c r="Q9" s="9" t="s">
        <x:v>116</x:v>
      </x:c>
      <x:c r="R9" s="9" t="s">
        <x:v>72</x:v>
      </x:c>
      <x:c r="S9" s="9" t="s">
        <x:v>73</x:v>
      </x:c>
      <x:c r="T9" s="9" t="s">
        <x:v>74</x:v>
      </x:c>
      <x:c r="U9" s="9" t="s">
        <x:v>117</x:v>
      </x:c>
    </x:row>
    <x:row r="10" ht="42" hidden="0" customHeight="1">
      <x:c r="A10" s="9" t="s">
        <x:v>55</x:v>
      </x:c>
      <x:c r="B10" s="9" t="s">
        <x:v>118</x:v>
      </x:c>
      <x:c r="C10" s="9" t="s">
        <x:v>119</x:v>
      </x:c>
      <x:c r="D10" s="8" t="s">
        <x:v>120</x:v>
      </x:c>
      <x:c r="E10" s="9" t="s">
        <x:v>86</x:v>
      </x:c>
      <x:c r="F10" s="9" t="s">
        <x:v>60</x:v>
      </x:c>
      <x:c r="G10" s="9" t="s">
        <x:v>61</x:v>
      </x:c>
      <x:c r="H10" s="9" t="s">
        <x:v>62</x:v>
      </x:c>
      <x:c r="I10" s="9" t="s">
        <x:v>87</x:v>
      </x:c>
      <x:c r="J10" s="9" t="s">
        <x:v>64</x:v>
      </x:c>
      <x:c r="K10" s="9" t="s">
        <x:v>88</x:v>
      </x:c>
      <x:c r="L10" s="9" t="s">
        <x:v>89</x:v>
      </x:c>
      <x:c r="M10" s="9" t="s">
        <x:v>67</x:v>
      </x:c>
      <x:c r="N10" s="8" t="s">
        <x:v>121</x:v>
      </x:c>
      <x:c r="O10" s="9" t="s">
        <x:v>122</x:v>
      </x:c>
      <x:c r="P10" s="9" t="s">
        <x:v>123</x:v>
      </x:c>
      <x:c r="Q10" s="9" t="s">
        <x:v>124</x:v>
      </x:c>
      <x:c r="R10" s="9" t="s">
        <x:v>125</x:v>
      </x:c>
      <x:c r="S10" s="9" t="s">
        <x:v>73</x:v>
      </x:c>
      <x:c r="T10" s="9" t="s">
        <x:v>74</x:v>
      </x:c>
      <x:c r="U10" s="9" t="s">
        <x:v>126</x:v>
      </x:c>
    </x:row>
    <x:row r="11" ht="42" hidden="0" customHeight="1">
      <x:c r="A11" s="9" t="s">
        <x:v>55</x:v>
      </x:c>
      <x:c r="B11" s="9" t="s">
        <x:v>127</x:v>
      </x:c>
      <x:c r="C11" s="9" t="s">
        <x:v>128</x:v>
      </x:c>
      <x:c r="D11" s="8" t="s">
        <x:v>120</x:v>
      </x:c>
      <x:c r="E11" s="9" t="s">
        <x:v>97</x:v>
      </x:c>
      <x:c r="F11" s="9" t="s">
        <x:v>60</x:v>
      </x:c>
      <x:c r="G11" s="9" t="s">
        <x:v>61</x:v>
      </x:c>
      <x:c r="H11" s="9" t="s">
        <x:v>62</x:v>
      </x:c>
      <x:c r="I11" s="9" t="s">
        <x:v>87</x:v>
      </x:c>
      <x:c r="J11" s="9" t="s">
        <x:v>64</x:v>
      </x:c>
      <x:c r="K11" s="9" t="s">
        <x:v>98</x:v>
      </x:c>
      <x:c r="L11" s="9" t="s">
        <x:v>66</x:v>
      </x:c>
      <x:c r="M11" s="9" t="s">
        <x:v>67</x:v>
      </x:c>
      <x:c r="N11" s="8" t="s">
        <x:v>129</x:v>
      </x:c>
      <x:c r="O11" s="9" t="s">
        <x:v>130</x:v>
      </x:c>
      <x:c r="P11" s="9" t="s">
        <x:v>131</x:v>
      </x:c>
      <x:c r="Q11" s="9" t="s">
        <x:v>132</x:v>
      </x:c>
      <x:c r="R11" s="9" t="s">
        <x:v>72</x:v>
      </x:c>
      <x:c r="S11" s="9" t="s">
        <x:v>73</x:v>
      </x:c>
      <x:c r="T11" s="9" t="s">
        <x:v>74</x:v>
      </x:c>
      <x:c r="U11" s="9" t="s">
        <x:v>126</x:v>
      </x:c>
    </x:row>
    <x:row r="12" ht="42" hidden="0" customHeight="1">
      <x:c r="A12" s="9" t="s">
        <x:v>55</x:v>
      </x:c>
      <x:c r="B12" s="9" t="s">
        <x:v>133</x:v>
      </x:c>
      <x:c r="C12" s="9" t="s">
        <x:v>134</x:v>
      </x:c>
      <x:c r="D12" s="8" t="s">
        <x:v>135</x:v>
      </x:c>
      <x:c r="E12" s="9" t="s">
        <x:v>97</x:v>
      </x:c>
      <x:c r="F12" s="9" t="s">
        <x:v>60</x:v>
      </x:c>
      <x:c r="G12" s="9" t="s">
        <x:v>61</x:v>
      </x:c>
      <x:c r="H12" s="9" t="s">
        <x:v>62</x:v>
      </x:c>
      <x:c r="I12" s="9" t="s">
        <x:v>63</x:v>
      </x:c>
      <x:c r="J12" s="9" t="s">
        <x:v>64</x:v>
      </x:c>
      <x:c r="K12" s="9" t="s">
        <x:v>98</x:v>
      </x:c>
      <x:c r="L12" s="9" t="s">
        <x:v>66</x:v>
      </x:c>
      <x:c r="M12" s="9" t="s">
        <x:v>67</x:v>
      </x:c>
      <x:c r="N12" s="8" t="s">
        <x:v>136</x:v>
      </x:c>
      <x:c r="O12" s="9" t="s">
        <x:v>137</x:v>
      </x:c>
      <x:c r="P12" s="9" t="s">
        <x:v>138</x:v>
      </x:c>
      <x:c r="Q12" s="9" t="s">
        <x:v>139</x:v>
      </x:c>
      <x:c r="R12" s="9" t="s">
        <x:v>72</x:v>
      </x:c>
      <x:c r="S12" s="9" t="s">
        <x:v>73</x:v>
      </x:c>
      <x:c r="T12" s="9" t="s">
        <x:v>74</x:v>
      </x:c>
      <x:c r="U12" s="9" t="s">
        <x:v>140</x:v>
      </x:c>
    </x:row>
    <x:row r="13" ht="42" hidden="0" customHeight="1">
      <x:c r="A13" s="9" t="s">
        <x:v>55</x:v>
      </x:c>
      <x:c r="B13" s="9" t="s">
        <x:v>141</x:v>
      </x:c>
      <x:c r="C13" s="9" t="s">
        <x:v>142</x:v>
      </x:c>
      <x:c r="D13" s="8" t="s">
        <x:v>135</x:v>
      </x:c>
      <x:c r="E13" s="9" t="s">
        <x:v>97</x:v>
      </x:c>
      <x:c r="F13" s="9" t="s">
        <x:v>60</x:v>
      </x:c>
      <x:c r="G13" s="9" t="s">
        <x:v>61</x:v>
      </x:c>
      <x:c r="H13" s="9" t="s">
        <x:v>62</x:v>
      </x:c>
      <x:c r="I13" s="9" t="s">
        <x:v>63</x:v>
      </x:c>
      <x:c r="J13" s="9" t="s">
        <x:v>64</x:v>
      </x:c>
      <x:c r="K13" s="9" t="s">
        <x:v>98</x:v>
      </x:c>
      <x:c r="L13" s="9" t="s">
        <x:v>66</x:v>
      </x:c>
      <x:c r="M13" s="9" t="s">
        <x:v>67</x:v>
      </x:c>
      <x:c r="N13" s="8" t="s">
        <x:v>143</x:v>
      </x:c>
      <x:c r="O13" s="9" t="s">
        <x:v>144</x:v>
      </x:c>
      <x:c r="P13" s="9" t="s">
        <x:v>145</x:v>
      </x:c>
      <x:c r="Q13" s="9" t="s">
        <x:v>146</x:v>
      </x:c>
      <x:c r="R13" s="9" t="s">
        <x:v>72</x:v>
      </x:c>
      <x:c r="S13" s="9" t="s">
        <x:v>73</x:v>
      </x:c>
      <x:c r="T13" s="9" t="s">
        <x:v>74</x:v>
      </x:c>
      <x:c r="U13" s="9" t="s">
        <x:v>140</x:v>
      </x:c>
    </x:row>
    <x:row r="14" ht="42" hidden="0" customHeight="1">
      <x:c r="A14" s="9" t="s">
        <x:v>55</x:v>
      </x:c>
      <x:c r="B14" s="9" t="s">
        <x:v>147</x:v>
      </x:c>
      <x:c r="C14" s="9" t="s">
        <x:v>148</x:v>
      </x:c>
      <x:c r="D14" s="8" t="s">
        <x:v>106</x:v>
      </x:c>
      <x:c r="E14" s="9" t="s">
        <x:v>97</x:v>
      </x:c>
      <x:c r="F14" s="9" t="s">
        <x:v>60</x:v>
      </x:c>
      <x:c r="G14" s="9" t="s">
        <x:v>61</x:v>
      </x:c>
      <x:c r="H14" s="9" t="s">
        <x:v>62</x:v>
      </x:c>
      <x:c r="I14" s="9" t="s">
        <x:v>63</x:v>
      </x:c>
      <x:c r="J14" s="9" t="s">
        <x:v>64</x:v>
      </x:c>
      <x:c r="K14" s="9" t="s">
        <x:v>98</x:v>
      </x:c>
      <x:c r="L14" s="9" t="s">
        <x:v>66</x:v>
      </x:c>
      <x:c r="M14" s="9" t="s">
        <x:v>67</x:v>
      </x:c>
      <x:c r="N14" s="8" t="s">
        <x:v>149</x:v>
      </x:c>
      <x:c r="O14" s="9" t="s">
        <x:v>150</x:v>
      </x:c>
      <x:c r="P14" s="9" t="s">
        <x:v>151</x:v>
      </x:c>
      <x:c r="Q14" s="9" t="s">
        <x:v>152</x:v>
      </x:c>
      <x:c r="R14" s="9" t="s">
        <x:v>72</x:v>
      </x:c>
      <x:c r="S14" s="9" t="s">
        <x:v>73</x:v>
      </x:c>
      <x:c r="T14" s="9" t="s">
        <x:v>74</x:v>
      </x:c>
      <x:c r="U14" s="9" t="s">
        <x:v>140</x:v>
      </x:c>
    </x:row>
    <x:row r="15" ht="42" hidden="0" customHeight="1">
      <x:c r="A15" s="9" t="s">
        <x:v>55</x:v>
      </x:c>
      <x:c r="B15" s="9" t="s">
        <x:v>153</x:v>
      </x:c>
      <x:c r="C15" s="9" t="s">
        <x:v>154</x:v>
      </x:c>
      <x:c r="D15" s="8" t="s">
        <x:v>58</x:v>
      </x:c>
      <x:c r="E15" s="9" t="s">
        <x:v>155</x:v>
      </x:c>
      <x:c r="F15" s="9" t="s">
        <x:v>60</x:v>
      </x:c>
      <x:c r="G15" s="9" t="s">
        <x:v>61</x:v>
      </x:c>
      <x:c r="H15" s="9" t="s">
        <x:v>62</x:v>
      </x:c>
      <x:c r="I15" s="9" t="s">
        <x:v>63</x:v>
      </x:c>
      <x:c r="J15" s="9" t="s">
        <x:v>64</x:v>
      </x:c>
      <x:c r="K15" s="9" t="s">
        <x:v>156</x:v>
      </x:c>
      <x:c r="L15" s="9" t="s">
        <x:v>66</x:v>
      </x:c>
      <x:c r="M15" s="9" t="s">
        <x:v>67</x:v>
      </x:c>
      <x:c r="N15" s="8" t="s">
        <x:v>157</x:v>
      </x:c>
      <x:c r="O15" s="9" t="s">
        <x:v>158</x:v>
      </x:c>
      <x:c r="P15" s="9" t="s">
        <x:v>159</x:v>
      </x:c>
      <x:c r="Q15" s="9" t="s">
        <x:v>160</x:v>
      </x:c>
      <x:c r="R15" s="9" t="s">
        <x:v>72</x:v>
      </x:c>
      <x:c r="S15" s="9" t="s">
        <x:v>73</x:v>
      </x:c>
      <x:c r="T15" s="9" t="s">
        <x:v>74</x:v>
      </x:c>
      <x:c r="U15" s="9" t="s">
        <x:v>75</x:v>
      </x:c>
    </x:row>
    <x:row r="16" ht="42" hidden="0" customHeight="1">
      <x:c r="A16" s="9" t="s">
        <x:v>55</x:v>
      </x:c>
      <x:c r="B16" s="9" t="s">
        <x:v>161</x:v>
      </x:c>
      <x:c r="C16" s="9" t="s">
        <x:v>162</x:v>
      </x:c>
      <x:c r="D16" s="8" t="s">
        <x:v>58</x:v>
      </x:c>
      <x:c r="E16" s="9" t="s">
        <x:v>59</x:v>
      </x:c>
      <x:c r="F16" s="9" t="s">
        <x:v>60</x:v>
      </x:c>
      <x:c r="G16" s="9" t="s">
        <x:v>61</x:v>
      </x:c>
      <x:c r="H16" s="9" t="s">
        <x:v>62</x:v>
      </x:c>
      <x:c r="I16" s="9" t="s">
        <x:v>63</x:v>
      </x:c>
      <x:c r="J16" s="9" t="s">
        <x:v>64</x:v>
      </x:c>
      <x:c r="K16" s="9" t="s">
        <x:v>65</x:v>
      </x:c>
      <x:c r="L16" s="9" t="s">
        <x:v>66</x:v>
      </x:c>
      <x:c r="M16" s="9" t="s">
        <x:v>67</x:v>
      </x:c>
      <x:c r="N16" s="8" t="s">
        <x:v>163</x:v>
      </x:c>
      <x:c r="O16" s="9" t="s">
        <x:v>164</x:v>
      </x:c>
      <x:c r="P16" s="9" t="s">
        <x:v>165</x:v>
      </x:c>
      <x:c r="Q16" s="9" t="s">
        <x:v>166</x:v>
      </x:c>
      <x:c r="R16" s="9" t="s">
        <x:v>72</x:v>
      </x:c>
      <x:c r="S16" s="9" t="s">
        <x:v>73</x:v>
      </x:c>
      <x:c r="T16" s="9" t="s">
        <x:v>74</x:v>
      </x:c>
      <x:c r="U16" s="9" t="s">
        <x:v>75</x:v>
      </x:c>
    </x:row>
    <x:row r="17" ht="42" hidden="0" customHeight="1">
      <x:c r="A17" s="9" t="s">
        <x:v>55</x:v>
      </x:c>
      <x:c r="B17" s="9" t="s">
        <x:v>167</x:v>
      </x:c>
      <x:c r="C17" s="9" t="s">
        <x:v>168</x:v>
      </x:c>
      <x:c r="D17" s="8" t="s">
        <x:v>78</x:v>
      </x:c>
      <x:c r="E17" s="9" t="s">
        <x:v>97</x:v>
      </x:c>
      <x:c r="F17" s="9" t="s">
        <x:v>60</x:v>
      </x:c>
      <x:c r="G17" s="9" t="s">
        <x:v>61</x:v>
      </x:c>
      <x:c r="H17" s="9" t="s">
        <x:v>62</x:v>
      </x:c>
      <x:c r="I17" s="9" t="s">
        <x:v>63</x:v>
      </x:c>
      <x:c r="J17" s="9" t="s">
        <x:v>64</x:v>
      </x:c>
      <x:c r="K17" s="9" t="s">
        <x:v>98</x:v>
      </x:c>
      <x:c r="L17" s="9" t="s">
        <x:v>66</x:v>
      </x:c>
      <x:c r="M17" s="9" t="s">
        <x:v>67</x:v>
      </x:c>
      <x:c r="N17" s="8" t="s">
        <x:v>169</x:v>
      </x:c>
      <x:c r="O17" s="9" t="s">
        <x:v>170</x:v>
      </x:c>
      <x:c r="P17" s="9" t="s">
        <x:v>171</x:v>
      </x:c>
      <x:c r="Q17" s="9" t="s">
        <x:v>172</x:v>
      </x:c>
      <x:c r="R17" s="9" t="s">
        <x:v>72</x:v>
      </x:c>
      <x:c r="S17" s="9" t="s">
        <x:v>73</x:v>
      </x:c>
      <x:c r="T17" s="9" t="s">
        <x:v>74</x:v>
      </x:c>
      <x:c r="U17" s="9" t="s">
        <x:v>126</x:v>
      </x:c>
    </x:row>
    <x:row r="18" ht="42" hidden="0" customHeight="1">
      <x:c r="A18" s="9" t="s">
        <x:v>55</x:v>
      </x:c>
      <x:c r="B18" s="9" t="s">
        <x:v>173</x:v>
      </x:c>
      <x:c r="C18" s="9" t="s">
        <x:v>174</x:v>
      </x:c>
      <x:c r="D18" s="8" t="s">
        <x:v>78</x:v>
      </x:c>
      <x:c r="E18" s="9" t="s">
        <x:v>97</x:v>
      </x:c>
      <x:c r="F18" s="9" t="s">
        <x:v>60</x:v>
      </x:c>
      <x:c r="G18" s="9" t="s">
        <x:v>61</x:v>
      </x:c>
      <x:c r="H18" s="9" t="s">
        <x:v>62</x:v>
      </x:c>
      <x:c r="I18" s="9" t="s">
        <x:v>63</x:v>
      </x:c>
      <x:c r="J18" s="9" t="s">
        <x:v>64</x:v>
      </x:c>
      <x:c r="K18" s="9" t="s">
        <x:v>98</x:v>
      </x:c>
      <x:c r="L18" s="9" t="s">
        <x:v>66</x:v>
      </x:c>
      <x:c r="M18" s="9" t="s">
        <x:v>67</x:v>
      </x:c>
      <x:c r="N18" s="8" t="s">
        <x:v>175</x:v>
      </x:c>
      <x:c r="O18" s="9" t="s">
        <x:v>176</x:v>
      </x:c>
      <x:c r="P18" s="9" t="s">
        <x:v>177</x:v>
      </x:c>
      <x:c r="Q18" s="9" t="s">
        <x:v>178</x:v>
      </x:c>
      <x:c r="R18" s="9" t="s">
        <x:v>72</x:v>
      </x:c>
      <x:c r="S18" s="9" t="s">
        <x:v>73</x:v>
      </x:c>
      <x:c r="T18" s="9" t="s">
        <x:v>74</x:v>
      </x:c>
      <x:c r="U18" s="9" t="s">
        <x:v>126</x:v>
      </x:c>
    </x:row>
    <x:row r="19" ht="42" hidden="0" customHeight="1">
      <x:c r="A19" s="9" t="s">
        <x:v>179</x:v>
      </x:c>
      <x:c r="B19" s="9" t="s">
        <x:v>180</x:v>
      </x:c>
      <x:c r="C19" s="9" t="s">
        <x:v>181</x:v>
      </x:c>
      <x:c r="D19" s="8" t="s">
        <x:v>58</x:v>
      </x:c>
      <x:c r="E19" s="9" t="s">
        <x:v>155</x:v>
      </x:c>
      <x:c r="F19" s="9" t="s">
        <x:v>60</x:v>
      </x:c>
      <x:c r="G19" s="9" t="s">
        <x:v>61</x:v>
      </x:c>
      <x:c r="H19" s="9" t="s">
        <x:v>62</x:v>
      </x:c>
      <x:c r="I19" s="9" t="s">
        <x:v>63</x:v>
      </x:c>
      <x:c r="J19" s="9" t="s">
        <x:v>64</x:v>
      </x:c>
      <x:c r="K19" s="9" t="s">
        <x:v>156</x:v>
      </x:c>
      <x:c r="L19" s="9" t="s">
        <x:v>66</x:v>
      </x:c>
      <x:c r="M19" s="9" t="s">
        <x:v>182</x:v>
      </x:c>
      <x:c r="N19" s="8" t="s">
        <x:v>183</x:v>
      </x:c>
      <x:c r="O19" s="9" t="s">
        <x:v>184</x:v>
      </x:c>
      <x:c r="P19" s="9" t="s">
        <x:v>185</x:v>
      </x:c>
      <x:c r="Q19" s="9" t="s">
        <x:v>186</x:v>
      </x:c>
      <x:c r="R19" s="9" t="s">
        <x:v>72</x:v>
      </x:c>
      <x:c r="S19" s="9" t="s">
        <x:v>73</x:v>
      </x:c>
      <x:c r="T19" s="9" t="s">
        <x:v>74</x:v>
      </x:c>
      <x:c r="U19" s="9" t="s">
        <x:v>75</x:v>
      </x:c>
    </x:row>
    <x:row r="20" ht="42" hidden="0" customHeight="1">
      <x:c r="A20" s="9" t="s">
        <x:v>179</x:v>
      </x:c>
      <x:c r="B20" s="9" t="s">
        <x:v>187</x:v>
      </x:c>
      <x:c r="C20" s="9" t="s">
        <x:v>188</x:v>
      </x:c>
      <x:c r="D20" s="8" t="s">
        <x:v>189</x:v>
      </x:c>
      <x:c r="E20" s="9" t="s">
        <x:v>59</x:v>
      </x:c>
      <x:c r="F20" s="9" t="s">
        <x:v>60</x:v>
      </x:c>
      <x:c r="G20" s="9" t="s">
        <x:v>61</x:v>
      </x:c>
      <x:c r="H20" s="9" t="s">
        <x:v>62</x:v>
      </x:c>
      <x:c r="I20" s="9" t="s">
        <x:v>87</x:v>
      </x:c>
      <x:c r="J20" s="9" t="s">
        <x:v>64</x:v>
      </x:c>
      <x:c r="K20" s="9" t="s">
        <x:v>65</x:v>
      </x:c>
      <x:c r="L20" s="9" t="s">
        <x:v>66</x:v>
      </x:c>
      <x:c r="M20" s="9" t="s">
        <x:v>182</x:v>
      </x:c>
      <x:c r="N20" s="8" t="s">
        <x:v>190</x:v>
      </x:c>
      <x:c r="O20" s="9" t="s">
        <x:v>191</x:v>
      </x:c>
      <x:c r="P20" s="9" t="s">
        <x:v>192</x:v>
      </x:c>
      <x:c r="Q20" s="9" t="s">
        <x:v>193</x:v>
      </x:c>
      <x:c r="R20" s="9" t="s">
        <x:v>72</x:v>
      </x:c>
      <x:c r="S20" s="9" t="s">
        <x:v>73</x:v>
      </x:c>
      <x:c r="T20" s="9" t="s">
        <x:v>74</x:v>
      </x:c>
      <x:c r="U20" s="9" t="s">
        <x:v>194</x:v>
      </x:c>
    </x:row>
    <x:row r="21" ht="42" hidden="0" customHeight="1">
      <x:c r="A21" s="9" t="s">
        <x:v>179</x:v>
      </x:c>
      <x:c r="B21" s="9" t="s">
        <x:v>195</x:v>
      </x:c>
      <x:c r="C21" s="9" t="s">
        <x:v>196</x:v>
      </x:c>
      <x:c r="D21" s="8" t="s">
        <x:v>189</x:v>
      </x:c>
      <x:c r="E21" s="9" t="s">
        <x:v>59</x:v>
      </x:c>
      <x:c r="F21" s="9" t="s">
        <x:v>60</x:v>
      </x:c>
      <x:c r="G21" s="9" t="s">
        <x:v>61</x:v>
      </x:c>
      <x:c r="H21" s="9" t="s">
        <x:v>62</x:v>
      </x:c>
      <x:c r="I21" s="9" t="s">
        <x:v>87</x:v>
      </x:c>
      <x:c r="J21" s="9" t="s">
        <x:v>64</x:v>
      </x:c>
      <x:c r="K21" s="9" t="s">
        <x:v>65</x:v>
      </x:c>
      <x:c r="L21" s="9" t="s">
        <x:v>66</x:v>
      </x:c>
      <x:c r="M21" s="9" t="s">
        <x:v>182</x:v>
      </x:c>
      <x:c r="N21" s="8" t="s">
        <x:v>197</x:v>
      </x:c>
      <x:c r="O21" s="9" t="s">
        <x:v>198</x:v>
      </x:c>
      <x:c r="P21" s="9" t="s">
        <x:v>199</x:v>
      </x:c>
      <x:c r="Q21" s="9" t="s">
        <x:v>200</x:v>
      </x:c>
      <x:c r="R21" s="9" t="s">
        <x:v>72</x:v>
      </x:c>
      <x:c r="S21" s="9" t="s">
        <x:v>73</x:v>
      </x:c>
      <x:c r="T21" s="9" t="s">
        <x:v>74</x:v>
      </x:c>
      <x:c r="U21" s="9" t="s">
        <x:v>201</x:v>
      </x:c>
    </x:row>
    <x:row r="22" ht="42" hidden="0" customHeight="1">
      <x:c r="A22" s="9" t="s">
        <x:v>179</x:v>
      </x:c>
      <x:c r="B22" s="9" t="s">
        <x:v>202</x:v>
      </x:c>
      <x:c r="C22" s="9" t="s">
        <x:v>203</x:v>
      </x:c>
      <x:c r="D22" s="8" t="s">
        <x:v>189</x:v>
      </x:c>
      <x:c r="E22" s="9" t="s">
        <x:v>59</x:v>
      </x:c>
      <x:c r="F22" s="9" t="s">
        <x:v>60</x:v>
      </x:c>
      <x:c r="G22" s="9" t="s">
        <x:v>61</x:v>
      </x:c>
      <x:c r="H22" s="9" t="s">
        <x:v>62</x:v>
      </x:c>
      <x:c r="I22" s="9" t="s">
        <x:v>87</x:v>
      </x:c>
      <x:c r="J22" s="9" t="s">
        <x:v>64</x:v>
      </x:c>
      <x:c r="K22" s="9" t="s">
        <x:v>65</x:v>
      </x:c>
      <x:c r="L22" s="9" t="s">
        <x:v>66</x:v>
      </x:c>
      <x:c r="M22" s="9" t="s">
        <x:v>182</x:v>
      </x:c>
      <x:c r="N22" s="8" t="s">
        <x:v>204</x:v>
      </x:c>
      <x:c r="O22" s="9" t="s">
        <x:v>205</x:v>
      </x:c>
      <x:c r="P22" s="9" t="s">
        <x:v>206</x:v>
      </x:c>
      <x:c r="Q22" s="9" t="s">
        <x:v>207</x:v>
      </x:c>
      <x:c r="R22" s="9" t="s">
        <x:v>72</x:v>
      </x:c>
      <x:c r="S22" s="9" t="s">
        <x:v>73</x:v>
      </x:c>
      <x:c r="T22" s="9" t="s">
        <x:v>74</x:v>
      </x:c>
      <x:c r="U22" s="9" t="s">
        <x:v>201</x:v>
      </x:c>
    </x:row>
    <x:row r="23" ht="42" hidden="0" customHeight="1">
      <x:c r="A23" s="9" t="s">
        <x:v>179</x:v>
      </x:c>
      <x:c r="B23" s="9" t="s">
        <x:v>208</x:v>
      </x:c>
      <x:c r="C23" s="9" t="s">
        <x:v>209</x:v>
      </x:c>
      <x:c r="D23" s="8" t="s">
        <x:v>189</x:v>
      </x:c>
      <x:c r="E23" s="9" t="s">
        <x:v>59</x:v>
      </x:c>
      <x:c r="F23" s="9" t="s">
        <x:v>60</x:v>
      </x:c>
      <x:c r="G23" s="9" t="s">
        <x:v>61</x:v>
      </x:c>
      <x:c r="H23" s="9" t="s">
        <x:v>62</x:v>
      </x:c>
      <x:c r="I23" s="9" t="s">
        <x:v>87</x:v>
      </x:c>
      <x:c r="J23" s="9" t="s">
        <x:v>64</x:v>
      </x:c>
      <x:c r="K23" s="9" t="s">
        <x:v>65</x:v>
      </x:c>
      <x:c r="L23" s="9" t="s">
        <x:v>66</x:v>
      </x:c>
      <x:c r="M23" s="9" t="s">
        <x:v>182</x:v>
      </x:c>
      <x:c r="N23" s="8" t="s">
        <x:v>210</x:v>
      </x:c>
      <x:c r="O23" s="9" t="s">
        <x:v>211</x:v>
      </x:c>
      <x:c r="P23" s="9" t="s">
        <x:v>212</x:v>
      </x:c>
      <x:c r="Q23" s="9" t="s">
        <x:v>213</x:v>
      </x:c>
      <x:c r="R23" s="9" t="s">
        <x:v>72</x:v>
      </x:c>
      <x:c r="S23" s="9" t="s">
        <x:v>73</x:v>
      </x:c>
      <x:c r="T23" s="9" t="s">
        <x:v>74</x:v>
      </x:c>
      <x:c r="U23" s="9" t="s">
        <x:v>201</x:v>
      </x:c>
    </x:row>
    <x:row r="24" ht="42" hidden="0" customHeight="1">
      <x:c r="A24" s="9" t="s">
        <x:v>179</x:v>
      </x:c>
      <x:c r="B24" s="9" t="s">
        <x:v>214</x:v>
      </x:c>
      <x:c r="C24" s="9" t="s">
        <x:v>215</x:v>
      </x:c>
      <x:c r="D24" s="8" t="s">
        <x:v>216</x:v>
      </x:c>
      <x:c r="E24" s="9" t="s">
        <x:v>59</x:v>
      </x:c>
      <x:c r="F24" s="9" t="s">
        <x:v>60</x:v>
      </x:c>
      <x:c r="G24" s="9" t="s">
        <x:v>61</x:v>
      </x:c>
      <x:c r="H24" s="9" t="s">
        <x:v>62</x:v>
      </x:c>
      <x:c r="I24" s="9" t="s">
        <x:v>63</x:v>
      </x:c>
      <x:c r="J24" s="9" t="s">
        <x:v>64</x:v>
      </x:c>
      <x:c r="K24" s="9" t="s">
        <x:v>65</x:v>
      </x:c>
      <x:c r="L24" s="9" t="s">
        <x:v>66</x:v>
      </x:c>
      <x:c r="M24" s="9" t="s">
        <x:v>182</x:v>
      </x:c>
      <x:c r="N24" s="8" t="s">
        <x:v>217</x:v>
      </x:c>
      <x:c r="O24" s="9" t="s">
        <x:v>218</x:v>
      </x:c>
      <x:c r="P24" s="9" t="s">
        <x:v>219</x:v>
      </x:c>
      <x:c r="Q24" s="9" t="s">
        <x:v>220</x:v>
      </x:c>
      <x:c r="R24" s="9" t="s">
        <x:v>72</x:v>
      </x:c>
      <x:c r="S24" s="9" t="s">
        <x:v>73</x:v>
      </x:c>
      <x:c r="T24" s="9" t="s">
        <x:v>74</x:v>
      </x:c>
      <x:c r="U24" s="9" t="s">
        <x:v>201</x:v>
      </x:c>
    </x:row>
    <x:row r="25" ht="42" hidden="0" customHeight="1">
      <x:c r="A25" s="9" t="s">
        <x:v>179</x:v>
      </x:c>
      <x:c r="B25" s="9" t="s">
        <x:v>221</x:v>
      </x:c>
      <x:c r="C25" s="9" t="s">
        <x:v>222</x:v>
      </x:c>
      <x:c r="D25" s="8" t="s">
        <x:v>216</x:v>
      </x:c>
      <x:c r="E25" s="9" t="s">
        <x:v>59</x:v>
      </x:c>
      <x:c r="F25" s="9" t="s">
        <x:v>60</x:v>
      </x:c>
      <x:c r="G25" s="9" t="s">
        <x:v>61</x:v>
      </x:c>
      <x:c r="H25" s="9" t="s">
        <x:v>62</x:v>
      </x:c>
      <x:c r="I25" s="9" t="s">
        <x:v>87</x:v>
      </x:c>
      <x:c r="J25" s="9" t="s">
        <x:v>64</x:v>
      </x:c>
      <x:c r="K25" s="9" t="s">
        <x:v>65</x:v>
      </x:c>
      <x:c r="L25" s="9" t="s">
        <x:v>66</x:v>
      </x:c>
      <x:c r="M25" s="9" t="s">
        <x:v>182</x:v>
      </x:c>
      <x:c r="N25" s="8" t="s">
        <x:v>223</x:v>
      </x:c>
      <x:c r="O25" s="9" t="s">
        <x:v>224</x:v>
      </x:c>
      <x:c r="P25" s="9" t="s">
        <x:v>225</x:v>
      </x:c>
      <x:c r="Q25" s="9" t="s">
        <x:v>226</x:v>
      </x:c>
      <x:c r="R25" s="9" t="s">
        <x:v>72</x:v>
      </x:c>
      <x:c r="S25" s="9" t="s">
        <x:v>73</x:v>
      </x:c>
      <x:c r="T25" s="9" t="s">
        <x:v>74</x:v>
      </x:c>
      <x:c r="U25" s="9" t="s">
        <x:v>201</x:v>
      </x:c>
    </x:row>
    <x:row r="26" ht="42" hidden="0" customHeight="1">
      <x:c r="A26" s="9" t="s">
        <x:v>179</x:v>
      </x:c>
      <x:c r="B26" s="9" t="s">
        <x:v>227</x:v>
      </x:c>
      <x:c r="C26" s="9" t="s">
        <x:v>228</x:v>
      </x:c>
      <x:c r="D26" s="8" t="s">
        <x:v>229</x:v>
      </x:c>
      <x:c r="E26" s="9" t="s">
        <x:v>59</x:v>
      </x:c>
      <x:c r="F26" s="9" t="s">
        <x:v>60</x:v>
      </x:c>
      <x:c r="G26" s="9" t="s">
        <x:v>61</x:v>
      </x:c>
      <x:c r="H26" s="9" t="s">
        <x:v>62</x:v>
      </x:c>
      <x:c r="I26" s="9" t="s">
        <x:v>63</x:v>
      </x:c>
      <x:c r="J26" s="9" t="s">
        <x:v>64</x:v>
      </x:c>
      <x:c r="K26" s="9" t="s">
        <x:v>65</x:v>
      </x:c>
      <x:c r="L26" s="9" t="s">
        <x:v>66</x:v>
      </x:c>
      <x:c r="M26" s="9" t="s">
        <x:v>182</x:v>
      </x:c>
      <x:c r="N26" s="8" t="s">
        <x:v>230</x:v>
      </x:c>
      <x:c r="O26" s="9" t="s">
        <x:v>231</x:v>
      </x:c>
      <x:c r="P26" s="9" t="s">
        <x:v>232</x:v>
      </x:c>
      <x:c r="Q26" s="9" t="s">
        <x:v>233</x:v>
      </x:c>
      <x:c r="R26" s="9" t="s">
        <x:v>72</x:v>
      </x:c>
      <x:c r="S26" s="9" t="s">
        <x:v>73</x:v>
      </x:c>
      <x:c r="T26" s="9" t="s">
        <x:v>74</x:v>
      </x:c>
      <x:c r="U26" s="9" t="s">
        <x:v>201</x:v>
      </x:c>
    </x:row>
    <x:row r="27" ht="42" hidden="0" customHeight="1">
      <x:c r="A27" s="9" t="s">
        <x:v>179</x:v>
      </x:c>
      <x:c r="B27" s="9" t="s">
        <x:v>234</x:v>
      </x:c>
      <x:c r="C27" s="9" t="s">
        <x:v>235</x:v>
      </x:c>
      <x:c r="D27" s="8" t="s">
        <x:v>229</x:v>
      </x:c>
      <x:c r="E27" s="9" t="s">
        <x:v>59</x:v>
      </x:c>
      <x:c r="F27" s="9" t="s">
        <x:v>60</x:v>
      </x:c>
      <x:c r="G27" s="9" t="s">
        <x:v>61</x:v>
      </x:c>
      <x:c r="H27" s="9" t="s">
        <x:v>62</x:v>
      </x:c>
      <x:c r="I27" s="9" t="s">
        <x:v>87</x:v>
      </x:c>
      <x:c r="J27" s="9" t="s">
        <x:v>64</x:v>
      </x:c>
      <x:c r="K27" s="9" t="s">
        <x:v>65</x:v>
      </x:c>
      <x:c r="L27" s="9" t="s">
        <x:v>66</x:v>
      </x:c>
      <x:c r="M27" s="9" t="s">
        <x:v>182</x:v>
      </x:c>
      <x:c r="N27" s="8" t="s">
        <x:v>236</x:v>
      </x:c>
      <x:c r="O27" s="9" t="s">
        <x:v>237</x:v>
      </x:c>
      <x:c r="P27" s="9" t="s">
        <x:v>238</x:v>
      </x:c>
      <x:c r="Q27" s="9" t="s">
        <x:v>239</x:v>
      </x:c>
      <x:c r="R27" s="9" t="s">
        <x:v>72</x:v>
      </x:c>
      <x:c r="S27" s="9" t="s">
        <x:v>73</x:v>
      </x:c>
      <x:c r="T27" s="9" t="s">
        <x:v>74</x:v>
      </x:c>
      <x:c r="U27" s="9" t="s">
        <x:v>240</x:v>
      </x:c>
    </x:row>
    <x:row r="28" ht="42" hidden="0" customHeight="1">
      <x:c r="A28" s="9" t="s">
        <x:v>179</x:v>
      </x:c>
      <x:c r="B28" s="9" t="s">
        <x:v>241</x:v>
      </x:c>
      <x:c r="C28" s="9" t="s">
        <x:v>242</x:v>
      </x:c>
      <x:c r="D28" s="8" t="s">
        <x:v>229</x:v>
      </x:c>
      <x:c r="E28" s="9" t="s">
        <x:v>59</x:v>
      </x:c>
      <x:c r="F28" s="9" t="s">
        <x:v>60</x:v>
      </x:c>
      <x:c r="G28" s="9" t="s">
        <x:v>61</x:v>
      </x:c>
      <x:c r="H28" s="9" t="s">
        <x:v>62</x:v>
      </x:c>
      <x:c r="I28" s="9" t="s">
        <x:v>63</x:v>
      </x:c>
      <x:c r="J28" s="9" t="s">
        <x:v>64</x:v>
      </x:c>
      <x:c r="K28" s="9" t="s">
        <x:v>65</x:v>
      </x:c>
      <x:c r="L28" s="9" t="s">
        <x:v>66</x:v>
      </x:c>
      <x:c r="M28" s="9" t="s">
        <x:v>182</x:v>
      </x:c>
      <x:c r="N28" s="8" t="s">
        <x:v>243</x:v>
      </x:c>
      <x:c r="O28" s="9" t="s">
        <x:v>244</x:v>
      </x:c>
      <x:c r="P28" s="9" t="s">
        <x:v>245</x:v>
      </x:c>
      <x:c r="Q28" s="9" t="s">
        <x:v>246</x:v>
      </x:c>
      <x:c r="R28" s="9" t="s">
        <x:v>72</x:v>
      </x:c>
      <x:c r="S28" s="9" t="s">
        <x:v>73</x:v>
      </x:c>
      <x:c r="T28" s="9" t="s">
        <x:v>74</x:v>
      </x:c>
      <x:c r="U28" s="9" t="s">
        <x:v>201</x:v>
      </x:c>
    </x:row>
    <x:row r="29" ht="42" hidden="0" customHeight="1">
      <x:c r="A29" s="9" t="s">
        <x:v>179</x:v>
      </x:c>
      <x:c r="B29" s="9" t="s">
        <x:v>247</x:v>
      </x:c>
      <x:c r="C29" s="9" t="s">
        <x:v>248</x:v>
      </x:c>
      <x:c r="D29" s="8" t="s">
        <x:v>229</x:v>
      </x:c>
      <x:c r="E29" s="9" t="s">
        <x:v>59</x:v>
      </x:c>
      <x:c r="F29" s="9" t="s">
        <x:v>60</x:v>
      </x:c>
      <x:c r="G29" s="9" t="s">
        <x:v>61</x:v>
      </x:c>
      <x:c r="H29" s="9" t="s">
        <x:v>62</x:v>
      </x:c>
      <x:c r="I29" s="9" t="s">
        <x:v>87</x:v>
      </x:c>
      <x:c r="J29" s="9" t="s">
        <x:v>64</x:v>
      </x:c>
      <x:c r="K29" s="9" t="s">
        <x:v>65</x:v>
      </x:c>
      <x:c r="L29" s="9" t="s">
        <x:v>66</x:v>
      </x:c>
      <x:c r="M29" s="9" t="s">
        <x:v>182</x:v>
      </x:c>
      <x:c r="N29" s="8" t="s">
        <x:v>249</x:v>
      </x:c>
      <x:c r="O29" s="9" t="s">
        <x:v>250</x:v>
      </x:c>
      <x:c r="P29" s="9" t="s">
        <x:v>251</x:v>
      </x:c>
      <x:c r="Q29" s="9" t="s">
        <x:v>252</x:v>
      </x:c>
      <x:c r="R29" s="9" t="s">
        <x:v>72</x:v>
      </x:c>
      <x:c r="S29" s="9" t="s">
        <x:v>73</x:v>
      </x:c>
      <x:c r="T29" s="9" t="s">
        <x:v>74</x:v>
      </x:c>
      <x:c r="U29" s="9" t="s">
        <x:v>240</x:v>
      </x:c>
    </x:row>
    <x:row r="30" ht="42" hidden="0" customHeight="1">
      <x:c r="A30" s="9" t="s">
        <x:v>179</x:v>
      </x:c>
      <x:c r="B30" s="9" t="s">
        <x:v>253</x:v>
      </x:c>
      <x:c r="C30" s="9" t="s">
        <x:v>254</x:v>
      </x:c>
      <x:c r="D30" s="8" t="s">
        <x:v>229</x:v>
      </x:c>
      <x:c r="E30" s="9" t="s">
        <x:v>59</x:v>
      </x:c>
      <x:c r="F30" s="9" t="s">
        <x:v>60</x:v>
      </x:c>
      <x:c r="G30" s="9" t="s">
        <x:v>61</x:v>
      </x:c>
      <x:c r="H30" s="9" t="s">
        <x:v>62</x:v>
      </x:c>
      <x:c r="I30" s="9" t="s">
        <x:v>87</x:v>
      </x:c>
      <x:c r="J30" s="9" t="s">
        <x:v>64</x:v>
      </x:c>
      <x:c r="K30" s="9" t="s">
        <x:v>65</x:v>
      </x:c>
      <x:c r="L30" s="9" t="s">
        <x:v>66</x:v>
      </x:c>
      <x:c r="M30" s="9" t="s">
        <x:v>182</x:v>
      </x:c>
      <x:c r="N30" s="8" t="s">
        <x:v>255</x:v>
      </x:c>
      <x:c r="O30" s="9" t="s">
        <x:v>256</x:v>
      </x:c>
      <x:c r="P30" s="9" t="s">
        <x:v>257</x:v>
      </x:c>
      <x:c r="Q30" s="9" t="s">
        <x:v>258</x:v>
      </x:c>
      <x:c r="R30" s="9" t="s">
        <x:v>72</x:v>
      </x:c>
      <x:c r="S30" s="9" t="s">
        <x:v>73</x:v>
      </x:c>
      <x:c r="T30" s="9" t="s">
        <x:v>74</x:v>
      </x:c>
      <x:c r="U30" s="9" t="s">
        <x:v>240</x:v>
      </x:c>
    </x:row>
    <x:row r="31" ht="42" hidden="0" customHeight="1">
      <x:c r="A31" s="9" t="s">
        <x:v>179</x:v>
      </x:c>
      <x:c r="B31" s="9" t="s">
        <x:v>259</x:v>
      </x:c>
      <x:c r="C31" s="9" t="s">
        <x:v>260</x:v>
      </x:c>
      <x:c r="D31" s="8" t="s">
        <x:v>135</x:v>
      </x:c>
      <x:c r="E31" s="9" t="s">
        <x:v>97</x:v>
      </x:c>
      <x:c r="F31" s="9" t="s">
        <x:v>60</x:v>
      </x:c>
      <x:c r="G31" s="9" t="s">
        <x:v>61</x:v>
      </x:c>
      <x:c r="H31" s="9" t="s">
        <x:v>62</x:v>
      </x:c>
      <x:c r="I31" s="9" t="s">
        <x:v>87</x:v>
      </x:c>
      <x:c r="J31" s="9" t="s">
        <x:v>64</x:v>
      </x:c>
      <x:c r="K31" s="9" t="s">
        <x:v>98</x:v>
      </x:c>
      <x:c r="L31" s="9" t="s">
        <x:v>66</x:v>
      </x:c>
      <x:c r="M31" s="9" t="s">
        <x:v>182</x:v>
      </x:c>
      <x:c r="N31" s="8" t="s">
        <x:v>261</x:v>
      </x:c>
      <x:c r="O31" s="9" t="s">
        <x:v>262</x:v>
      </x:c>
      <x:c r="P31" s="9" t="s">
        <x:v>263</x:v>
      </x:c>
      <x:c r="Q31" s="9" t="s">
        <x:v>264</x:v>
      </x:c>
      <x:c r="R31" s="9" t="s">
        <x:v>72</x:v>
      </x:c>
      <x:c r="S31" s="9" t="s">
        <x:v>73</x:v>
      </x:c>
      <x:c r="T31" s="9" t="s">
        <x:v>74</x:v>
      </x:c>
      <x:c r="U31" s="9" t="s">
        <x:v>201</x:v>
      </x:c>
    </x:row>
    <x:row r="32" ht="42" hidden="0" customHeight="1">
      <x:c r="A32" s="9" t="s">
        <x:v>179</x:v>
      </x:c>
      <x:c r="B32" s="9" t="s">
        <x:v>265</x:v>
      </x:c>
      <x:c r="C32" s="9" t="s">
        <x:v>266</x:v>
      </x:c>
      <x:c r="D32" s="8" t="s">
        <x:v>135</x:v>
      </x:c>
      <x:c r="E32" s="9" t="s">
        <x:v>97</x:v>
      </x:c>
      <x:c r="F32" s="9" t="s">
        <x:v>60</x:v>
      </x:c>
      <x:c r="G32" s="9" t="s">
        <x:v>61</x:v>
      </x:c>
      <x:c r="H32" s="9" t="s">
        <x:v>62</x:v>
      </x:c>
      <x:c r="I32" s="9" t="s">
        <x:v>87</x:v>
      </x:c>
      <x:c r="J32" s="9" t="s">
        <x:v>64</x:v>
      </x:c>
      <x:c r="K32" s="9" t="s">
        <x:v>98</x:v>
      </x:c>
      <x:c r="L32" s="9" t="s">
        <x:v>66</x:v>
      </x:c>
      <x:c r="M32" s="9" t="s">
        <x:v>182</x:v>
      </x:c>
      <x:c r="N32" s="8" t="s">
        <x:v>267</x:v>
      </x:c>
      <x:c r="O32" s="9" t="s">
        <x:v>268</x:v>
      </x:c>
      <x:c r="P32" s="9" t="s">
        <x:v>269</x:v>
      </x:c>
      <x:c r="Q32" s="9" t="s">
        <x:v>270</x:v>
      </x:c>
      <x:c r="R32" s="9" t="s">
        <x:v>72</x:v>
      </x:c>
      <x:c r="S32" s="9" t="s">
        <x:v>73</x:v>
      </x:c>
      <x:c r="T32" s="9" t="s">
        <x:v>74</x:v>
      </x:c>
      <x:c r="U32" s="9" t="s">
        <x:v>201</x:v>
      </x:c>
    </x:row>
    <x:row r="33" ht="42" hidden="0" customHeight="1">
      <x:c r="A33" s="9" t="s">
        <x:v>179</x:v>
      </x:c>
      <x:c r="B33" s="9" t="s">
        <x:v>271</x:v>
      </x:c>
      <x:c r="C33" s="9" t="s">
        <x:v>272</x:v>
      </x:c>
      <x:c r="D33" s="8" t="s">
        <x:v>273</x:v>
      </x:c>
      <x:c r="E33" s="9" t="s">
        <x:v>155</x:v>
      </x:c>
      <x:c r="F33" s="9" t="s">
        <x:v>60</x:v>
      </x:c>
      <x:c r="G33" s="9" t="s">
        <x:v>61</x:v>
      </x:c>
      <x:c r="H33" s="9" t="s">
        <x:v>62</x:v>
      </x:c>
      <x:c r="I33" s="9" t="s">
        <x:v>63</x:v>
      </x:c>
      <x:c r="J33" s="9" t="s">
        <x:v>64</x:v>
      </x:c>
      <x:c r="K33" s="9" t="s">
        <x:v>156</x:v>
      </x:c>
      <x:c r="L33" s="9" t="s">
        <x:v>66</x:v>
      </x:c>
      <x:c r="M33" s="9" t="s">
        <x:v>182</x:v>
      </x:c>
      <x:c r="N33" s="8" t="s">
        <x:v>274</x:v>
      </x:c>
      <x:c r="O33" s="9" t="s">
        <x:v>275</x:v>
      </x:c>
      <x:c r="P33" s="9" t="s">
        <x:v>276</x:v>
      </x:c>
      <x:c r="Q33" s="9" t="s">
        <x:v>277</x:v>
      </x:c>
      <x:c r="R33" s="9" t="s">
        <x:v>72</x:v>
      </x:c>
      <x:c r="S33" s="9" t="s">
        <x:v>73</x:v>
      </x:c>
      <x:c r="T33" s="9" t="s">
        <x:v>74</x:v>
      </x:c>
      <x:c r="U33" s="9" t="s">
        <x:v>201</x:v>
      </x:c>
    </x:row>
    <x:row r="34" ht="42" hidden="0" customHeight="1">
      <x:c r="A34" s="9" t="s">
        <x:v>179</x:v>
      </x:c>
      <x:c r="B34" s="9" t="s">
        <x:v>278</x:v>
      </x:c>
      <x:c r="C34" s="9" t="s">
        <x:v>279</x:v>
      </x:c>
      <x:c r="D34" s="8" t="s">
        <x:v>135</x:v>
      </x:c>
      <x:c r="E34" s="9" t="s">
        <x:v>97</x:v>
      </x:c>
      <x:c r="F34" s="9" t="s">
        <x:v>60</x:v>
      </x:c>
      <x:c r="G34" s="9" t="s">
        <x:v>61</x:v>
      </x:c>
      <x:c r="H34" s="9" t="s">
        <x:v>62</x:v>
      </x:c>
      <x:c r="I34" s="9" t="s">
        <x:v>63</x:v>
      </x:c>
      <x:c r="J34" s="9" t="s">
        <x:v>64</x:v>
      </x:c>
      <x:c r="K34" s="9" t="s">
        <x:v>98</x:v>
      </x:c>
      <x:c r="L34" s="9" t="s">
        <x:v>66</x:v>
      </x:c>
      <x:c r="M34" s="9" t="s">
        <x:v>182</x:v>
      </x:c>
      <x:c r="N34" s="8" t="s">
        <x:v>280</x:v>
      </x:c>
      <x:c r="O34" s="9" t="s">
        <x:v>281</x:v>
      </x:c>
      <x:c r="P34" s="9" t="s">
        <x:v>282</x:v>
      </x:c>
      <x:c r="Q34" s="9" t="s">
        <x:v>283</x:v>
      </x:c>
      <x:c r="R34" s="9" t="s">
        <x:v>72</x:v>
      </x:c>
      <x:c r="S34" s="9" t="s">
        <x:v>73</x:v>
      </x:c>
      <x:c r="T34" s="9" t="s">
        <x:v>74</x:v>
      </x:c>
      <x:c r="U34" s="9" t="s">
        <x:v>75</x:v>
      </x:c>
    </x:row>
    <x:row r="35" ht="42" hidden="0" customHeight="1">
      <x:c r="A35" s="9" t="s">
        <x:v>179</x:v>
      </x:c>
      <x:c r="B35" s="9" t="s">
        <x:v>284</x:v>
      </x:c>
      <x:c r="C35" s="9" t="s">
        <x:v>285</x:v>
      </x:c>
      <x:c r="D35" s="8" t="s">
        <x:v>135</x:v>
      </x:c>
      <x:c r="E35" s="9" t="s">
        <x:v>97</x:v>
      </x:c>
      <x:c r="F35" s="9" t="s">
        <x:v>60</x:v>
      </x:c>
      <x:c r="G35" s="9" t="s">
        <x:v>61</x:v>
      </x:c>
      <x:c r="H35" s="9" t="s">
        <x:v>62</x:v>
      </x:c>
      <x:c r="I35" s="9" t="s">
        <x:v>63</x:v>
      </x:c>
      <x:c r="J35" s="9" t="s">
        <x:v>64</x:v>
      </x:c>
      <x:c r="K35" s="9" t="s">
        <x:v>98</x:v>
      </x:c>
      <x:c r="L35" s="9" t="s">
        <x:v>66</x:v>
      </x:c>
      <x:c r="M35" s="9" t="s">
        <x:v>182</x:v>
      </x:c>
      <x:c r="N35" s="8" t="s">
        <x:v>286</x:v>
      </x:c>
      <x:c r="O35" s="9" t="s">
        <x:v>287</x:v>
      </x:c>
      <x:c r="P35" s="9" t="s">
        <x:v>288</x:v>
      </x:c>
      <x:c r="Q35" s="9" t="s">
        <x:v>289</x:v>
      </x:c>
      <x:c r="R35" s="9" t="s">
        <x:v>72</x:v>
      </x:c>
      <x:c r="S35" s="9" t="s">
        <x:v>73</x:v>
      </x:c>
      <x:c r="T35" s="9" t="s">
        <x:v>74</x:v>
      </x:c>
      <x:c r="U35" s="9" t="s">
        <x:v>201</x:v>
      </x:c>
    </x:row>
    <x:row r="36" ht="42" hidden="0" customHeight="1">
      <x:c r="A36" s="9" t="s">
        <x:v>179</x:v>
      </x:c>
      <x:c r="B36" s="9" t="s">
        <x:v>290</x:v>
      </x:c>
      <x:c r="C36" s="9" t="s">
        <x:v>291</x:v>
      </x:c>
      <x:c r="D36" s="8" t="s">
        <x:v>135</x:v>
      </x:c>
      <x:c r="E36" s="9" t="s">
        <x:v>97</x:v>
      </x:c>
      <x:c r="F36" s="9" t="s">
        <x:v>60</x:v>
      </x:c>
      <x:c r="G36" s="9" t="s">
        <x:v>61</x:v>
      </x:c>
      <x:c r="H36" s="9" t="s">
        <x:v>62</x:v>
      </x:c>
      <x:c r="I36" s="9" t="s">
        <x:v>63</x:v>
      </x:c>
      <x:c r="J36" s="9" t="s">
        <x:v>64</x:v>
      </x:c>
      <x:c r="K36" s="9" t="s">
        <x:v>98</x:v>
      </x:c>
      <x:c r="L36" s="9" t="s">
        <x:v>66</x:v>
      </x:c>
      <x:c r="M36" s="9" t="s">
        <x:v>182</x:v>
      </x:c>
      <x:c r="N36" s="8" t="s">
        <x:v>292</x:v>
      </x:c>
      <x:c r="O36" s="9" t="s">
        <x:v>293</x:v>
      </x:c>
      <x:c r="P36" s="9" t="s">
        <x:v>294</x:v>
      </x:c>
      <x:c r="Q36" s="9" t="s">
        <x:v>295</x:v>
      </x:c>
      <x:c r="R36" s="9" t="s">
        <x:v>72</x:v>
      </x:c>
      <x:c r="S36" s="9" t="s">
        <x:v>73</x:v>
      </x:c>
      <x:c r="T36" s="9" t="s">
        <x:v>74</x:v>
      </x:c>
      <x:c r="U36" s="9" t="s">
        <x:v>201</x:v>
      </x:c>
    </x:row>
    <x:row r="37" ht="42" hidden="0" customHeight="1">
      <x:c r="A37" s="9" t="s">
        <x:v>179</x:v>
      </x:c>
      <x:c r="B37" s="9" t="s">
        <x:v>296</x:v>
      </x:c>
      <x:c r="C37" s="9" t="s">
        <x:v>297</x:v>
      </x:c>
      <x:c r="D37" s="8" t="s">
        <x:v>135</x:v>
      </x:c>
      <x:c r="E37" s="9" t="s">
        <x:v>97</x:v>
      </x:c>
      <x:c r="F37" s="9" t="s">
        <x:v>60</x:v>
      </x:c>
      <x:c r="G37" s="9" t="s">
        <x:v>61</x:v>
      </x:c>
      <x:c r="H37" s="9" t="s">
        <x:v>62</x:v>
      </x:c>
      <x:c r="I37" s="9" t="s">
        <x:v>63</x:v>
      </x:c>
      <x:c r="J37" s="9" t="s">
        <x:v>64</x:v>
      </x:c>
      <x:c r="K37" s="9" t="s">
        <x:v>98</x:v>
      </x:c>
      <x:c r="L37" s="9" t="s">
        <x:v>66</x:v>
      </x:c>
      <x:c r="M37" s="9" t="s">
        <x:v>182</x:v>
      </x:c>
      <x:c r="N37" s="8" t="s">
        <x:v>298</x:v>
      </x:c>
      <x:c r="O37" s="9" t="s">
        <x:v>299</x:v>
      </x:c>
      <x:c r="P37" s="9" t="s">
        <x:v>300</x:v>
      </x:c>
      <x:c r="Q37" s="9" t="s">
        <x:v>301</x:v>
      </x:c>
      <x:c r="R37" s="9" t="s">
        <x:v>72</x:v>
      </x:c>
      <x:c r="S37" s="9" t="s">
        <x:v>73</x:v>
      </x:c>
      <x:c r="T37" s="9" t="s">
        <x:v>74</x:v>
      </x:c>
      <x:c r="U37" s="9" t="s">
        <x:v>201</x:v>
      </x:c>
    </x:row>
    <x:row r="38" ht="42" hidden="0" customHeight="1">
      <x:c r="A38" s="9" t="s">
        <x:v>179</x:v>
      </x:c>
      <x:c r="B38" s="9" t="s">
        <x:v>302</x:v>
      </x:c>
      <x:c r="C38" s="9" t="s">
        <x:v>303</x:v>
      </x:c>
      <x:c r="D38" s="8" t="s">
        <x:v>304</x:v>
      </x:c>
      <x:c r="E38" s="9" t="s">
        <x:v>59</x:v>
      </x:c>
      <x:c r="F38" s="9" t="s">
        <x:v>60</x:v>
      </x:c>
      <x:c r="G38" s="9" t="s">
        <x:v>61</x:v>
      </x:c>
      <x:c r="H38" s="9" t="s">
        <x:v>62</x:v>
      </x:c>
      <x:c r="I38" s="9" t="s">
        <x:v>63</x:v>
      </x:c>
      <x:c r="J38" s="9" t="s">
        <x:v>64</x:v>
      </x:c>
      <x:c r="K38" s="9" t="s">
        <x:v>65</x:v>
      </x:c>
      <x:c r="L38" s="9" t="s">
        <x:v>66</x:v>
      </x:c>
      <x:c r="M38" s="9" t="s">
        <x:v>182</x:v>
      </x:c>
      <x:c r="N38" s="8" t="s">
        <x:v>305</x:v>
      </x:c>
      <x:c r="O38" s="9" t="s">
        <x:v>306</x:v>
      </x:c>
      <x:c r="P38" s="9" t="s">
        <x:v>307</x:v>
      </x:c>
      <x:c r="Q38" s="9" t="s">
        <x:v>308</x:v>
      </x:c>
      <x:c r="R38" s="9" t="s">
        <x:v>72</x:v>
      </x:c>
      <x:c r="S38" s="9" t="s">
        <x:v>73</x:v>
      </x:c>
      <x:c r="T38" s="9" t="s">
        <x:v>74</x:v>
      </x:c>
      <x:c r="U38" s="9" t="s">
        <x:v>201</x:v>
      </x:c>
    </x:row>
    <x:row r="39" ht="42" hidden="0" customHeight="1">
      <x:c r="A39" s="9" t="s">
        <x:v>179</x:v>
      </x:c>
      <x:c r="B39" s="9" t="s">
        <x:v>309</x:v>
      </x:c>
      <x:c r="C39" s="9" t="s">
        <x:v>310</x:v>
      </x:c>
      <x:c r="D39" s="8" t="s">
        <x:v>311</x:v>
      </x:c>
      <x:c r="E39" s="9" t="s">
        <x:v>86</x:v>
      </x:c>
      <x:c r="F39" s="9" t="s">
        <x:v>60</x:v>
      </x:c>
      <x:c r="G39" s="9" t="s">
        <x:v>61</x:v>
      </x:c>
      <x:c r="H39" s="9" t="s">
        <x:v>62</x:v>
      </x:c>
      <x:c r="I39" s="9" t="s">
        <x:v>87</x:v>
      </x:c>
      <x:c r="J39" s="9" t="s">
        <x:v>64</x:v>
      </x:c>
      <x:c r="K39" s="9" t="s">
        <x:v>88</x:v>
      </x:c>
      <x:c r="L39" s="9" t="s">
        <x:v>89</x:v>
      </x:c>
      <x:c r="M39" s="9" t="s">
        <x:v>182</x:v>
      </x:c>
      <x:c r="N39" s="8" t="s">
        <x:v>312</x:v>
      </x:c>
      <x:c r="O39" s="9" t="s">
        <x:v>313</x:v>
      </x:c>
      <x:c r="P39" s="9" t="s">
        <x:v>314</x:v>
      </x:c>
      <x:c r="Q39" s="9" t="s">
        <x:v>315</x:v>
      </x:c>
      <x:c r="R39" s="9" t="s">
        <x:v>72</x:v>
      </x:c>
      <x:c r="S39" s="9" t="s">
        <x:v>73</x:v>
      </x:c>
      <x:c r="T39" s="9" t="s">
        <x:v>74</x:v>
      </x:c>
      <x:c r="U39" s="9" t="s">
        <x:v>140</x:v>
      </x:c>
    </x:row>
    <x:row r="40" ht="42" hidden="0" customHeight="1">
      <x:c r="A40" s="9" t="s">
        <x:v>179</x:v>
      </x:c>
      <x:c r="B40" s="9" t="s">
        <x:v>316</x:v>
      </x:c>
      <x:c r="C40" s="9" t="s">
        <x:v>317</x:v>
      </x:c>
      <x:c r="D40" s="8" t="s">
        <x:v>311</x:v>
      </x:c>
      <x:c r="E40" s="9" t="s">
        <x:v>86</x:v>
      </x:c>
      <x:c r="F40" s="9" t="s">
        <x:v>60</x:v>
      </x:c>
      <x:c r="G40" s="9" t="s">
        <x:v>61</x:v>
      </x:c>
      <x:c r="H40" s="9" t="s">
        <x:v>62</x:v>
      </x:c>
      <x:c r="I40" s="9" t="s">
        <x:v>87</x:v>
      </x:c>
      <x:c r="J40" s="9" t="s">
        <x:v>64</x:v>
      </x:c>
      <x:c r="K40" s="9" t="s">
        <x:v>88</x:v>
      </x:c>
      <x:c r="L40" s="9" t="s">
        <x:v>89</x:v>
      </x:c>
      <x:c r="M40" s="9" t="s">
        <x:v>182</x:v>
      </x:c>
      <x:c r="N40" s="8" t="s">
        <x:v>318</x:v>
      </x:c>
      <x:c r="O40" s="9" t="s">
        <x:v>319</x:v>
      </x:c>
      <x:c r="P40" s="9" t="s">
        <x:v>320</x:v>
      </x:c>
      <x:c r="Q40" s="9" t="s">
        <x:v>321</x:v>
      </x:c>
      <x:c r="R40" s="9" t="s">
        <x:v>72</x:v>
      </x:c>
      <x:c r="S40" s="9" t="s">
        <x:v>73</x:v>
      </x:c>
      <x:c r="T40" s="9" t="s">
        <x:v>74</x:v>
      </x:c>
      <x:c r="U40" s="9" t="s">
        <x:v>140</x:v>
      </x:c>
    </x:row>
    <x:row r="41" ht="42" hidden="0" customHeight="1">
      <x:c r="A41" s="9" t="s">
        <x:v>179</x:v>
      </x:c>
      <x:c r="B41" s="9" t="s">
        <x:v>76</x:v>
      </x:c>
      <x:c r="C41" s="9" t="s">
        <x:v>322</x:v>
      </x:c>
      <x:c r="D41" s="8" t="s">
        <x:v>78</x:v>
      </x:c>
      <x:c r="E41" s="9" t="s">
        <x:v>59</x:v>
      </x:c>
      <x:c r="F41" s="9" t="s">
        <x:v>60</x:v>
      </x:c>
      <x:c r="G41" s="9" t="s">
        <x:v>61</x:v>
      </x:c>
      <x:c r="H41" s="9" t="s">
        <x:v>62</x:v>
      </x:c>
      <x:c r="I41" s="9" t="s">
        <x:v>63</x:v>
      </x:c>
      <x:c r="J41" s="9" t="s">
        <x:v>64</x:v>
      </x:c>
      <x:c r="K41" s="9" t="s">
        <x:v>65</x:v>
      </x:c>
      <x:c r="L41" s="9" t="s">
        <x:v>66</x:v>
      </x:c>
      <x:c r="M41" s="9" t="s">
        <x:v>182</x:v>
      </x:c>
      <x:c r="N41" s="8" t="s">
        <x:v>323</x:v>
      </x:c>
      <x:c r="O41" s="9" t="s">
        <x:v>324</x:v>
      </x:c>
      <x:c r="P41" s="9" t="s">
        <x:v>325</x:v>
      </x:c>
      <x:c r="Q41" s="9" t="s">
        <x:v>326</x:v>
      </x:c>
      <x:c r="R41" s="9" t="s">
        <x:v>72</x:v>
      </x:c>
      <x:c r="S41" s="9" t="s">
        <x:v>73</x:v>
      </x:c>
      <x:c r="T41" s="9" t="s">
        <x:v>74</x:v>
      </x:c>
      <x:c r="U41" s="9" t="s">
        <x:v>75</x:v>
      </x:c>
    </x:row>
    <x:row r="42" ht="42" hidden="0" customHeight="1">
      <x:c r="A42" s="9" t="s">
        <x:v>179</x:v>
      </x:c>
      <x:c r="B42" s="9" t="s">
        <x:v>83</x:v>
      </x:c>
      <x:c r="C42" s="9" t="s">
        <x:v>327</x:v>
      </x:c>
      <x:c r="D42" s="9" t="s">
        <x:v>85</x:v>
      </x:c>
      <x:c r="E42" s="9" t="s">
        <x:v>86</x:v>
      </x:c>
      <x:c r="F42" s="9" t="s">
        <x:v>60</x:v>
      </x:c>
      <x:c r="G42" s="9" t="s">
        <x:v>61</x:v>
      </x:c>
      <x:c r="H42" s="9" t="s">
        <x:v>62</x:v>
      </x:c>
      <x:c r="I42" s="9" t="s">
        <x:v>87</x:v>
      </x:c>
      <x:c r="J42" s="9" t="s">
        <x:v>64</x:v>
      </x:c>
      <x:c r="K42" s="9" t="s">
        <x:v>88</x:v>
      </x:c>
      <x:c r="L42" s="9" t="s">
        <x:v>89</x:v>
      </x:c>
      <x:c r="M42" s="9" t="s">
        <x:v>182</x:v>
      </x:c>
      <x:c r="N42" s="8" t="s">
        <x:v>328</x:v>
      </x:c>
      <x:c r="O42" s="9" t="s">
        <x:v>329</x:v>
      </x:c>
      <x:c r="P42" s="9" t="s">
        <x:v>330</x:v>
      </x:c>
      <x:c r="Q42" s="9" t="s">
        <x:v>331</x:v>
      </x:c>
      <x:c r="R42" s="9" t="s">
        <x:v>72</x:v>
      </x:c>
      <x:c r="S42" s="9" t="s">
        <x:v>73</x:v>
      </x:c>
      <x:c r="T42" s="9" t="s">
        <x:v>74</x:v>
      </x:c>
      <x:c r="U42" s="9" t="s">
        <x:v>140</x:v>
      </x:c>
    </x:row>
    <x:row r="43" ht="42" hidden="0" customHeight="1">
      <x:c r="A43" s="9" t="s">
        <x:v>179</x:v>
      </x:c>
      <x:c r="B43" s="9" t="s">
        <x:v>95</x:v>
      </x:c>
      <x:c r="C43" s="9" t="s">
        <x:v>332</x:v>
      </x:c>
      <x:c r="D43" s="9" t="s">
        <x:v>85</x:v>
      </x:c>
      <x:c r="E43" s="9" t="s">
        <x:v>97</x:v>
      </x:c>
      <x:c r="F43" s="9" t="s">
        <x:v>60</x:v>
      </x:c>
      <x:c r="G43" s="9" t="s">
        <x:v>61</x:v>
      </x:c>
      <x:c r="H43" s="9" t="s">
        <x:v>62</x:v>
      </x:c>
      <x:c r="I43" s="9" t="s">
        <x:v>87</x:v>
      </x:c>
      <x:c r="J43" s="9" t="s">
        <x:v>64</x:v>
      </x:c>
      <x:c r="K43" s="9" t="s">
        <x:v>98</x:v>
      </x:c>
      <x:c r="L43" s="9" t="s">
        <x:v>66</x:v>
      </x:c>
      <x:c r="M43" s="9" t="s">
        <x:v>182</x:v>
      </x:c>
      <x:c r="N43" s="8" t="s">
        <x:v>333</x:v>
      </x:c>
      <x:c r="O43" s="9" t="s">
        <x:v>334</x:v>
      </x:c>
      <x:c r="P43" s="9" t="s">
        <x:v>335</x:v>
      </x:c>
      <x:c r="Q43" s="9" t="s">
        <x:v>336</x:v>
      </x:c>
      <x:c r="R43" s="9" t="s">
        <x:v>72</x:v>
      </x:c>
      <x:c r="S43" s="9" t="s">
        <x:v>73</x:v>
      </x:c>
      <x:c r="T43" s="9" t="s">
        <x:v>74</x:v>
      </x:c>
      <x:c r="U43" s="9" t="s">
        <x:v>103</x:v>
      </x:c>
    </x:row>
    <x:row r="44" ht="42" hidden="0" customHeight="1">
      <x:c r="A44" s="9" t="s">
        <x:v>179</x:v>
      </x:c>
      <x:c r="B44" s="9" t="s">
        <x:v>104</x:v>
      </x:c>
      <x:c r="C44" s="9" t="s">
        <x:v>337</x:v>
      </x:c>
      <x:c r="D44" s="8" t="s">
        <x:v>106</x:v>
      </x:c>
      <x:c r="E44" s="9" t="s">
        <x:v>97</x:v>
      </x:c>
      <x:c r="F44" s="9" t="s">
        <x:v>60</x:v>
      </x:c>
      <x:c r="G44" s="9" t="s">
        <x:v>61</x:v>
      </x:c>
      <x:c r="H44" s="9" t="s">
        <x:v>62</x:v>
      </x:c>
      <x:c r="I44" s="9" t="s">
        <x:v>63</x:v>
      </x:c>
      <x:c r="J44" s="9" t="s">
        <x:v>64</x:v>
      </x:c>
      <x:c r="K44" s="9" t="s">
        <x:v>98</x:v>
      </x:c>
      <x:c r="L44" s="9" t="s">
        <x:v>66</x:v>
      </x:c>
      <x:c r="M44" s="9" t="s">
        <x:v>182</x:v>
      </x:c>
      <x:c r="N44" s="8" t="s">
        <x:v>338</x:v>
      </x:c>
      <x:c r="O44" s="9" t="s">
        <x:v>339</x:v>
      </x:c>
      <x:c r="P44" s="9" t="s">
        <x:v>340</x:v>
      </x:c>
      <x:c r="Q44" s="9" t="s">
        <x:v>341</x:v>
      </x:c>
      <x:c r="R44" s="9" t="s">
        <x:v>72</x:v>
      </x:c>
      <x:c r="S44" s="9" t="s">
        <x:v>73</x:v>
      </x:c>
      <x:c r="T44" s="9" t="s">
        <x:v>74</x:v>
      </x:c>
      <x:c r="U44" s="9" t="s">
        <x:v>75</x:v>
      </x:c>
    </x:row>
    <x:row r="45" ht="42" hidden="0" customHeight="1">
      <x:c r="A45" s="9" t="s">
        <x:v>179</x:v>
      </x:c>
      <x:c r="B45" s="9" t="s">
        <x:v>111</x:v>
      </x:c>
      <x:c r="C45" s="9" t="s">
        <x:v>342</x:v>
      </x:c>
      <x:c r="D45" s="8" t="s">
        <x:v>106</x:v>
      </x:c>
      <x:c r="E45" s="9" t="s">
        <x:v>97</x:v>
      </x:c>
      <x:c r="F45" s="9" t="s">
        <x:v>60</x:v>
      </x:c>
      <x:c r="G45" s="9" t="s">
        <x:v>61</x:v>
      </x:c>
      <x:c r="H45" s="9" t="s">
        <x:v>62</x:v>
      </x:c>
      <x:c r="I45" s="9" t="s">
        <x:v>87</x:v>
      </x:c>
      <x:c r="J45" s="9" t="s">
        <x:v>64</x:v>
      </x:c>
      <x:c r="K45" s="9" t="s">
        <x:v>98</x:v>
      </x:c>
      <x:c r="L45" s="9" t="s">
        <x:v>66</x:v>
      </x:c>
      <x:c r="M45" s="9" t="s">
        <x:v>182</x:v>
      </x:c>
      <x:c r="N45" s="8" t="s">
        <x:v>343</x:v>
      </x:c>
      <x:c r="O45" s="9" t="s">
        <x:v>344</x:v>
      </x:c>
      <x:c r="P45" s="9" t="s">
        <x:v>345</x:v>
      </x:c>
      <x:c r="Q45" s="9" t="s">
        <x:v>346</x:v>
      </x:c>
      <x:c r="R45" s="9" t="s">
        <x:v>72</x:v>
      </x:c>
      <x:c r="S45" s="9" t="s">
        <x:v>73</x:v>
      </x:c>
      <x:c r="T45" s="9" t="s">
        <x:v>74</x:v>
      </x:c>
      <x:c r="U45" s="9" t="s">
        <x:v>117</x:v>
      </x:c>
    </x:row>
    <x:row r="46" ht="42" hidden="0" customHeight="1">
      <x:c r="A46" s="9" t="s">
        <x:v>179</x:v>
      </x:c>
      <x:c r="B46" s="9" t="s">
        <x:v>118</x:v>
      </x:c>
      <x:c r="C46" s="9" t="s">
        <x:v>347</x:v>
      </x:c>
      <x:c r="D46" s="8" t="s">
        <x:v>120</x:v>
      </x:c>
      <x:c r="E46" s="9" t="s">
        <x:v>86</x:v>
      </x:c>
      <x:c r="F46" s="9" t="s">
        <x:v>60</x:v>
      </x:c>
      <x:c r="G46" s="9" t="s">
        <x:v>61</x:v>
      </x:c>
      <x:c r="H46" s="9" t="s">
        <x:v>62</x:v>
      </x:c>
      <x:c r="I46" s="9" t="s">
        <x:v>87</x:v>
      </x:c>
      <x:c r="J46" s="9" t="s">
        <x:v>64</x:v>
      </x:c>
      <x:c r="K46" s="9" t="s">
        <x:v>88</x:v>
      </x:c>
      <x:c r="L46" s="9" t="s">
        <x:v>89</x:v>
      </x:c>
      <x:c r="M46" s="9" t="s">
        <x:v>182</x:v>
      </x:c>
      <x:c r="N46" s="8" t="s">
        <x:v>348</x:v>
      </x:c>
      <x:c r="O46" s="9" t="s">
        <x:v>349</x:v>
      </x:c>
      <x:c r="P46" s="9" t="s">
        <x:v>350</x:v>
      </x:c>
      <x:c r="Q46" s="9" t="s">
        <x:v>351</x:v>
      </x:c>
      <x:c r="R46" s="9" t="s">
        <x:v>72</x:v>
      </x:c>
      <x:c r="S46" s="9" t="s">
        <x:v>73</x:v>
      </x:c>
      <x:c r="T46" s="9" t="s">
        <x:v>74</x:v>
      </x:c>
      <x:c r="U46" s="9" t="s">
        <x:v>140</x:v>
      </x:c>
    </x:row>
    <x:row r="47" ht="42" hidden="0" customHeight="1">
      <x:c r="A47" s="9" t="s">
        <x:v>179</x:v>
      </x:c>
      <x:c r="B47" s="9" t="s">
        <x:v>127</x:v>
      </x:c>
      <x:c r="C47" s="9" t="s">
        <x:v>352</x:v>
      </x:c>
      <x:c r="D47" s="8" t="s">
        <x:v>120</x:v>
      </x:c>
      <x:c r="E47" s="9" t="s">
        <x:v>97</x:v>
      </x:c>
      <x:c r="F47" s="9" t="s">
        <x:v>60</x:v>
      </x:c>
      <x:c r="G47" s="9" t="s">
        <x:v>61</x:v>
      </x:c>
      <x:c r="H47" s="9" t="s">
        <x:v>62</x:v>
      </x:c>
      <x:c r="I47" s="9" t="s">
        <x:v>87</x:v>
      </x:c>
      <x:c r="J47" s="9" t="s">
        <x:v>64</x:v>
      </x:c>
      <x:c r="K47" s="9" t="s">
        <x:v>98</x:v>
      </x:c>
      <x:c r="L47" s="9" t="s">
        <x:v>66</x:v>
      </x:c>
      <x:c r="M47" s="9" t="s">
        <x:v>182</x:v>
      </x:c>
      <x:c r="N47" s="8" t="s">
        <x:v>353</x:v>
      </x:c>
      <x:c r="O47" s="9" t="s">
        <x:v>354</x:v>
      </x:c>
      <x:c r="P47" s="9" t="s">
        <x:v>355</x:v>
      </x:c>
      <x:c r="Q47" s="9" t="s">
        <x:v>356</x:v>
      </x:c>
      <x:c r="R47" s="9" t="s">
        <x:v>72</x:v>
      </x:c>
      <x:c r="S47" s="9" t="s">
        <x:v>73</x:v>
      </x:c>
      <x:c r="T47" s="9" t="s">
        <x:v>74</x:v>
      </x:c>
      <x:c r="U47" s="9" t="s">
        <x:v>75</x:v>
      </x:c>
    </x:row>
    <x:row r="48" ht="42" hidden="0" customHeight="1">
      <x:c r="A48" s="9" t="s">
        <x:v>179</x:v>
      </x:c>
      <x:c r="B48" s="9" t="s">
        <x:v>133</x:v>
      </x:c>
      <x:c r="C48" s="9" t="s">
        <x:v>357</x:v>
      </x:c>
      <x:c r="D48" s="8" t="s">
        <x:v>135</x:v>
      </x:c>
      <x:c r="E48" s="9" t="s">
        <x:v>97</x:v>
      </x:c>
      <x:c r="F48" s="9" t="s">
        <x:v>60</x:v>
      </x:c>
      <x:c r="G48" s="9" t="s">
        <x:v>61</x:v>
      </x:c>
      <x:c r="H48" s="9" t="s">
        <x:v>62</x:v>
      </x:c>
      <x:c r="I48" s="9" t="s">
        <x:v>87</x:v>
      </x:c>
      <x:c r="J48" s="9" t="s">
        <x:v>64</x:v>
      </x:c>
      <x:c r="K48" s="9" t="s">
        <x:v>98</x:v>
      </x:c>
      <x:c r="L48" s="9" t="s">
        <x:v>66</x:v>
      </x:c>
      <x:c r="M48" s="9" t="s">
        <x:v>182</x:v>
      </x:c>
      <x:c r="N48" s="8" t="s">
        <x:v>358</x:v>
      </x:c>
      <x:c r="O48" s="9" t="s">
        <x:v>359</x:v>
      </x:c>
      <x:c r="P48" s="9" t="s">
        <x:v>360</x:v>
      </x:c>
      <x:c r="Q48" s="9" t="s">
        <x:v>361</x:v>
      </x:c>
      <x:c r="R48" s="9" t="s">
        <x:v>72</x:v>
      </x:c>
      <x:c r="S48" s="9" t="s">
        <x:v>73</x:v>
      </x:c>
      <x:c r="T48" s="9" t="s">
        <x:v>74</x:v>
      </x:c>
      <x:c r="U48" s="9" t="s">
        <x:v>140</x:v>
      </x:c>
    </x:row>
    <x:row r="49" ht="42" hidden="0" customHeight="1">
      <x:c r="A49" s="9" t="s">
        <x:v>179</x:v>
      </x:c>
      <x:c r="B49" s="9" t="s">
        <x:v>141</x:v>
      </x:c>
      <x:c r="C49" s="9" t="s">
        <x:v>362</x:v>
      </x:c>
      <x:c r="D49" s="8" t="s">
        <x:v>135</x:v>
      </x:c>
      <x:c r="E49" s="9" t="s">
        <x:v>97</x:v>
      </x:c>
      <x:c r="F49" s="9" t="s">
        <x:v>60</x:v>
      </x:c>
      <x:c r="G49" s="9" t="s">
        <x:v>61</x:v>
      </x:c>
      <x:c r="H49" s="9" t="s">
        <x:v>62</x:v>
      </x:c>
      <x:c r="I49" s="9" t="s">
        <x:v>87</x:v>
      </x:c>
      <x:c r="J49" s="9" t="s">
        <x:v>64</x:v>
      </x:c>
      <x:c r="K49" s="9" t="s">
        <x:v>98</x:v>
      </x:c>
      <x:c r="L49" s="9" t="s">
        <x:v>66</x:v>
      </x:c>
      <x:c r="M49" s="9" t="s">
        <x:v>182</x:v>
      </x:c>
      <x:c r="N49" s="8" t="s">
        <x:v>363</x:v>
      </x:c>
      <x:c r="O49" s="9" t="s">
        <x:v>364</x:v>
      </x:c>
      <x:c r="P49" s="9" t="s">
        <x:v>365</x:v>
      </x:c>
      <x:c r="Q49" s="9" t="s">
        <x:v>366</x:v>
      </x:c>
      <x:c r="R49" s="9" t="s">
        <x:v>72</x:v>
      </x:c>
      <x:c r="S49" s="9" t="s">
        <x:v>73</x:v>
      </x:c>
      <x:c r="T49" s="9" t="s">
        <x:v>74</x:v>
      </x:c>
      <x:c r="U49" s="9" t="s">
        <x:v>140</x:v>
      </x:c>
    </x:row>
    <x:row r="50" ht="42" hidden="0" customHeight="1">
      <x:c r="A50" s="9" t="s">
        <x:v>179</x:v>
      </x:c>
      <x:c r="B50" s="9" t="s">
        <x:v>147</x:v>
      </x:c>
      <x:c r="C50" s="9" t="s">
        <x:v>367</x:v>
      </x:c>
      <x:c r="D50" s="8" t="s">
        <x:v>106</x:v>
      </x:c>
      <x:c r="E50" s="9" t="s">
        <x:v>97</x:v>
      </x:c>
      <x:c r="F50" s="9" t="s">
        <x:v>60</x:v>
      </x:c>
      <x:c r="G50" s="9" t="s">
        <x:v>61</x:v>
      </x:c>
      <x:c r="H50" s="9" t="s">
        <x:v>62</x:v>
      </x:c>
      <x:c r="I50" s="9" t="s">
        <x:v>63</x:v>
      </x:c>
      <x:c r="J50" s="9" t="s">
        <x:v>64</x:v>
      </x:c>
      <x:c r="K50" s="9" t="s">
        <x:v>98</x:v>
      </x:c>
      <x:c r="L50" s="9" t="s">
        <x:v>66</x:v>
      </x:c>
      <x:c r="M50" s="9" t="s">
        <x:v>182</x:v>
      </x:c>
      <x:c r="N50" s="8" t="s">
        <x:v>368</x:v>
      </x:c>
      <x:c r="O50" s="9" t="s">
        <x:v>369</x:v>
      </x:c>
      <x:c r="P50" s="9" t="s">
        <x:v>370</x:v>
      </x:c>
      <x:c r="Q50" s="9" t="s">
        <x:v>371</x:v>
      </x:c>
      <x:c r="R50" s="9" t="s">
        <x:v>72</x:v>
      </x:c>
      <x:c r="S50" s="9" t="s">
        <x:v>73</x:v>
      </x:c>
      <x:c r="T50" s="9" t="s">
        <x:v>74</x:v>
      </x:c>
      <x:c r="U50" s="9" t="s">
        <x:v>140</x:v>
      </x:c>
    </x:row>
    <x:row r="51" ht="42" hidden="0" customHeight="1">
      <x:c r="A51" s="9" t="s">
        <x:v>179</x:v>
      </x:c>
      <x:c r="B51" s="9" t="s">
        <x:v>153</x:v>
      </x:c>
      <x:c r="C51" s="9" t="s">
        <x:v>372</x:v>
      </x:c>
      <x:c r="D51" s="8" t="s">
        <x:v>58</x:v>
      </x:c>
      <x:c r="E51" s="9" t="s">
        <x:v>155</x:v>
      </x:c>
      <x:c r="F51" s="9" t="s">
        <x:v>60</x:v>
      </x:c>
      <x:c r="G51" s="9" t="s">
        <x:v>61</x:v>
      </x:c>
      <x:c r="H51" s="9" t="s">
        <x:v>62</x:v>
      </x:c>
      <x:c r="I51" s="9" t="s">
        <x:v>63</x:v>
      </x:c>
      <x:c r="J51" s="9" t="s">
        <x:v>64</x:v>
      </x:c>
      <x:c r="K51" s="9" t="s">
        <x:v>156</x:v>
      </x:c>
      <x:c r="L51" s="9" t="s">
        <x:v>66</x:v>
      </x:c>
      <x:c r="M51" s="9" t="s">
        <x:v>182</x:v>
      </x:c>
      <x:c r="N51" s="8" t="s">
        <x:v>373</x:v>
      </x:c>
      <x:c r="O51" s="9" t="s">
        <x:v>374</x:v>
      </x:c>
      <x:c r="P51" s="9" t="s">
        <x:v>375</x:v>
      </x:c>
      <x:c r="Q51" s="9" t="s">
        <x:v>376</x:v>
      </x:c>
      <x:c r="R51" s="9" t="s">
        <x:v>72</x:v>
      </x:c>
      <x:c r="S51" s="9" t="s">
        <x:v>73</x:v>
      </x:c>
      <x:c r="T51" s="9" t="s">
        <x:v>74</x:v>
      </x:c>
      <x:c r="U51" s="9" t="s">
        <x:v>75</x:v>
      </x:c>
    </x:row>
    <x:row r="52" ht="42" hidden="0" customHeight="1">
      <x:c r="A52" s="9" t="s">
        <x:v>179</x:v>
      </x:c>
      <x:c r="B52" s="9" t="s">
        <x:v>167</x:v>
      </x:c>
      <x:c r="C52" s="9" t="s">
        <x:v>377</x:v>
      </x:c>
      <x:c r="D52" s="8" t="s">
        <x:v>78</x:v>
      </x:c>
      <x:c r="E52" s="9" t="s">
        <x:v>97</x:v>
      </x:c>
      <x:c r="F52" s="9" t="s">
        <x:v>60</x:v>
      </x:c>
      <x:c r="G52" s="9" t="s">
        <x:v>61</x:v>
      </x:c>
      <x:c r="H52" s="9" t="s">
        <x:v>62</x:v>
      </x:c>
      <x:c r="I52" s="9" t="s">
        <x:v>63</x:v>
      </x:c>
      <x:c r="J52" s="9" t="s">
        <x:v>64</x:v>
      </x:c>
      <x:c r="K52" s="9" t="s">
        <x:v>98</x:v>
      </x:c>
      <x:c r="L52" s="9" t="s">
        <x:v>66</x:v>
      </x:c>
      <x:c r="M52" s="9" t="s">
        <x:v>182</x:v>
      </x:c>
      <x:c r="N52" s="8" t="s">
        <x:v>378</x:v>
      </x:c>
      <x:c r="O52" s="9" t="s">
        <x:v>379</x:v>
      </x:c>
      <x:c r="P52" s="9" t="s">
        <x:v>380</x:v>
      </x:c>
      <x:c r="Q52" s="9" t="s">
        <x:v>381</x:v>
      </x:c>
      <x:c r="R52" s="9" t="s">
        <x:v>72</x:v>
      </x:c>
      <x:c r="S52" s="9" t="s">
        <x:v>73</x:v>
      </x:c>
      <x:c r="T52" s="9" t="s">
        <x:v>74</x:v>
      </x:c>
      <x:c r="U52" s="9" t="s">
        <x:v>75</x:v>
      </x:c>
    </x:row>
    <x:row r="53" ht="42" hidden="0" customHeight="1">
      <x:c r="A53" s="9" t="s">
        <x:v>179</x:v>
      </x:c>
      <x:c r="B53" s="9" t="s">
        <x:v>173</x:v>
      </x:c>
      <x:c r="C53" s="9" t="s">
        <x:v>382</x:v>
      </x:c>
      <x:c r="D53" s="8" t="s">
        <x:v>78</x:v>
      </x:c>
      <x:c r="E53" s="9" t="s">
        <x:v>97</x:v>
      </x:c>
      <x:c r="F53" s="9" t="s">
        <x:v>60</x:v>
      </x:c>
      <x:c r="G53" s="9" t="s">
        <x:v>61</x:v>
      </x:c>
      <x:c r="H53" s="9" t="s">
        <x:v>62</x:v>
      </x:c>
      <x:c r="I53" s="9" t="s">
        <x:v>63</x:v>
      </x:c>
      <x:c r="J53" s="9" t="s">
        <x:v>64</x:v>
      </x:c>
      <x:c r="K53" s="9" t="s">
        <x:v>98</x:v>
      </x:c>
      <x:c r="L53" s="9" t="s">
        <x:v>66</x:v>
      </x:c>
      <x:c r="M53" s="9" t="s">
        <x:v>182</x:v>
      </x:c>
      <x:c r="N53" s="8" t="s">
        <x:v>383</x:v>
      </x:c>
      <x:c r="O53" s="9" t="s">
        <x:v>384</x:v>
      </x:c>
      <x:c r="P53" s="9" t="s">
        <x:v>385</x:v>
      </x:c>
      <x:c r="Q53" s="9" t="s">
        <x:v>386</x:v>
      </x:c>
      <x:c r="R53" s="9" t="s">
        <x:v>72</x:v>
      </x:c>
      <x:c r="S53" s="9" t="s">
        <x:v>73</x:v>
      </x:c>
      <x:c r="T53" s="9" t="s">
        <x:v>74</x:v>
      </x:c>
      <x:c r="U53" s="9" t="s">
        <x:v>75</x:v>
      </x:c>
    </x:row>
    <x:row r="54" ht="42" hidden="0" customHeight="1">
      <x:c r="A54" s="9" t="s">
        <x:v>179</x:v>
      </x:c>
      <x:c r="B54" s="9" t="s">
        <x:v>387</x:v>
      </x:c>
      <x:c r="C54" s="9" t="s">
        <x:v>388</x:v>
      </x:c>
      <x:c r="D54" s="8" t="s">
        <x:v>78</x:v>
      </x:c>
      <x:c r="E54" s="9" t="s">
        <x:v>97</x:v>
      </x:c>
      <x:c r="F54" s="9" t="s">
        <x:v>60</x:v>
      </x:c>
      <x:c r="G54" s="9" t="s">
        <x:v>61</x:v>
      </x:c>
      <x:c r="H54" s="9" t="s">
        <x:v>62</x:v>
      </x:c>
      <x:c r="I54" s="9" t="s">
        <x:v>63</x:v>
      </x:c>
      <x:c r="J54" s="9" t="s">
        <x:v>64</x:v>
      </x:c>
      <x:c r="K54" s="9" t="s">
        <x:v>98</x:v>
      </x:c>
      <x:c r="L54" s="9" t="s">
        <x:v>66</x:v>
      </x:c>
      <x:c r="M54" s="9" t="s">
        <x:v>182</x:v>
      </x:c>
      <x:c r="N54" s="8" t="s">
        <x:v>389</x:v>
      </x:c>
      <x:c r="O54" s="9" t="s">
        <x:v>390</x:v>
      </x:c>
      <x:c r="P54" s="9" t="s">
        <x:v>391</x:v>
      </x:c>
      <x:c r="Q54" s="9" t="s">
        <x:v>392</x:v>
      </x:c>
      <x:c r="R54" s="9" t="s">
        <x:v>72</x:v>
      </x:c>
      <x:c r="S54" s="9" t="s">
        <x:v>73</x:v>
      </x:c>
      <x:c r="T54" s="9" t="s">
        <x:v>74</x:v>
      </x:c>
      <x:c r="U54" s="9" t="s">
        <x:v>75</x:v>
      </x:c>
    </x:row>
    <x:row r="55" ht="42" hidden="0" customHeight="1">
      <x:c r="A55" s="9" t="s">
        <x:v>179</x:v>
      </x:c>
      <x:c r="B55" s="9" t="s">
        <x:v>393</x:v>
      </x:c>
      <x:c r="C55" s="9" t="s">
        <x:v>394</x:v>
      </x:c>
      <x:c r="D55" s="9" t="s">
        <x:v>85</x:v>
      </x:c>
      <x:c r="E55" s="9" t="s">
        <x:v>86</x:v>
      </x:c>
      <x:c r="F55" s="9" t="s">
        <x:v>395</x:v>
      </x:c>
      <x:c r="G55" s="9" t="s">
        <x:v>61</x:v>
      </x:c>
      <x:c r="H55" s="9" t="s">
        <x:v>62</x:v>
      </x:c>
      <x:c r="I55" s="9" t="s">
        <x:v>63</x:v>
      </x:c>
      <x:c r="J55" s="9" t="s">
        <x:v>64</x:v>
      </x:c>
      <x:c r="K55" s="9" t="s">
        <x:v>88</x:v>
      </x:c>
      <x:c r="L55" s="9" t="s">
        <x:v>89</x:v>
      </x:c>
      <x:c r="M55" s="9" t="s">
        <x:v>182</x:v>
      </x:c>
      <x:c r="N55" s="8" t="s">
        <x:v>396</x:v>
      </x:c>
      <x:c r="O55" s="9" t="s">
        <x:v>397</x:v>
      </x:c>
      <x:c r="P55" s="9" t="s">
        <x:v>398</x:v>
      </x:c>
      <x:c r="Q55" s="9" t="s">
        <x:v>399</x:v>
      </x:c>
      <x:c r="R55" s="9" t="s">
        <x:v>72</x:v>
      </x:c>
      <x:c r="S55" s="9" t="s">
        <x:v>73</x:v>
      </x:c>
      <x:c r="T55" s="9" t="s">
        <x:v>74</x:v>
      </x:c>
      <x:c r="U55" s="9" t="s">
        <x:v>140</x:v>
      </x:c>
    </x:row>
    <x:row r="56" ht="42" hidden="0" customHeight="1">
      <x:c r="A56" s="9" t="s">
        <x:v>400</x:v>
      </x:c>
      <x:c r="B56" s="9" t="s">
        <x:v>401</x:v>
      </x:c>
      <x:c r="C56" s="9" t="s">
        <x:v>402</x:v>
      </x:c>
      <x:c r="D56" s="8" t="s">
        <x:v>403</x:v>
      </x:c>
      <x:c r="E56" s="9" t="s">
        <x:v>404</x:v>
      </x:c>
      <x:c r="F56" s="9" t="s">
        <x:v>405</x:v>
      </x:c>
      <x:c r="G56" s="9" t="s">
        <x:v>406</x:v>
      </x:c>
      <x:c r="H56" s="9" t="s">
        <x:v>407</x:v>
      </x:c>
      <x:c r="I56" s="9" t="s">
        <x:v>408</x:v>
      </x:c>
      <x:c r="J56" s="9" t="s">
        <x:v>64</x:v>
      </x:c>
      <x:c r="K56" s="9" t="s">
        <x:v>409</x:v>
      </x:c>
      <x:c r="L56" s="9" t="s">
        <x:v>410</x:v>
      </x:c>
      <x:c r="M56" s="9" t="s">
        <x:v>411</x:v>
      </x:c>
      <x:c r="N56" s="8" t="s">
        <x:v>412</x:v>
      </x:c>
      <x:c r="O56" s="8"/>
      <x:c r="P56" s="8"/>
      <x:c r="Q56" s="8"/>
      <x:c r="R56" s="9" t="s">
        <x:v>413</x:v>
      </x:c>
      <x:c r="S56" s="9" t="s">
        <x:v>414</x:v>
      </x:c>
      <x:c r="T56" s="9" t="s">
        <x:v>415</x:v>
      </x:c>
      <x:c r="U56" s="8"/>
    </x:row>
    <x:row r="57" ht="42" hidden="0" customHeight="1">
      <x:c r="A57" s="9" t="s">
        <x:v>400</x:v>
      </x:c>
      <x:c r="B57" s="9" t="s">
        <x:v>416</x:v>
      </x:c>
      <x:c r="C57" s="9" t="s">
        <x:v>417</x:v>
      </x:c>
      <x:c r="D57" s="8" t="s">
        <x:v>403</x:v>
      </x:c>
      <x:c r="E57" s="9" t="s">
        <x:v>404</x:v>
      </x:c>
      <x:c r="F57" s="9" t="s">
        <x:v>405</x:v>
      </x:c>
      <x:c r="G57" s="9" t="s">
        <x:v>406</x:v>
      </x:c>
      <x:c r="H57" s="9" t="s">
        <x:v>407</x:v>
      </x:c>
      <x:c r="I57" s="9" t="s">
        <x:v>408</x:v>
      </x:c>
      <x:c r="J57" s="9" t="s">
        <x:v>64</x:v>
      </x:c>
      <x:c r="K57" s="9" t="s">
        <x:v>409</x:v>
      </x:c>
      <x:c r="L57" s="9" t="s">
        <x:v>410</x:v>
      </x:c>
      <x:c r="M57" s="9" t="s">
        <x:v>411</x:v>
      </x:c>
      <x:c r="N57" s="8" t="s">
        <x:v>418</x:v>
      </x:c>
      <x:c r="O57" s="8"/>
      <x:c r="P57" s="8"/>
      <x:c r="Q57" s="8"/>
      <x:c r="R57" s="9" t="s">
        <x:v>413</x:v>
      </x:c>
      <x:c r="S57" s="9" t="s">
        <x:v>414</x:v>
      </x:c>
      <x:c r="T57" s="9" t="s">
        <x:v>415</x:v>
      </x:c>
      <x:c r="U57" s="8"/>
    </x:row>
    <x:row r="58" ht="42" hidden="0" customHeight="1">
      <x:c r="A58" s="9" t="s">
        <x:v>400</x:v>
      </x:c>
      <x:c r="B58" s="9" t="s">
        <x:v>419</x:v>
      </x:c>
      <x:c r="C58" s="9" t="s">
        <x:v>420</x:v>
      </x:c>
      <x:c r="D58" s="8" t="s">
        <x:v>403</x:v>
      </x:c>
      <x:c r="E58" s="9" t="s">
        <x:v>404</x:v>
      </x:c>
      <x:c r="F58" s="9" t="s">
        <x:v>405</x:v>
      </x:c>
      <x:c r="G58" s="9" t="s">
        <x:v>406</x:v>
      </x:c>
      <x:c r="H58" s="9" t="s">
        <x:v>407</x:v>
      </x:c>
      <x:c r="I58" s="9" t="s">
        <x:v>408</x:v>
      </x:c>
      <x:c r="J58" s="9" t="s">
        <x:v>64</x:v>
      </x:c>
      <x:c r="K58" s="9" t="s">
        <x:v>409</x:v>
      </x:c>
      <x:c r="L58" s="9" t="s">
        <x:v>410</x:v>
      </x:c>
      <x:c r="M58" s="9" t="s">
        <x:v>411</x:v>
      </x:c>
      <x:c r="N58" s="8" t="s">
        <x:v>421</x:v>
      </x:c>
      <x:c r="O58" s="8"/>
      <x:c r="P58" s="8"/>
      <x:c r="Q58" s="8"/>
      <x:c r="R58" s="9" t="s">
        <x:v>413</x:v>
      </x:c>
      <x:c r="S58" s="9" t="s">
        <x:v>414</x:v>
      </x:c>
      <x:c r="T58" s="9" t="s">
        <x:v>415</x:v>
      </x:c>
      <x:c r="U58" s="8"/>
    </x:row>
    <x:row r="59" ht="42" hidden="0" customHeight="1">
      <x:c r="A59" s="9" t="s">
        <x:v>400</x:v>
      </x:c>
      <x:c r="B59" s="9" t="s">
        <x:v>422</x:v>
      </x:c>
      <x:c r="C59" s="9" t="s">
        <x:v>423</x:v>
      </x:c>
      <x:c r="D59" s="8" t="s">
        <x:v>403</x:v>
      </x:c>
      <x:c r="E59" s="9" t="s">
        <x:v>404</x:v>
      </x:c>
      <x:c r="F59" s="9" t="s">
        <x:v>405</x:v>
      </x:c>
      <x:c r="G59" s="9" t="s">
        <x:v>406</x:v>
      </x:c>
      <x:c r="H59" s="9" t="s">
        <x:v>407</x:v>
      </x:c>
      <x:c r="I59" s="9" t="s">
        <x:v>408</x:v>
      </x:c>
      <x:c r="J59" s="9" t="s">
        <x:v>64</x:v>
      </x:c>
      <x:c r="K59" s="9" t="s">
        <x:v>409</x:v>
      </x:c>
      <x:c r="L59" s="9" t="s">
        <x:v>410</x:v>
      </x:c>
      <x:c r="M59" s="9" t="s">
        <x:v>411</x:v>
      </x:c>
      <x:c r="N59" s="8" t="s">
        <x:v>424</x:v>
      </x:c>
      <x:c r="O59" s="8"/>
      <x:c r="P59" s="8"/>
      <x:c r="Q59" s="8"/>
      <x:c r="R59" s="9" t="s">
        <x:v>413</x:v>
      </x:c>
      <x:c r="S59" s="9" t="s">
        <x:v>414</x:v>
      </x:c>
      <x:c r="T59" s="9" t="s">
        <x:v>415</x:v>
      </x:c>
      <x:c r="U59" s="8"/>
    </x:row>
    <x:row r="60" ht="42" hidden="0" customHeight="1">
      <x:c r="A60" s="9" t="s">
        <x:v>400</x:v>
      </x:c>
      <x:c r="B60" s="9" t="s">
        <x:v>425</x:v>
      </x:c>
      <x:c r="C60" s="9" t="s">
        <x:v>426</x:v>
      </x:c>
      <x:c r="D60" s="8" t="s">
        <x:v>403</x:v>
      </x:c>
      <x:c r="E60" s="9" t="s">
        <x:v>404</x:v>
      </x:c>
      <x:c r="F60" s="9" t="s">
        <x:v>405</x:v>
      </x:c>
      <x:c r="G60" s="9" t="s">
        <x:v>406</x:v>
      </x:c>
      <x:c r="H60" s="9" t="s">
        <x:v>407</x:v>
      </x:c>
      <x:c r="I60" s="9" t="s">
        <x:v>408</x:v>
      </x:c>
      <x:c r="J60" s="9" t="s">
        <x:v>64</x:v>
      </x:c>
      <x:c r="K60" s="9" t="s">
        <x:v>409</x:v>
      </x:c>
      <x:c r="L60" s="9" t="s">
        <x:v>410</x:v>
      </x:c>
      <x:c r="M60" s="9" t="s">
        <x:v>411</x:v>
      </x:c>
      <x:c r="N60" s="8" t="s">
        <x:v>427</x:v>
      </x:c>
      <x:c r="O60" s="8"/>
      <x:c r="P60" s="8"/>
      <x:c r="Q60" s="8"/>
      <x:c r="R60" s="9" t="s">
        <x:v>413</x:v>
      </x:c>
      <x:c r="S60" s="9" t="s">
        <x:v>414</x:v>
      </x:c>
      <x:c r="T60" s="9" t="s">
        <x:v>415</x:v>
      </x:c>
      <x:c r="U60" s="8"/>
    </x:row>
    <x:row r="61" ht="42" hidden="0" customHeight="1">
      <x:c r="A61" s="9" t="s">
        <x:v>400</x:v>
      </x:c>
      <x:c r="B61" s="9" t="s">
        <x:v>428</x:v>
      </x:c>
      <x:c r="C61" s="9" t="s">
        <x:v>429</x:v>
      </x:c>
      <x:c r="D61" s="8" t="s">
        <x:v>403</x:v>
      </x:c>
      <x:c r="E61" s="9" t="s">
        <x:v>404</x:v>
      </x:c>
      <x:c r="F61" s="9" t="s">
        <x:v>405</x:v>
      </x:c>
      <x:c r="G61" s="9" t="s">
        <x:v>406</x:v>
      </x:c>
      <x:c r="H61" s="9" t="s">
        <x:v>407</x:v>
      </x:c>
      <x:c r="I61" s="9" t="s">
        <x:v>408</x:v>
      </x:c>
      <x:c r="J61" s="9" t="s">
        <x:v>64</x:v>
      </x:c>
      <x:c r="K61" s="9" t="s">
        <x:v>409</x:v>
      </x:c>
      <x:c r="L61" s="9" t="s">
        <x:v>410</x:v>
      </x:c>
      <x:c r="M61" s="9" t="s">
        <x:v>411</x:v>
      </x:c>
      <x:c r="N61" s="8" t="s">
        <x:v>430</x:v>
      </x:c>
      <x:c r="O61" s="8"/>
      <x:c r="P61" s="8"/>
      <x:c r="Q61" s="8"/>
      <x:c r="R61" s="9" t="s">
        <x:v>413</x:v>
      </x:c>
      <x:c r="S61" s="9" t="s">
        <x:v>414</x:v>
      </x:c>
      <x:c r="T61" s="9" t="s">
        <x:v>415</x:v>
      </x:c>
      <x:c r="U61" s="8"/>
    </x:row>
    <x:row r="62" ht="42" hidden="0" customHeight="1">
      <x:c r="A62" s="9" t="s">
        <x:v>400</x:v>
      </x:c>
      <x:c r="B62" s="9" t="s">
        <x:v>431</x:v>
      </x:c>
      <x:c r="C62" s="9" t="s">
        <x:v>432</x:v>
      </x:c>
      <x:c r="D62" s="8" t="s">
        <x:v>135</x:v>
      </x:c>
      <x:c r="E62" s="9" t="s">
        <x:v>404</x:v>
      </x:c>
      <x:c r="F62" s="9" t="s">
        <x:v>405</x:v>
      </x:c>
      <x:c r="G62" s="9" t="s">
        <x:v>406</x:v>
      </x:c>
      <x:c r="H62" s="9" t="s">
        <x:v>407</x:v>
      </x:c>
      <x:c r="I62" s="9" t="s">
        <x:v>408</x:v>
      </x:c>
      <x:c r="J62" s="9" t="s">
        <x:v>64</x:v>
      </x:c>
      <x:c r="K62" s="9" t="s">
        <x:v>409</x:v>
      </x:c>
      <x:c r="L62" s="9" t="s">
        <x:v>410</x:v>
      </x:c>
      <x:c r="M62" s="9" t="s">
        <x:v>411</x:v>
      </x:c>
      <x:c r="N62" s="8" t="s">
        <x:v>433</x:v>
      </x:c>
      <x:c r="O62" s="8"/>
      <x:c r="P62" s="8"/>
      <x:c r="Q62" s="8"/>
      <x:c r="R62" s="9" t="s">
        <x:v>413</x:v>
      </x:c>
      <x:c r="S62" s="9" t="s">
        <x:v>414</x:v>
      </x:c>
      <x:c r="T62" s="9" t="s">
        <x:v>415</x:v>
      </x:c>
      <x:c r="U62" s="8"/>
    </x:row>
    <x:row r="63" ht="42" hidden="0" customHeight="1">
      <x:c r="A63" s="9" t="s">
        <x:v>400</x:v>
      </x:c>
      <x:c r="B63" s="9" t="s">
        <x:v>434</x:v>
      </x:c>
      <x:c r="C63" s="9" t="s">
        <x:v>435</x:v>
      </x:c>
      <x:c r="D63" s="8" t="s">
        <x:v>135</x:v>
      </x:c>
      <x:c r="E63" s="9" t="s">
        <x:v>404</x:v>
      </x:c>
      <x:c r="F63" s="9" t="s">
        <x:v>405</x:v>
      </x:c>
      <x:c r="G63" s="9" t="s">
        <x:v>406</x:v>
      </x:c>
      <x:c r="H63" s="9" t="s">
        <x:v>407</x:v>
      </x:c>
      <x:c r="I63" s="9" t="s">
        <x:v>408</x:v>
      </x:c>
      <x:c r="J63" s="9" t="s">
        <x:v>64</x:v>
      </x:c>
      <x:c r="K63" s="9" t="s">
        <x:v>409</x:v>
      </x:c>
      <x:c r="L63" s="9" t="s">
        <x:v>410</x:v>
      </x:c>
      <x:c r="M63" s="9" t="s">
        <x:v>411</x:v>
      </x:c>
      <x:c r="N63" s="8" t="s">
        <x:v>436</x:v>
      </x:c>
      <x:c r="O63" s="8"/>
      <x:c r="P63" s="8"/>
      <x:c r="Q63" s="8"/>
      <x:c r="R63" s="9" t="s">
        <x:v>413</x:v>
      </x:c>
      <x:c r="S63" s="9" t="s">
        <x:v>414</x:v>
      </x:c>
      <x:c r="T63" s="9" t="s">
        <x:v>415</x:v>
      </x:c>
      <x:c r="U63" s="8"/>
    </x:row>
    <x:row r="64" ht="42" hidden="0" customHeight="1">
      <x:c r="A64" s="9" t="s">
        <x:v>400</x:v>
      </x:c>
      <x:c r="B64" s="9" t="s">
        <x:v>437</x:v>
      </x:c>
      <x:c r="C64" s="9" t="s">
        <x:v>438</x:v>
      </x:c>
      <x:c r="D64" s="8" t="s">
        <x:v>189</x:v>
      </x:c>
      <x:c r="E64" s="9" t="s">
        <x:v>404</x:v>
      </x:c>
      <x:c r="F64" s="9" t="s">
        <x:v>405</x:v>
      </x:c>
      <x:c r="G64" s="9" t="s">
        <x:v>406</x:v>
      </x:c>
      <x:c r="H64" s="9" t="s">
        <x:v>407</x:v>
      </x:c>
      <x:c r="I64" s="9" t="s">
        <x:v>408</x:v>
      </x:c>
      <x:c r="J64" s="9" t="s">
        <x:v>64</x:v>
      </x:c>
      <x:c r="K64" s="9" t="s">
        <x:v>409</x:v>
      </x:c>
      <x:c r="L64" s="9" t="s">
        <x:v>410</x:v>
      </x:c>
      <x:c r="M64" s="9" t="s">
        <x:v>411</x:v>
      </x:c>
      <x:c r="N64" s="8" t="s">
        <x:v>439</x:v>
      </x:c>
      <x:c r="O64" s="8"/>
      <x:c r="P64" s="8"/>
      <x:c r="Q64" s="8"/>
      <x:c r="R64" s="9" t="s">
        <x:v>413</x:v>
      </x:c>
      <x:c r="S64" s="9" t="s">
        <x:v>414</x:v>
      </x:c>
      <x:c r="T64" s="9" t="s">
        <x:v>415</x:v>
      </x:c>
      <x:c r="U64" s="8"/>
    </x:row>
    <x:row r="65" ht="42" hidden="0" customHeight="1">
      <x:c r="A65" s="9" t="s">
        <x:v>400</x:v>
      </x:c>
      <x:c r="B65" s="9" t="s">
        <x:v>440</x:v>
      </x:c>
      <x:c r="C65" s="9" t="s">
        <x:v>441</x:v>
      </x:c>
      <x:c r="D65" s="8" t="s">
        <x:v>229</x:v>
      </x:c>
      <x:c r="E65" s="9" t="s">
        <x:v>404</x:v>
      </x:c>
      <x:c r="F65" s="9" t="s">
        <x:v>405</x:v>
      </x:c>
      <x:c r="G65" s="9" t="s">
        <x:v>406</x:v>
      </x:c>
      <x:c r="H65" s="9" t="s">
        <x:v>407</x:v>
      </x:c>
      <x:c r="I65" s="9" t="s">
        <x:v>408</x:v>
      </x:c>
      <x:c r="J65" s="9" t="s">
        <x:v>64</x:v>
      </x:c>
      <x:c r="K65" s="9" t="s">
        <x:v>409</x:v>
      </x:c>
      <x:c r="L65" s="9" t="s">
        <x:v>410</x:v>
      </x:c>
      <x:c r="M65" s="9" t="s">
        <x:v>411</x:v>
      </x:c>
      <x:c r="N65" s="8" t="s">
        <x:v>442</x:v>
      </x:c>
      <x:c r="O65" s="8"/>
      <x:c r="P65" s="8"/>
      <x:c r="Q65" s="8"/>
      <x:c r="R65" s="9" t="s">
        <x:v>413</x:v>
      </x:c>
      <x:c r="S65" s="9" t="s">
        <x:v>414</x:v>
      </x:c>
      <x:c r="T65" s="9" t="s">
        <x:v>415</x:v>
      </x:c>
      <x:c r="U65" s="8"/>
    </x:row>
    <x:row r="66" ht="42" hidden="0" customHeight="1">
      <x:c r="A66" s="9" t="s">
        <x:v>400</x:v>
      </x:c>
      <x:c r="B66" s="9" t="s">
        <x:v>443</x:v>
      </x:c>
      <x:c r="C66" s="9" t="s">
        <x:v>444</x:v>
      </x:c>
      <x:c r="D66" s="8" t="s">
        <x:v>229</x:v>
      </x:c>
      <x:c r="E66" s="9" t="s">
        <x:v>404</x:v>
      </x:c>
      <x:c r="F66" s="9" t="s">
        <x:v>405</x:v>
      </x:c>
      <x:c r="G66" s="9" t="s">
        <x:v>406</x:v>
      </x:c>
      <x:c r="H66" s="9" t="s">
        <x:v>407</x:v>
      </x:c>
      <x:c r="I66" s="9" t="s">
        <x:v>408</x:v>
      </x:c>
      <x:c r="J66" s="9" t="s">
        <x:v>64</x:v>
      </x:c>
      <x:c r="K66" s="9" t="s">
        <x:v>409</x:v>
      </x:c>
      <x:c r="L66" s="9" t="s">
        <x:v>410</x:v>
      </x:c>
      <x:c r="M66" s="9" t="s">
        <x:v>411</x:v>
      </x:c>
      <x:c r="N66" s="8" t="s">
        <x:v>445</x:v>
      </x:c>
      <x:c r="O66" s="8"/>
      <x:c r="P66" s="8"/>
      <x:c r="Q66" s="8"/>
      <x:c r="R66" s="9" t="s">
        <x:v>413</x:v>
      </x:c>
      <x:c r="S66" s="9" t="s">
        <x:v>414</x:v>
      </x:c>
      <x:c r="T66" s="9" t="s">
        <x:v>415</x:v>
      </x:c>
      <x:c r="U66" s="8"/>
    </x:row>
    <x:row r="67" ht="42" hidden="0" customHeight="1">
      <x:c r="A67" s="9" t="s">
        <x:v>400</x:v>
      </x:c>
      <x:c r="B67" s="9" t="s">
        <x:v>446</x:v>
      </x:c>
      <x:c r="C67" s="9" t="s">
        <x:v>447</x:v>
      </x:c>
      <x:c r="D67" s="8" t="s">
        <x:v>135</x:v>
      </x:c>
      <x:c r="E67" s="9" t="s">
        <x:v>404</x:v>
      </x:c>
      <x:c r="F67" s="9" t="s">
        <x:v>405</x:v>
      </x:c>
      <x:c r="G67" s="9" t="s">
        <x:v>406</x:v>
      </x:c>
      <x:c r="H67" s="9" t="s">
        <x:v>407</x:v>
      </x:c>
      <x:c r="I67" s="9" t="s">
        <x:v>408</x:v>
      </x:c>
      <x:c r="J67" s="9" t="s">
        <x:v>64</x:v>
      </x:c>
      <x:c r="K67" s="9" t="s">
        <x:v>409</x:v>
      </x:c>
      <x:c r="L67" s="9" t="s">
        <x:v>410</x:v>
      </x:c>
      <x:c r="M67" s="9" t="s">
        <x:v>411</x:v>
      </x:c>
      <x:c r="N67" s="8" t="s">
        <x:v>448</x:v>
      </x:c>
      <x:c r="O67" s="8"/>
      <x:c r="P67" s="8"/>
      <x:c r="Q67" s="8"/>
      <x:c r="R67" s="9" t="s">
        <x:v>413</x:v>
      </x:c>
      <x:c r="S67" s="9" t="s">
        <x:v>414</x:v>
      </x:c>
      <x:c r="T67" s="9" t="s">
        <x:v>415</x:v>
      </x:c>
      <x:c r="U67" s="8"/>
    </x:row>
    <x:row r="68" ht="42" hidden="0" customHeight="1">
      <x:c r="A68" s="9" t="s">
        <x:v>400</x:v>
      </x:c>
      <x:c r="B68" s="9" t="s">
        <x:v>449</x:v>
      </x:c>
      <x:c r="C68" s="9" t="s">
        <x:v>450</x:v>
      </x:c>
      <x:c r="D68" s="8" t="s">
        <x:v>135</x:v>
      </x:c>
      <x:c r="E68" s="9" t="s">
        <x:v>404</x:v>
      </x:c>
      <x:c r="F68" s="9" t="s">
        <x:v>405</x:v>
      </x:c>
      <x:c r="G68" s="9" t="s">
        <x:v>406</x:v>
      </x:c>
      <x:c r="H68" s="9" t="s">
        <x:v>407</x:v>
      </x:c>
      <x:c r="I68" s="9" t="s">
        <x:v>408</x:v>
      </x:c>
      <x:c r="J68" s="9" t="s">
        <x:v>64</x:v>
      </x:c>
      <x:c r="K68" s="9" t="s">
        <x:v>409</x:v>
      </x:c>
      <x:c r="L68" s="9" t="s">
        <x:v>410</x:v>
      </x:c>
      <x:c r="M68" s="9" t="s">
        <x:v>411</x:v>
      </x:c>
      <x:c r="N68" s="8" t="s">
        <x:v>451</x:v>
      </x:c>
      <x:c r="O68" s="8"/>
      <x:c r="P68" s="8"/>
      <x:c r="Q68" s="8"/>
      <x:c r="R68" s="9" t="s">
        <x:v>413</x:v>
      </x:c>
      <x:c r="S68" s="9" t="s">
        <x:v>414</x:v>
      </x:c>
      <x:c r="T68" s="9" t="s">
        <x:v>415</x:v>
      </x:c>
      <x:c r="U68" s="8"/>
    </x:row>
    <x:row r="69" ht="42" hidden="0" customHeight="1">
      <x:c r="A69" s="9" t="s">
        <x:v>400</x:v>
      </x:c>
      <x:c r="B69" s="9" t="s">
        <x:v>452</x:v>
      </x:c>
      <x:c r="C69" s="9" t="s">
        <x:v>453</x:v>
      </x:c>
      <x:c r="D69" s="8" t="s">
        <x:v>135</x:v>
      </x:c>
      <x:c r="E69" s="9" t="s">
        <x:v>404</x:v>
      </x:c>
      <x:c r="F69" s="9" t="s">
        <x:v>405</x:v>
      </x:c>
      <x:c r="G69" s="9" t="s">
        <x:v>406</x:v>
      </x:c>
      <x:c r="H69" s="9" t="s">
        <x:v>407</x:v>
      </x:c>
      <x:c r="I69" s="9" t="s">
        <x:v>408</x:v>
      </x:c>
      <x:c r="J69" s="9" t="s">
        <x:v>64</x:v>
      </x:c>
      <x:c r="K69" s="9" t="s">
        <x:v>409</x:v>
      </x:c>
      <x:c r="L69" s="9" t="s">
        <x:v>410</x:v>
      </x:c>
      <x:c r="M69" s="9" t="s">
        <x:v>411</x:v>
      </x:c>
      <x:c r="N69" s="8" t="s">
        <x:v>454</x:v>
      </x:c>
      <x:c r="O69" s="8"/>
      <x:c r="P69" s="8"/>
      <x:c r="Q69" s="8"/>
      <x:c r="R69" s="9" t="s">
        <x:v>413</x:v>
      </x:c>
      <x:c r="S69" s="9" t="s">
        <x:v>414</x:v>
      </x:c>
      <x:c r="T69" s="9" t="s">
        <x:v>415</x:v>
      </x:c>
      <x:c r="U69" s="8"/>
    </x:row>
    <x:row r="70" ht="42" hidden="0" customHeight="1">
      <x:c r="A70" s="9" t="s">
        <x:v>400</x:v>
      </x:c>
      <x:c r="B70" s="9" t="s">
        <x:v>455</x:v>
      </x:c>
      <x:c r="C70" s="9" t="s">
        <x:v>456</x:v>
      </x:c>
      <x:c r="D70" s="8" t="s">
        <x:v>135</x:v>
      </x:c>
      <x:c r="E70" s="9" t="s">
        <x:v>404</x:v>
      </x:c>
      <x:c r="F70" s="9" t="s">
        <x:v>405</x:v>
      </x:c>
      <x:c r="G70" s="9" t="s">
        <x:v>406</x:v>
      </x:c>
      <x:c r="H70" s="9" t="s">
        <x:v>407</x:v>
      </x:c>
      <x:c r="I70" s="9" t="s">
        <x:v>408</x:v>
      </x:c>
      <x:c r="J70" s="9" t="s">
        <x:v>64</x:v>
      </x:c>
      <x:c r="K70" s="9" t="s">
        <x:v>409</x:v>
      </x:c>
      <x:c r="L70" s="9" t="s">
        <x:v>410</x:v>
      </x:c>
      <x:c r="M70" s="9" t="s">
        <x:v>411</x:v>
      </x:c>
      <x:c r="N70" s="8" t="s">
        <x:v>457</x:v>
      </x:c>
      <x:c r="O70" s="8"/>
      <x:c r="P70" s="8"/>
      <x:c r="Q70" s="8"/>
      <x:c r="R70" s="9" t="s">
        <x:v>413</x:v>
      </x:c>
      <x:c r="S70" s="9" t="s">
        <x:v>414</x:v>
      </x:c>
      <x:c r="T70" s="9" t="s">
        <x:v>415</x:v>
      </x:c>
      <x:c r="U70" s="8"/>
    </x:row>
    <x:row r="71" ht="42" hidden="0" customHeight="1">
      <x:c r="A71" s="9" t="s">
        <x:v>400</x:v>
      </x:c>
      <x:c r="B71" s="9" t="s">
        <x:v>458</x:v>
      </x:c>
      <x:c r="C71" s="9" t="s">
        <x:v>459</x:v>
      </x:c>
      <x:c r="D71" s="8" t="s">
        <x:v>135</x:v>
      </x:c>
      <x:c r="E71" s="9" t="s">
        <x:v>404</x:v>
      </x:c>
      <x:c r="F71" s="9" t="s">
        <x:v>405</x:v>
      </x:c>
      <x:c r="G71" s="9" t="s">
        <x:v>406</x:v>
      </x:c>
      <x:c r="H71" s="9" t="s">
        <x:v>407</x:v>
      </x:c>
      <x:c r="I71" s="9" t="s">
        <x:v>408</x:v>
      </x:c>
      <x:c r="J71" s="9" t="s">
        <x:v>64</x:v>
      </x:c>
      <x:c r="K71" s="9" t="s">
        <x:v>409</x:v>
      </x:c>
      <x:c r="L71" s="9" t="s">
        <x:v>410</x:v>
      </x:c>
      <x:c r="M71" s="9" t="s">
        <x:v>411</x:v>
      </x:c>
      <x:c r="N71" s="8" t="s">
        <x:v>460</x:v>
      </x:c>
      <x:c r="O71" s="8"/>
      <x:c r="P71" s="8"/>
      <x:c r="Q71" s="8"/>
      <x:c r="R71" s="9" t="s">
        <x:v>413</x:v>
      </x:c>
      <x:c r="S71" s="9" t="s">
        <x:v>414</x:v>
      </x:c>
      <x:c r="T71" s="9" t="s">
        <x:v>415</x:v>
      </x:c>
      <x:c r="U71" s="8"/>
    </x:row>
    <x:row r="72" ht="42" hidden="0" customHeight="1">
      <x:c r="A72" s="9" t="s">
        <x:v>400</x:v>
      </x:c>
      <x:c r="B72" s="9" t="s">
        <x:v>461</x:v>
      </x:c>
      <x:c r="C72" s="9" t="s">
        <x:v>462</x:v>
      </x:c>
      <x:c r="D72" s="8" t="s">
        <x:v>135</x:v>
      </x:c>
      <x:c r="E72" s="9" t="s">
        <x:v>404</x:v>
      </x:c>
      <x:c r="F72" s="9" t="s">
        <x:v>405</x:v>
      </x:c>
      <x:c r="G72" s="9" t="s">
        <x:v>406</x:v>
      </x:c>
      <x:c r="H72" s="9" t="s">
        <x:v>407</x:v>
      </x:c>
      <x:c r="I72" s="9" t="s">
        <x:v>408</x:v>
      </x:c>
      <x:c r="J72" s="9" t="s">
        <x:v>64</x:v>
      </x:c>
      <x:c r="K72" s="9" t="s">
        <x:v>409</x:v>
      </x:c>
      <x:c r="L72" s="9" t="s">
        <x:v>410</x:v>
      </x:c>
      <x:c r="M72" s="9" t="s">
        <x:v>411</x:v>
      </x:c>
      <x:c r="N72" s="8" t="s">
        <x:v>463</x:v>
      </x:c>
      <x:c r="O72" s="8"/>
      <x:c r="P72" s="8"/>
      <x:c r="Q72" s="8"/>
      <x:c r="R72" s="9" t="s">
        <x:v>413</x:v>
      </x:c>
      <x:c r="S72" s="9" t="s">
        <x:v>414</x:v>
      </x:c>
      <x:c r="T72" s="9" t="s">
        <x:v>415</x:v>
      </x:c>
      <x:c r="U72" s="8"/>
    </x:row>
    <x:row r="73" ht="42" hidden="0" customHeight="1">
      <x:c r="A73" s="9" t="s">
        <x:v>400</x:v>
      </x:c>
      <x:c r="B73" s="9" t="s">
        <x:v>111</x:v>
      </x:c>
      <x:c r="C73" s="9" t="s">
        <x:v>464</x:v>
      </x:c>
      <x:c r="D73" s="8" t="s">
        <x:v>106</x:v>
      </x:c>
      <x:c r="E73" s="9" t="s">
        <x:v>404</x:v>
      </x:c>
      <x:c r="F73" s="9" t="s">
        <x:v>405</x:v>
      </x:c>
      <x:c r="G73" s="9" t="s">
        <x:v>406</x:v>
      </x:c>
      <x:c r="H73" s="9" t="s">
        <x:v>407</x:v>
      </x:c>
      <x:c r="I73" s="9" t="s">
        <x:v>408</x:v>
      </x:c>
      <x:c r="J73" s="9" t="s">
        <x:v>64</x:v>
      </x:c>
      <x:c r="K73" s="9" t="s">
        <x:v>409</x:v>
      </x:c>
      <x:c r="L73" s="9" t="s">
        <x:v>410</x:v>
      </x:c>
      <x:c r="M73" s="9" t="s">
        <x:v>411</x:v>
      </x:c>
      <x:c r="N73" s="8" t="s">
        <x:v>465</x:v>
      </x:c>
      <x:c r="O73" s="8"/>
      <x:c r="P73" s="8"/>
      <x:c r="Q73" s="8"/>
      <x:c r="R73" s="9" t="s">
        <x:v>413</x:v>
      </x:c>
      <x:c r="S73" s="9" t="s">
        <x:v>414</x:v>
      </x:c>
      <x:c r="T73" s="9" t="s">
        <x:v>415</x:v>
      </x:c>
      <x:c r="U73" s="8"/>
    </x:row>
  </x:sheetData>
  <x:mergeCells>
    <x:mergeCell ref="A1:U1"/>
  </x:mergeCells>
  <x:conditionalFormatting sqref="E4:L73">
    <x:cfRule type="containsText" dxfId="6" priority="2" aboveAverage="0" percent="0" bottom="0" operator="containsText" text="BLOCK" rank="0" equalAverage="0">
      <x:formula>NOT(ISERROR(SEARCH("BLOCK",E4)))</x:formula>
    </x:cfRule>
    <x:cfRule type="containsText" dxfId="7" priority="3" aboveAverage="0" percent="0" bottom="0" operator="containsText" text="NEEDS" rank="0" equalAverage="0">
      <x:formula>NOT(ISERROR(SEARCH("NEEDS",E4)))</x:formula>
    </x:cfRule>
    <x:cfRule type="containsText" dxfId="8" priority="4" aboveAverage="0" percent="0" bottom="0" operator="containsText" text="READY" rank="0" equalAverage="0">
      <x:formula>NOT(ISERROR(SEARCH("READY",E4)))</x:formula>
    </x:cfRule>
    <x:cfRule type="containsText" dxfId="9" priority="5" aboveAverage="0" percent="0" bottom="0" operator="containsText" text="COMPLETED" rank="0" equalAverage="0">
      <x:formula>NOT(ISERROR(SEARCH("COMPLETED",E4)))</x:formula>
    </x:cfRule>
    <x:cfRule type="containsText" dxfId="10" priority="6" aboveAverage="0" percent="0" bottom="0" operator="containsText" text="SUPERSEDED" rank="0" equalAverage="0">
      <x:formula>NOT(ISERROR(SEARCH("SUPERSEDED",E4)))</x:formula>
    </x:cfRule>
    <x:cfRule type="containsText" dxfId="11" priority="7" aboveAverage="0" percent="0" bottom="0" operator="containsText" text="N/A" rank="0" equalAverage="0">
      <x:formula>NOT(ISERROR(SEARCH("N/A",E4)))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622c442a78d43d7"/>
  </x:tableParts>
</x:worksheet>
</file>

<file path=xl/worksheets/sheet4.xml><?xml version="1.0" encoding="utf-8"?>
<x:worksheet xmlns:x="http://schemas.openxmlformats.org/spreadsheetml/2006/main">
  <x:sheetViews>
    <x:sheetView showGridLines="1" workbookViewId="0"/>
  </x:sheetViews>
  <x:sheetFormatPr defaultColWidth="10.76953125" defaultRowHeight="15"/>
  <x:cols>
    <x:col min="1" max="1" width="30.239999771118164" hidden="0" customWidth="1"/>
    <x:col min="2" max="5" width="25.209999084472656" hidden="0" customWidth="1"/>
    <x:col min="6" max="6" width="55.439998626708984" hidden="0" customWidth="1"/>
    <x:col min="7" max="14" width="47.88999938964844" hidden="0" customWidth="1"/>
    <x:col min="15" max="15" width="12.600000381469727" hidden="0" customWidth="1"/>
    <x:col min="16" max="18" width="30.239999771118164" hidden="0" customWidth="1"/>
    <x:col min="19" max="21" width="20.170000076293945" hidden="0" customWidth="1"/>
    <x:col min="22" max="24" width="42.849998474121094" hidden="0" customWidth="1"/>
    <x:col min="25" max="25" width="26.530000686645508" hidden="0" customWidth="1"/>
    <x:col min="26" max="26" width="30.6200008392334" hidden="0" customWidth="1"/>
    <x:col min="27" max="28" width="21.43000030517578" hidden="0" customWidth="1"/>
    <x:col min="29" max="30" width="38.779998779296875" hidden="0" customWidth="1"/>
  </x:cols>
  <x:sheetData>
    <x:row r="1" ht="19.200000762939453" hidden="0" customHeight="1">
      <x:c r="A1" s="1" t="s">
        <x:v>466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</x:row>
    <x:row r="2"/>
    <x:row r="3" ht="15" hidden="0" customHeight="1">
      <x:c r="A3" s="2" t="s">
        <x:v>467</x:v>
      </x:c>
      <x:c r="B3" s="11" t="s">
        <x:v>468</x:v>
      </x:c>
      <x:c r="C3" s="11" t="s">
        <x:v>469</x:v>
      </x:c>
      <x:c r="D3" s="11" t="s">
        <x:v>34</x:v>
      </x:c>
      <x:c r="E3" s="11" t="s">
        <x:v>35</x:v>
      </x:c>
      <x:c r="F3" s="11" t="s">
        <x:v>470</x:v>
      </x:c>
      <x:c r="G3" s="11" t="s">
        <x:v>471</x:v>
      </x:c>
      <x:c r="H3" s="11" t="s">
        <x:v>472</x:v>
      </x:c>
      <x:c r="I3" s="11" t="s">
        <x:v>473</x:v>
      </x:c>
      <x:c r="J3" s="11" t="s">
        <x:v>474</x:v>
      </x:c>
      <x:c r="K3" s="11" t="s">
        <x:v>475</x:v>
      </x:c>
      <x:c r="L3" s="11" t="s">
        <x:v>476</x:v>
      </x:c>
      <x:c r="M3" s="11" t="s">
        <x:v>477</x:v>
      </x:c>
      <x:c r="N3" s="11" t="s">
        <x:v>478</x:v>
      </x:c>
      <x:c r="O3" s="11" t="s">
        <x:v>479</x:v>
      </x:c>
      <x:c r="P3" s="11" t="s">
        <x:v>480</x:v>
      </x:c>
      <x:c r="Q3" s="11" t="s">
        <x:v>44</x:v>
      </x:c>
      <x:c r="R3" s="11" t="s">
        <x:v>481</x:v>
      </x:c>
      <x:c r="S3" s="11" t="s">
        <x:v>482</x:v>
      </x:c>
      <x:c r="T3" s="11" t="s">
        <x:v>483</x:v>
      </x:c>
      <x:c r="U3" s="11" t="s">
        <x:v>51</x:v>
      </x:c>
      <x:c r="V3" s="11" t="s">
        <x:v>45</x:v>
      </x:c>
      <x:c r="W3" s="11" t="s">
        <x:v>484</x:v>
      </x:c>
      <x:c r="X3" s="3" t="s">
        <x:v>46</x:v>
      </x:c>
      <x:c r="Y3" s="3" t="s">
        <x:v>49</x:v>
      </x:c>
      <x:c r="Z3" s="3" t="s">
        <x:v>50</x:v>
      </x:c>
      <x:c r="AA3" s="3" t="s">
        <x:v>52</x:v>
      </x:c>
      <x:c r="AB3" s="3" t="s">
        <x:v>53</x:v>
      </x:c>
      <x:c r="AC3" s="13" t="s">
        <x:v>54</x:v>
      </x:c>
      <x:c r="AD3" s="3" t="s">
        <x:v>485</x:v>
      </x:c>
    </x:row>
    <x:row r="4" ht="48" hidden="0" customHeight="1">
      <x:c r="A4" s="7" t="s">
        <x:v>158</x:v>
      </x:c>
      <x:c r="B4" s="7" t="s">
        <x:v>41</x:v>
      </x:c>
      <x:c r="C4" s="7" t="s">
        <x:v>486</x:v>
      </x:c>
      <x:c r="D4" s="7" t="s">
        <x:v>55</x:v>
      </x:c>
      <x:c r="E4" s="7" t="s">
        <x:v>153</x:v>
      </x:c>
      <x:c r="F4" s="7" t="s">
        <x:v>154</x:v>
      </x:c>
      <x:c r="G4" s="5" t="s">
        <x:v>487</x:v>
      </x:c>
      <x:c r="H4" s="5" t="s">
        <x:v>488</x:v>
      </x:c>
      <x:c r="I4" s="5" t="s">
        <x:v>489</x:v>
      </x:c>
      <x:c r="J4" s="7" t="s">
        <x:v>490</x:v>
      </x:c>
      <x:c r="K4" s="5" t="s">
        <x:v>491</x:v>
      </x:c>
      <x:c r="L4" s="5" t="s">
        <x:v>487</x:v>
      </x:c>
      <x:c r="M4" s="5" t="s">
        <x:v>492</x:v>
      </x:c>
      <x:c r="N4" s="5" t="s">
        <x:v>493</x:v>
      </x:c>
      <x:c r="O4" s="7" t="s">
        <x:v>494</x:v>
      </x:c>
      <x:c r="P4" s="7" t="s">
        <x:v>495</x:v>
      </x:c>
      <x:c r="Q4" s="7" t="s">
        <x:v>156</x:v>
      </x:c>
      <x:c r="R4" s="7" t="s">
        <x:v>496</x:v>
      </x:c>
      <x:c r="S4" s="7" t="s">
        <x:v>497</x:v>
      </x:c>
      <x:c r="T4" s="7" t="s">
        <x:v>498</x:v>
      </x:c>
      <x:c r="U4" s="7" t="s">
        <x:v>72</x:v>
      </x:c>
      <x:c r="V4" s="7" t="s">
        <x:v>66</x:v>
      </x:c>
      <x:c r="W4" s="7" t="s">
        <x:v>499</x:v>
      </x:c>
      <x:c r="X4" s="7" t="s">
        <x:v>500</x:v>
      </x:c>
      <x:c r="Y4" s="7" t="s">
        <x:v>159</x:v>
      </x:c>
      <x:c r="Z4" s="7" t="s">
        <x:v>160</x:v>
      </x:c>
      <x:c r="AA4" s="7" t="s">
        <x:v>73</x:v>
      </x:c>
      <x:c r="AB4" s="7" t="s">
        <x:v>74</x:v>
      </x:c>
      <x:c r="AC4" s="7" t="s">
        <x:v>75</x:v>
      </x:c>
      <x:c r="AD4" s="5"/>
    </x:row>
    <x:row r="5" ht="48" hidden="0" customHeight="1">
      <x:c r="A5" s="9" t="s">
        <x:v>100</x:v>
      </x:c>
      <x:c r="B5" s="9" t="s">
        <x:v>41</x:v>
      </x:c>
      <x:c r="C5" s="9" t="s">
        <x:v>486</x:v>
      </x:c>
      <x:c r="D5" s="9" t="s">
        <x:v>55</x:v>
      </x:c>
      <x:c r="E5" s="9" t="s">
        <x:v>95</x:v>
      </x:c>
      <x:c r="F5" s="9" t="s">
        <x:v>96</x:v>
      </x:c>
      <x:c r="G5" s="9" t="s">
        <x:v>501</x:v>
      </x:c>
      <x:c r="H5" s="8" t="s">
        <x:v>488</x:v>
      </x:c>
      <x:c r="I5" s="8" t="s">
        <x:v>489</x:v>
      </x:c>
      <x:c r="J5" s="9" t="s">
        <x:v>502</x:v>
      </x:c>
      <x:c r="K5" s="8" t="s">
        <x:v>503</x:v>
      </x:c>
      <x:c r="L5" s="9" t="s">
        <x:v>501</x:v>
      </x:c>
      <x:c r="M5" s="8" t="s">
        <x:v>504</x:v>
      </x:c>
      <x:c r="N5" s="8" t="s">
        <x:v>493</x:v>
      </x:c>
      <x:c r="O5" s="9" t="s">
        <x:v>494</x:v>
      </x:c>
      <x:c r="P5" s="9" t="s">
        <x:v>495</x:v>
      </x:c>
      <x:c r="Q5" s="9" t="s">
        <x:v>98</x:v>
      </x:c>
      <x:c r="R5" s="9" t="s">
        <x:v>505</x:v>
      </x:c>
      <x:c r="S5" s="9" t="s">
        <x:v>497</x:v>
      </x:c>
      <x:c r="T5" s="9" t="s">
        <x:v>498</x:v>
      </x:c>
      <x:c r="U5" s="9" t="s">
        <x:v>72</x:v>
      </x:c>
      <x:c r="V5" s="9" t="s">
        <x:v>66</x:v>
      </x:c>
      <x:c r="W5" s="9" t="s">
        <x:v>499</x:v>
      </x:c>
      <x:c r="X5" s="9" t="s">
        <x:v>500</x:v>
      </x:c>
      <x:c r="Y5" s="9" t="s">
        <x:v>101</x:v>
      </x:c>
      <x:c r="Z5" s="9" t="s">
        <x:v>102</x:v>
      </x:c>
      <x:c r="AA5" s="9" t="s">
        <x:v>73</x:v>
      </x:c>
      <x:c r="AB5" s="9" t="s">
        <x:v>74</x:v>
      </x:c>
      <x:c r="AC5" s="9" t="s">
        <x:v>103</x:v>
      </x:c>
      <x:c r="AD5" s="9" t="s">
        <x:v>506</x:v>
      </x:c>
    </x:row>
    <x:row r="6" ht="48" hidden="0" customHeight="1">
      <x:c r="A6" s="9" t="s">
        <x:v>91</x:v>
      </x:c>
      <x:c r="B6" s="9" t="s">
        <x:v>41</x:v>
      </x:c>
      <x:c r="C6" s="9" t="s">
        <x:v>486</x:v>
      </x:c>
      <x:c r="D6" s="9" t="s">
        <x:v>55</x:v>
      </x:c>
      <x:c r="E6" s="9" t="s">
        <x:v>83</x:v>
      </x:c>
      <x:c r="F6" s="9" t="s">
        <x:v>84</x:v>
      </x:c>
      <x:c r="G6" s="9" t="s">
        <x:v>507</x:v>
      </x:c>
      <x:c r="H6" s="8" t="s">
        <x:v>488</x:v>
      </x:c>
      <x:c r="I6" s="8" t="s">
        <x:v>489</x:v>
      </x:c>
      <x:c r="J6" s="9" t="s">
        <x:v>508</x:v>
      </x:c>
      <x:c r="K6" s="8" t="s">
        <x:v>509</x:v>
      </x:c>
      <x:c r="L6" s="9" t="s">
        <x:v>507</x:v>
      </x:c>
      <x:c r="M6" s="8" t="s">
        <x:v>510</x:v>
      </x:c>
      <x:c r="N6" s="8" t="s">
        <x:v>493</x:v>
      </x:c>
      <x:c r="O6" s="9" t="s">
        <x:v>494</x:v>
      </x:c>
      <x:c r="P6" s="9" t="s">
        <x:v>495</x:v>
      </x:c>
      <x:c r="Q6" s="9" t="s">
        <x:v>88</x:v>
      </x:c>
      <x:c r="R6" s="9" t="s">
        <x:v>505</x:v>
      </x:c>
      <x:c r="S6" s="9" t="s">
        <x:v>497</x:v>
      </x:c>
      <x:c r="T6" s="9" t="s">
        <x:v>498</x:v>
      </x:c>
      <x:c r="U6" s="9" t="s">
        <x:v>72</x:v>
      </x:c>
      <x:c r="V6" s="9" t="s">
        <x:v>89</x:v>
      </x:c>
      <x:c r="W6" s="9" t="s">
        <x:v>511</x:v>
      </x:c>
      <x:c r="X6" s="9" t="s">
        <x:v>500</x:v>
      </x:c>
      <x:c r="Y6" s="9" t="s">
        <x:v>92</x:v>
      </x:c>
      <x:c r="Z6" s="9" t="s">
        <x:v>93</x:v>
      </x:c>
      <x:c r="AA6" s="9" t="s">
        <x:v>73</x:v>
      </x:c>
      <x:c r="AB6" s="9" t="s">
        <x:v>74</x:v>
      </x:c>
      <x:c r="AC6" s="9" t="s">
        <x:v>94</x:v>
      </x:c>
      <x:c r="AD6" s="9" t="s">
        <x:v>512</x:v>
      </x:c>
    </x:row>
    <x:row r="7" ht="48" hidden="0" customHeight="1">
      <x:c r="A7" s="9" t="s">
        <x:v>176</x:v>
      </x:c>
      <x:c r="B7" s="9" t="s">
        <x:v>41</x:v>
      </x:c>
      <x:c r="C7" s="9" t="s">
        <x:v>486</x:v>
      </x:c>
      <x:c r="D7" s="9" t="s">
        <x:v>55</x:v>
      </x:c>
      <x:c r="E7" s="9" t="s">
        <x:v>173</x:v>
      </x:c>
      <x:c r="F7" s="9" t="s">
        <x:v>174</x:v>
      </x:c>
      <x:c r="G7" s="9" t="s">
        <x:v>513</x:v>
      </x:c>
      <x:c r="H7" s="8" t="s">
        <x:v>488</x:v>
      </x:c>
      <x:c r="I7" s="8" t="s">
        <x:v>489</x:v>
      </x:c>
      <x:c r="J7" s="9" t="s">
        <x:v>490</x:v>
      </x:c>
      <x:c r="K7" s="8" t="s">
        <x:v>514</x:v>
      </x:c>
      <x:c r="L7" s="9" t="s">
        <x:v>513</x:v>
      </x:c>
      <x:c r="M7" s="8" t="s">
        <x:v>515</x:v>
      </x:c>
      <x:c r="N7" s="8" t="s">
        <x:v>493</x:v>
      </x:c>
      <x:c r="O7" s="9" t="s">
        <x:v>494</x:v>
      </x:c>
      <x:c r="P7" s="9" t="s">
        <x:v>495</x:v>
      </x:c>
      <x:c r="Q7" s="9" t="s">
        <x:v>98</x:v>
      </x:c>
      <x:c r="R7" s="9" t="s">
        <x:v>516</x:v>
      </x:c>
      <x:c r="S7" s="9" t="s">
        <x:v>497</x:v>
      </x:c>
      <x:c r="T7" s="9" t="s">
        <x:v>498</x:v>
      </x:c>
      <x:c r="U7" s="9" t="s">
        <x:v>72</x:v>
      </x:c>
      <x:c r="V7" s="9" t="s">
        <x:v>66</x:v>
      </x:c>
      <x:c r="W7" s="9" t="s">
        <x:v>499</x:v>
      </x:c>
      <x:c r="X7" s="9" t="s">
        <x:v>500</x:v>
      </x:c>
      <x:c r="Y7" s="9" t="s">
        <x:v>177</x:v>
      </x:c>
      <x:c r="Z7" s="9" t="s">
        <x:v>178</x:v>
      </x:c>
      <x:c r="AA7" s="9" t="s">
        <x:v>73</x:v>
      </x:c>
      <x:c r="AB7" s="9" t="s">
        <x:v>74</x:v>
      </x:c>
      <x:c r="AC7" s="9" t="s">
        <x:v>126</x:v>
      </x:c>
      <x:c r="AD7" s="9" t="s">
        <x:v>517</x:v>
      </x:c>
    </x:row>
    <x:row r="8" ht="48" hidden="0" customHeight="1">
      <x:c r="A8" s="9" t="s">
        <x:v>170</x:v>
      </x:c>
      <x:c r="B8" s="9" t="s">
        <x:v>41</x:v>
      </x:c>
      <x:c r="C8" s="9" t="s">
        <x:v>486</x:v>
      </x:c>
      <x:c r="D8" s="9" t="s">
        <x:v>55</x:v>
      </x:c>
      <x:c r="E8" s="9" t="s">
        <x:v>167</x:v>
      </x:c>
      <x:c r="F8" s="9" t="s">
        <x:v>168</x:v>
      </x:c>
      <x:c r="G8" s="9" t="s">
        <x:v>518</x:v>
      </x:c>
      <x:c r="H8" s="8" t="s">
        <x:v>488</x:v>
      </x:c>
      <x:c r="I8" s="8" t="s">
        <x:v>489</x:v>
      </x:c>
      <x:c r="J8" s="9" t="s">
        <x:v>490</x:v>
      </x:c>
      <x:c r="K8" s="8" t="s">
        <x:v>519</x:v>
      </x:c>
      <x:c r="L8" s="9" t="s">
        <x:v>518</x:v>
      </x:c>
      <x:c r="M8" s="8" t="s">
        <x:v>520</x:v>
      </x:c>
      <x:c r="N8" s="8" t="s">
        <x:v>493</x:v>
      </x:c>
      <x:c r="O8" s="9" t="s">
        <x:v>494</x:v>
      </x:c>
      <x:c r="P8" s="9" t="s">
        <x:v>495</x:v>
      </x:c>
      <x:c r="Q8" s="9" t="s">
        <x:v>98</x:v>
      </x:c>
      <x:c r="R8" s="9" t="s">
        <x:v>516</x:v>
      </x:c>
      <x:c r="S8" s="9" t="s">
        <x:v>497</x:v>
      </x:c>
      <x:c r="T8" s="9" t="s">
        <x:v>498</x:v>
      </x:c>
      <x:c r="U8" s="9" t="s">
        <x:v>72</x:v>
      </x:c>
      <x:c r="V8" s="9" t="s">
        <x:v>66</x:v>
      </x:c>
      <x:c r="W8" s="9" t="s">
        <x:v>511</x:v>
      </x:c>
      <x:c r="X8" s="9" t="s">
        <x:v>500</x:v>
      </x:c>
      <x:c r="Y8" s="9" t="s">
        <x:v>171</x:v>
      </x:c>
      <x:c r="Z8" s="9" t="s">
        <x:v>172</x:v>
      </x:c>
      <x:c r="AA8" s="9" t="s">
        <x:v>73</x:v>
      </x:c>
      <x:c r="AB8" s="9" t="s">
        <x:v>74</x:v>
      </x:c>
      <x:c r="AC8" s="9" t="s">
        <x:v>126</x:v>
      </x:c>
      <x:c r="AD8" s="9" t="s">
        <x:v>517</x:v>
      </x:c>
    </x:row>
    <x:row r="9" ht="48" hidden="0" customHeight="1">
      <x:c r="A9" s="9" t="s">
        <x:v>122</x:v>
      </x:c>
      <x:c r="B9" s="9" t="s">
        <x:v>41</x:v>
      </x:c>
      <x:c r="C9" s="9" t="s">
        <x:v>486</x:v>
      </x:c>
      <x:c r="D9" s="9" t="s">
        <x:v>55</x:v>
      </x:c>
      <x:c r="E9" s="9" t="s">
        <x:v>118</x:v>
      </x:c>
      <x:c r="F9" s="9" t="s">
        <x:v>119</x:v>
      </x:c>
      <x:c r="G9" s="9" t="s">
        <x:v>521</x:v>
      </x:c>
      <x:c r="H9" s="8" t="s">
        <x:v>488</x:v>
      </x:c>
      <x:c r="I9" s="8" t="s">
        <x:v>489</x:v>
      </x:c>
      <x:c r="J9" s="9" t="s">
        <x:v>522</x:v>
      </x:c>
      <x:c r="K9" s="8" t="s">
        <x:v>523</x:v>
      </x:c>
      <x:c r="L9" s="9" t="s">
        <x:v>521</x:v>
      </x:c>
      <x:c r="M9" s="8" t="s">
        <x:v>524</x:v>
      </x:c>
      <x:c r="N9" s="8" t="s">
        <x:v>493</x:v>
      </x:c>
      <x:c r="O9" s="9" t="s">
        <x:v>494</x:v>
      </x:c>
      <x:c r="P9" s="9" t="s">
        <x:v>495</x:v>
      </x:c>
      <x:c r="Q9" s="9" t="s">
        <x:v>88</x:v>
      </x:c>
      <x:c r="R9" s="9" t="s">
        <x:v>505</x:v>
      </x:c>
      <x:c r="S9" s="9" t="s">
        <x:v>497</x:v>
      </x:c>
      <x:c r="T9" s="9" t="s">
        <x:v>498</x:v>
      </x:c>
      <x:c r="U9" s="9" t="s">
        <x:v>125</x:v>
      </x:c>
      <x:c r="V9" s="9" t="s">
        <x:v>89</x:v>
      </x:c>
      <x:c r="W9" s="9" t="s">
        <x:v>511</x:v>
      </x:c>
      <x:c r="X9" s="9" t="s">
        <x:v>500</x:v>
      </x:c>
      <x:c r="Y9" s="9" t="s">
        <x:v>123</x:v>
      </x:c>
      <x:c r="Z9" s="9" t="s">
        <x:v>124</x:v>
      </x:c>
      <x:c r="AA9" s="9" t="s">
        <x:v>73</x:v>
      </x:c>
      <x:c r="AB9" s="9" t="s">
        <x:v>74</x:v>
      </x:c>
      <x:c r="AC9" s="9" t="s">
        <x:v>126</x:v>
      </x:c>
      <x:c r="AD9" s="9" t="s">
        <x:v>525</x:v>
      </x:c>
    </x:row>
    <x:row r="10" ht="48" hidden="0" customHeight="1">
      <x:c r="A10" s="9" t="s">
        <x:v>130</x:v>
      </x:c>
      <x:c r="B10" s="9" t="s">
        <x:v>41</x:v>
      </x:c>
      <x:c r="C10" s="9" t="s">
        <x:v>486</x:v>
      </x:c>
      <x:c r="D10" s="9" t="s">
        <x:v>55</x:v>
      </x:c>
      <x:c r="E10" s="9" t="s">
        <x:v>127</x:v>
      </x:c>
      <x:c r="F10" s="9" t="s">
        <x:v>128</x:v>
      </x:c>
      <x:c r="G10" s="9" t="s">
        <x:v>526</x:v>
      </x:c>
      <x:c r="H10" s="8" t="s">
        <x:v>488</x:v>
      </x:c>
      <x:c r="I10" s="8" t="s">
        <x:v>489</x:v>
      </x:c>
      <x:c r="J10" s="9" t="s">
        <x:v>527</x:v>
      </x:c>
      <x:c r="K10" s="8" t="s">
        <x:v>528</x:v>
      </x:c>
      <x:c r="L10" s="9" t="s">
        <x:v>526</x:v>
      </x:c>
      <x:c r="M10" s="9" t="s">
        <x:v>529</x:v>
      </x:c>
      <x:c r="N10" s="8" t="s">
        <x:v>493</x:v>
      </x:c>
      <x:c r="O10" s="9" t="s">
        <x:v>494</x:v>
      </x:c>
      <x:c r="P10" s="9" t="s">
        <x:v>495</x:v>
      </x:c>
      <x:c r="Q10" s="9" t="s">
        <x:v>98</x:v>
      </x:c>
      <x:c r="R10" s="9" t="s">
        <x:v>505</x:v>
      </x:c>
      <x:c r="S10" s="9" t="s">
        <x:v>497</x:v>
      </x:c>
      <x:c r="T10" s="9" t="s">
        <x:v>498</x:v>
      </x:c>
      <x:c r="U10" s="9" t="s">
        <x:v>72</x:v>
      </x:c>
      <x:c r="V10" s="9" t="s">
        <x:v>66</x:v>
      </x:c>
      <x:c r="W10" s="9" t="s">
        <x:v>499</x:v>
      </x:c>
      <x:c r="X10" s="9" t="s">
        <x:v>500</x:v>
      </x:c>
      <x:c r="Y10" s="9" t="s">
        <x:v>131</x:v>
      </x:c>
      <x:c r="Z10" s="9" t="s">
        <x:v>132</x:v>
      </x:c>
      <x:c r="AA10" s="9" t="s">
        <x:v>73</x:v>
      </x:c>
      <x:c r="AB10" s="9" t="s">
        <x:v>74</x:v>
      </x:c>
      <x:c r="AC10" s="9" t="s">
        <x:v>126</x:v>
      </x:c>
      <x:c r="AD10" s="9" t="s">
        <x:v>530</x:v>
      </x:c>
    </x:row>
    <x:row r="11" ht="60" hidden="0" customHeight="1">
      <x:c r="A11" s="9" t="s">
        <x:v>137</x:v>
      </x:c>
      <x:c r="B11" s="9" t="s">
        <x:v>41</x:v>
      </x:c>
      <x:c r="C11" s="9" t="s">
        <x:v>486</x:v>
      </x:c>
      <x:c r="D11" s="9" t="s">
        <x:v>55</x:v>
      </x:c>
      <x:c r="E11" s="9" t="s">
        <x:v>133</x:v>
      </x:c>
      <x:c r="F11" s="9" t="s">
        <x:v>134</x:v>
      </x:c>
      <x:c r="G11" s="9" t="s">
        <x:v>531</x:v>
      </x:c>
      <x:c r="H11" s="8" t="s">
        <x:v>488</x:v>
      </x:c>
      <x:c r="I11" s="8" t="s">
        <x:v>489</x:v>
      </x:c>
      <x:c r="J11" s="9" t="s">
        <x:v>532</x:v>
      </x:c>
      <x:c r="K11" s="8" t="s">
        <x:v>533</x:v>
      </x:c>
      <x:c r="L11" s="9" t="s">
        <x:v>531</x:v>
      </x:c>
      <x:c r="M11" s="9" t="s">
        <x:v>529</x:v>
      </x:c>
      <x:c r="N11" s="8" t="s">
        <x:v>493</x:v>
      </x:c>
      <x:c r="O11" s="9" t="s">
        <x:v>494</x:v>
      </x:c>
      <x:c r="P11" s="9" t="s">
        <x:v>495</x:v>
      </x:c>
      <x:c r="Q11" s="9" t="s">
        <x:v>98</x:v>
      </x:c>
      <x:c r="R11" s="9" t="s">
        <x:v>534</x:v>
      </x:c>
      <x:c r="S11" s="9" t="s">
        <x:v>497</x:v>
      </x:c>
      <x:c r="T11" s="9" t="s">
        <x:v>498</x:v>
      </x:c>
      <x:c r="U11" s="9" t="s">
        <x:v>72</x:v>
      </x:c>
      <x:c r="V11" s="9" t="s">
        <x:v>66</x:v>
      </x:c>
      <x:c r="W11" s="9" t="s">
        <x:v>499</x:v>
      </x:c>
      <x:c r="X11" s="9" t="s">
        <x:v>500</x:v>
      </x:c>
      <x:c r="Y11" s="9" t="s">
        <x:v>138</x:v>
      </x:c>
      <x:c r="Z11" s="9" t="s">
        <x:v>139</x:v>
      </x:c>
      <x:c r="AA11" s="9" t="s">
        <x:v>73</x:v>
      </x:c>
      <x:c r="AB11" s="9" t="s">
        <x:v>74</x:v>
      </x:c>
      <x:c r="AC11" s="9" t="s">
        <x:v>140</x:v>
      </x:c>
      <x:c r="AD11" s="9" t="s">
        <x:v>535</x:v>
      </x:c>
    </x:row>
    <x:row r="12" ht="60" hidden="0" customHeight="1">
      <x:c r="A12" s="9" t="s">
        <x:v>144</x:v>
      </x:c>
      <x:c r="B12" s="9" t="s">
        <x:v>41</x:v>
      </x:c>
      <x:c r="C12" s="9" t="s">
        <x:v>486</x:v>
      </x:c>
      <x:c r="D12" s="9" t="s">
        <x:v>55</x:v>
      </x:c>
      <x:c r="E12" s="9" t="s">
        <x:v>141</x:v>
      </x:c>
      <x:c r="F12" s="9" t="s">
        <x:v>142</x:v>
      </x:c>
      <x:c r="G12" s="9" t="s">
        <x:v>536</x:v>
      </x:c>
      <x:c r="H12" s="8" t="s">
        <x:v>488</x:v>
      </x:c>
      <x:c r="I12" s="8" t="s">
        <x:v>489</x:v>
      </x:c>
      <x:c r="J12" s="9" t="s">
        <x:v>532</x:v>
      </x:c>
      <x:c r="K12" s="8" t="s">
        <x:v>537</x:v>
      </x:c>
      <x:c r="L12" s="9" t="s">
        <x:v>536</x:v>
      </x:c>
      <x:c r="M12" s="9" t="s">
        <x:v>529</x:v>
      </x:c>
      <x:c r="N12" s="8" t="s">
        <x:v>493</x:v>
      </x:c>
      <x:c r="O12" s="9" t="s">
        <x:v>494</x:v>
      </x:c>
      <x:c r="P12" s="9" t="s">
        <x:v>495</x:v>
      </x:c>
      <x:c r="Q12" s="9" t="s">
        <x:v>98</x:v>
      </x:c>
      <x:c r="R12" s="9" t="s">
        <x:v>534</x:v>
      </x:c>
      <x:c r="S12" s="9" t="s">
        <x:v>497</x:v>
      </x:c>
      <x:c r="T12" s="9" t="s">
        <x:v>498</x:v>
      </x:c>
      <x:c r="U12" s="9" t="s">
        <x:v>72</x:v>
      </x:c>
      <x:c r="V12" s="9" t="s">
        <x:v>66</x:v>
      </x:c>
      <x:c r="W12" s="9" t="s">
        <x:v>499</x:v>
      </x:c>
      <x:c r="X12" s="9" t="s">
        <x:v>500</x:v>
      </x:c>
      <x:c r="Y12" s="9" t="s">
        <x:v>145</x:v>
      </x:c>
      <x:c r="Z12" s="9" t="s">
        <x:v>146</x:v>
      </x:c>
      <x:c r="AA12" s="9" t="s">
        <x:v>73</x:v>
      </x:c>
      <x:c r="AB12" s="9" t="s">
        <x:v>74</x:v>
      </x:c>
      <x:c r="AC12" s="9" t="s">
        <x:v>140</x:v>
      </x:c>
      <x:c r="AD12" s="9" t="s">
        <x:v>535</x:v>
      </x:c>
    </x:row>
    <x:row r="13" ht="48" hidden="0" customHeight="1">
      <x:c r="A13" s="9" t="s">
        <x:v>108</x:v>
      </x:c>
      <x:c r="B13" s="9" t="s">
        <x:v>41</x:v>
      </x:c>
      <x:c r="C13" s="9" t="s">
        <x:v>486</x:v>
      </x:c>
      <x:c r="D13" s="9" t="s">
        <x:v>55</x:v>
      </x:c>
      <x:c r="E13" s="9" t="s">
        <x:v>104</x:v>
      </x:c>
      <x:c r="F13" s="9" t="s">
        <x:v>105</x:v>
      </x:c>
      <x:c r="G13" s="8" t="s">
        <x:v>538</x:v>
      </x:c>
      <x:c r="H13" s="8" t="s">
        <x:v>488</x:v>
      </x:c>
      <x:c r="I13" s="8" t="s">
        <x:v>489</x:v>
      </x:c>
      <x:c r="J13" s="9" t="s">
        <x:v>490</x:v>
      </x:c>
      <x:c r="K13" s="8" t="s">
        <x:v>539</x:v>
      </x:c>
      <x:c r="L13" s="8" t="s">
        <x:v>538</x:v>
      </x:c>
      <x:c r="M13" s="8" t="s">
        <x:v>492</x:v>
      </x:c>
      <x:c r="N13" s="8" t="s">
        <x:v>493</x:v>
      </x:c>
      <x:c r="O13" s="9" t="s">
        <x:v>494</x:v>
      </x:c>
      <x:c r="P13" s="9" t="s">
        <x:v>495</x:v>
      </x:c>
      <x:c r="Q13" s="9" t="s">
        <x:v>98</x:v>
      </x:c>
      <x:c r="R13" s="9" t="s">
        <x:v>534</x:v>
      </x:c>
      <x:c r="S13" s="9" t="s">
        <x:v>497</x:v>
      </x:c>
      <x:c r="T13" s="9" t="s">
        <x:v>498</x:v>
      </x:c>
      <x:c r="U13" s="9" t="s">
        <x:v>72</x:v>
      </x:c>
      <x:c r="V13" s="9" t="s">
        <x:v>66</x:v>
      </x:c>
      <x:c r="W13" s="9" t="s">
        <x:v>499</x:v>
      </x:c>
      <x:c r="X13" s="9" t="s">
        <x:v>500</x:v>
      </x:c>
      <x:c r="Y13" s="9" t="s">
        <x:v>109</x:v>
      </x:c>
      <x:c r="Z13" s="9" t="s">
        <x:v>110</x:v>
      </x:c>
      <x:c r="AA13" s="9" t="s">
        <x:v>73</x:v>
      </x:c>
      <x:c r="AB13" s="9" t="s">
        <x:v>74</x:v>
      </x:c>
      <x:c r="AC13" s="9" t="s">
        <x:v>75</x:v>
      </x:c>
      <x:c r="AD13" s="8"/>
    </x:row>
    <x:row r="14" ht="48" hidden="0" customHeight="1">
      <x:c r="A14" s="9" t="s">
        <x:v>114</x:v>
      </x:c>
      <x:c r="B14" s="9" t="s">
        <x:v>41</x:v>
      </x:c>
      <x:c r="C14" s="9" t="s">
        <x:v>486</x:v>
      </x:c>
      <x:c r="D14" s="9" t="s">
        <x:v>55</x:v>
      </x:c>
      <x:c r="E14" s="9" t="s">
        <x:v>111</x:v>
      </x:c>
      <x:c r="F14" s="9" t="s">
        <x:v>112</x:v>
      </x:c>
      <x:c r="G14" s="9" t="str">
        <x:v>P-256或SM2 challenge-response；鉴权前读取soc_dbg_en_out并确认关闭，鉴权成功后再次读取并验证实际Debug访问已开放</x:v>
      </x:c>
      <x:c r="H14" s="8" t="s">
        <x:v>488</x:v>
      </x:c>
      <x:c r="I14" s="8" t="s">
        <x:v>489</x:v>
      </x:c>
      <x:c r="J14" s="9" t="str">
        <x:v>eHSM处于BL阶段；Debug Auth专用测试环境与资源可恢复；soc_dbg_en_out地址/期望位和实际Debug访问方法已冻结</x:v>
      </x:c>
      <x:c r="K14" s="8" t="str">
        <x:v>读取soc_dbg_en_out基线并确认实际Debug被拒绝；获取challenge并提交合法响应；记录原始返回；再次读取soc_dbg_en_out并尝试批准的实际Debug访问；结束时执行CLOSE_DEBUG清理</x:v>
      </x:c>
      <x:c r="L14" s="9" t="str">
        <x:v>合法challenge-response、soc_dbg_en_out鉴权前后快照、实际Debug访问结果</x:v>
      </x:c>
      <x:c r="M14" s="9" t="str">
        <x:v>鉴权成功；soc_dbg_en_out变为批准值；实际Debug访问开放；CLOSE_DEBUG后恢复关闭</x:v>
      </x:c>
      <x:c r="N14" s="8" t="str">
        <x:v>Mailbox原始成功、soc_dbg_en_out状态和实际Debug访问三者一致；任一不同步即FAIL</x:v>
      </x:c>
      <x:c r="O14" s="9" t="s">
        <x:v>494</x:v>
      </x:c>
      <x:c r="P14" s="9" t="s">
        <x:v>495</x:v>
      </x:c>
      <x:c r="Q14" s="9" t="s">
        <x:v>98</x:v>
      </x:c>
      <x:c r="R14" s="9" t="s">
        <x:v>534</x:v>
      </x:c>
      <x:c r="S14" s="9" t="s">
        <x:v>497</x:v>
      </x:c>
      <x:c r="T14" s="9" t="s">
        <x:v>498</x:v>
      </x:c>
      <x:c r="U14" s="9" t="s">
        <x:v>72</x:v>
      </x:c>
      <x:c r="V14" s="9" t="s">
        <x:v>66</x:v>
      </x:c>
      <x:c r="W14" s="9" t="str">
        <x:v>NEEDS_DEBUG_AUTH_FIXTURE_AND_SOC_DBG_EN_OUT_BINDING</x:v>
      </x:c>
      <x:c r="X14" s="9" t="s">
        <x:v>500</x:v>
      </x:c>
      <x:c r="Y14" s="9" t="s">
        <x:v>115</x:v>
      </x:c>
      <x:c r="Z14" s="9" t="s">
        <x:v>116</x:v>
      </x:c>
      <x:c r="AA14" s="9" t="s">
        <x:v>73</x:v>
      </x:c>
      <x:c r="AB14" s="9" t="s">
        <x:v>74</x:v>
      </x:c>
      <x:c r="AC14" s="9" t="s">
        <x:v>117</x:v>
      </x:c>
      <x:c r="AD14" s="9" t="s">
        <x:v>535</x:v>
      </x:c>
    </x:row>
    <x:row r="15" ht="48" hidden="0" customHeight="1">
      <x:c r="A15" s="9" t="s">
        <x:v>150</x:v>
      </x:c>
      <x:c r="B15" s="9" t="s">
        <x:v>41</x:v>
      </x:c>
      <x:c r="C15" s="9" t="s">
        <x:v>486</x:v>
      </x:c>
      <x:c r="D15" s="9" t="s">
        <x:v>55</x:v>
      </x:c>
      <x:c r="E15" s="9" t="s">
        <x:v>147</x:v>
      </x:c>
      <x:c r="F15" s="9" t="s">
        <x:v>148</x:v>
      </x:c>
      <x:c r="G15" s="9" t="str">
        <x:v>CLOSE_DEBUG；检查soc_dbg_en_out状态和实际Debug访问同步关闭</x:v>
      </x:c>
      <x:c r="H15" s="8" t="s">
        <x:v>488</x:v>
      </x:c>
      <x:c r="I15" s="8" t="s">
        <x:v>489</x:v>
      </x:c>
      <x:c r="J15" s="9" t="str">
        <x:v>eHSM处于BL阶段且Debug已通过合法鉴权打开；soc_dbg_en_out和实际Debug访问可观测</x:v>
      </x:c>
      <x:c r="K15" s="8" t="str">
        <x:v>记录关闭前soc_dbg_en_out及实际Debug可访问状态；执行CLOSE_DEBUG；读取原始返回和soc_dbg_en_out；再次尝试实际Debug访问；执行健康查询</x:v>
      </x:c>
      <x:c r="L15" s="9" t="str">
        <x:v>已打开的Debug状态 + CLOSE_DEBUG</x:v>
      </x:c>
      <x:c r="M15" s="8" t="str">
        <x:v>CLOSE_DEBUG成功；实际Debug访问恢复拒绝；soc_dbg_en_out状态和最终输出同步关闭；Mailbox服务健康</x:v>
      </x:c>
      <x:c r="N15" s="8" t="str">
        <x:v>命令返回、soc_dbg_en_out和实际Debug关闭三者同时满足才PASS</x:v>
      </x:c>
      <x:c r="O15" s="9" t="s">
        <x:v>494</x:v>
      </x:c>
      <x:c r="P15" s="9" t="s">
        <x:v>495</x:v>
      </x:c>
      <x:c r="Q15" s="9" t="s">
        <x:v>98</x:v>
      </x:c>
      <x:c r="R15" s="9" t="s">
        <x:v>534</x:v>
      </x:c>
      <x:c r="S15" s="9" t="s">
        <x:v>497</x:v>
      </x:c>
      <x:c r="T15" s="9" t="s">
        <x:v>498</x:v>
      </x:c>
      <x:c r="U15" s="9" t="s">
        <x:v>72</x:v>
      </x:c>
      <x:c r="V15" s="9" t="s">
        <x:v>66</x:v>
      </x:c>
      <x:c r="W15" s="9" t="str">
        <x:v>NEEDS_SOC_DBG_EN_OUT_AND_DEBUG_PATH_BINDING</x:v>
      </x:c>
      <x:c r="X15" s="9" t="s">
        <x:v>500</x:v>
      </x:c>
      <x:c r="Y15" s="9" t="s">
        <x:v>151</x:v>
      </x:c>
      <x:c r="Z15" s="9" t="s">
        <x:v>152</x:v>
      </x:c>
      <x:c r="AA15" s="9" t="s">
        <x:v>73</x:v>
      </x:c>
      <x:c r="AB15" s="9" t="s">
        <x:v>74</x:v>
      </x:c>
      <x:c r="AC15" s="9" t="s">
        <x:v>140</x:v>
      </x:c>
      <x:c r="AD15" s="9" t="s">
        <x:v>540</x:v>
      </x:c>
    </x:row>
    <x:row r="16" ht="48" hidden="0" customHeight="1">
      <x:c r="A16" s="9" t="s">
        <x:v>80</x:v>
      </x:c>
      <x:c r="B16" s="9" t="s">
        <x:v>41</x:v>
      </x:c>
      <x:c r="C16" s="9" t="s">
        <x:v>486</x:v>
      </x:c>
      <x:c r="D16" s="9" t="s">
        <x:v>55</x:v>
      </x:c>
      <x:c r="E16" s="9" t="s">
        <x:v>76</x:v>
      </x:c>
      <x:c r="F16" s="9" t="s">
        <x:v>77</x:v>
      </x:c>
      <x:c r="G16" s="9" t="s">
        <x:v>541</x:v>
      </x:c>
      <x:c r="H16" s="8" t="s">
        <x:v>488</x:v>
      </x:c>
      <x:c r="I16" s="8" t="s">
        <x:v>489</x:v>
      </x:c>
      <x:c r="J16" s="9" t="s">
        <x:v>490</x:v>
      </x:c>
      <x:c r="K16" s="8" t="s">
        <x:v>542</x:v>
      </x:c>
      <x:c r="L16" s="9" t="s">
        <x:v>541</x:v>
      </x:c>
      <x:c r="M16" s="8" t="s">
        <x:v>492</x:v>
      </x:c>
      <x:c r="N16" s="8" t="s">
        <x:v>493</x:v>
      </x:c>
      <x:c r="O16" s="9" t="s">
        <x:v>494</x:v>
      </x:c>
      <x:c r="P16" s="9" t="s">
        <x:v>495</x:v>
      </x:c>
      <x:c r="Q16" s="9" t="s">
        <x:v>65</x:v>
      </x:c>
      <x:c r="R16" s="9" t="s">
        <x:v>516</x:v>
      </x:c>
      <x:c r="S16" s="9" t="s">
        <x:v>497</x:v>
      </x:c>
      <x:c r="T16" s="9" t="s">
        <x:v>498</x:v>
      </x:c>
      <x:c r="U16" s="9" t="s">
        <x:v>72</x:v>
      </x:c>
      <x:c r="V16" s="9" t="s">
        <x:v>66</x:v>
      </x:c>
      <x:c r="W16" s="9" t="s">
        <x:v>499</x:v>
      </x:c>
      <x:c r="X16" s="9" t="s">
        <x:v>500</x:v>
      </x:c>
      <x:c r="Y16" s="9" t="s">
        <x:v>81</x:v>
      </x:c>
      <x:c r="Z16" s="9" t="s">
        <x:v>82</x:v>
      </x:c>
      <x:c r="AA16" s="9" t="s">
        <x:v>73</x:v>
      </x:c>
      <x:c r="AB16" s="9" t="s">
        <x:v>74</x:v>
      </x:c>
      <x:c r="AC16" s="9" t="s">
        <x:v>75</x:v>
      </x:c>
      <x:c r="AD16" s="9" t="s">
        <x:v>517</x:v>
      </x:c>
    </x:row>
    <x:row r="17" ht="48" hidden="0" customHeight="1">
      <x:c r="A17" s="9" t="s">
        <x:v>69</x:v>
      </x:c>
      <x:c r="B17" s="9" t="s">
        <x:v>41</x:v>
      </x:c>
      <x:c r="C17" s="9" t="s">
        <x:v>486</x:v>
      </x:c>
      <x:c r="D17" s="9" t="s">
        <x:v>55</x:v>
      </x:c>
      <x:c r="E17" s="9" t="s">
        <x:v>56</x:v>
      </x:c>
      <x:c r="F17" s="9" t="s">
        <x:v>57</x:v>
      </x:c>
      <x:c r="G17" s="8" t="s">
        <x:v>543</x:v>
      </x:c>
      <x:c r="H17" s="8" t="s">
        <x:v>488</x:v>
      </x:c>
      <x:c r="I17" s="8" t="s">
        <x:v>489</x:v>
      </x:c>
      <x:c r="J17" s="9" t="s">
        <x:v>490</x:v>
      </x:c>
      <x:c r="K17" s="8" t="s">
        <x:v>544</x:v>
      </x:c>
      <x:c r="L17" s="8" t="s">
        <x:v>543</x:v>
      </x:c>
      <x:c r="M17" s="8" t="s">
        <x:v>492</x:v>
      </x:c>
      <x:c r="N17" s="8" t="s">
        <x:v>493</x:v>
      </x:c>
      <x:c r="O17" s="9" t="s">
        <x:v>494</x:v>
      </x:c>
      <x:c r="P17" s="9" t="s">
        <x:v>495</x:v>
      </x:c>
      <x:c r="Q17" s="9" t="s">
        <x:v>65</x:v>
      </x:c>
      <x:c r="R17" s="9" t="s">
        <x:v>496</x:v>
      </x:c>
      <x:c r="S17" s="9" t="s">
        <x:v>497</x:v>
      </x:c>
      <x:c r="T17" s="9" t="s">
        <x:v>498</x:v>
      </x:c>
      <x:c r="U17" s="9" t="s">
        <x:v>72</x:v>
      </x:c>
      <x:c r="V17" s="9" t="s">
        <x:v>66</x:v>
      </x:c>
      <x:c r="W17" s="9" t="s">
        <x:v>499</x:v>
      </x:c>
      <x:c r="X17" s="9" t="s">
        <x:v>500</x:v>
      </x:c>
      <x:c r="Y17" s="9" t="s">
        <x:v>70</x:v>
      </x:c>
      <x:c r="Z17" s="9" t="s">
        <x:v>71</x:v>
      </x:c>
      <x:c r="AA17" s="9" t="s">
        <x:v>73</x:v>
      </x:c>
      <x:c r="AB17" s="9" t="s">
        <x:v>74</x:v>
      </x:c>
      <x:c r="AC17" s="9" t="s">
        <x:v>75</x:v>
      </x:c>
      <x:c r="AD17" s="8"/>
    </x:row>
    <x:row r="18" ht="48" hidden="0" customHeight="1">
      <x:c r="A18" s="9" t="s">
        <x:v>164</x:v>
      </x:c>
      <x:c r="B18" s="9" t="s">
        <x:v>41</x:v>
      </x:c>
      <x:c r="C18" s="9" t="s">
        <x:v>486</x:v>
      </x:c>
      <x:c r="D18" s="9" t="s">
        <x:v>55</x:v>
      </x:c>
      <x:c r="E18" s="9" t="s">
        <x:v>161</x:v>
      </x:c>
      <x:c r="F18" s="9" t="s">
        <x:v>162</x:v>
      </x:c>
      <x:c r="G18" s="8" t="s">
        <x:v>545</x:v>
      </x:c>
      <x:c r="H18" s="8" t="s">
        <x:v>488</x:v>
      </x:c>
      <x:c r="I18" s="8" t="s">
        <x:v>489</x:v>
      </x:c>
      <x:c r="J18" s="9" t="s">
        <x:v>490</x:v>
      </x:c>
      <x:c r="K18" s="8" t="s">
        <x:v>546</x:v>
      </x:c>
      <x:c r="L18" s="8" t="s">
        <x:v>545</x:v>
      </x:c>
      <x:c r="M18" s="8" t="s">
        <x:v>492</x:v>
      </x:c>
      <x:c r="N18" s="8" t="s">
        <x:v>493</x:v>
      </x:c>
      <x:c r="O18" s="9" t="s">
        <x:v>494</x:v>
      </x:c>
      <x:c r="P18" s="9" t="s">
        <x:v>495</x:v>
      </x:c>
      <x:c r="Q18" s="9" t="s">
        <x:v>65</x:v>
      </x:c>
      <x:c r="R18" s="9" t="s">
        <x:v>496</x:v>
      </x:c>
      <x:c r="S18" s="9" t="s">
        <x:v>497</x:v>
      </x:c>
      <x:c r="T18" s="9" t="s">
        <x:v>498</x:v>
      </x:c>
      <x:c r="U18" s="9" t="s">
        <x:v>72</x:v>
      </x:c>
      <x:c r="V18" s="9" t="s">
        <x:v>66</x:v>
      </x:c>
      <x:c r="W18" s="9" t="s">
        <x:v>499</x:v>
      </x:c>
      <x:c r="X18" s="9" t="s">
        <x:v>500</x:v>
      </x:c>
      <x:c r="Y18" s="9" t="s">
        <x:v>165</x:v>
      </x:c>
      <x:c r="Z18" s="9" t="s">
        <x:v>166</x:v>
      </x:c>
      <x:c r="AA18" s="9" t="s">
        <x:v>73</x:v>
      </x:c>
      <x:c r="AB18" s="9" t="s">
        <x:v>74</x:v>
      </x:c>
      <x:c r="AC18" s="9" t="s">
        <x:v>75</x:v>
      </x:c>
      <x:c r="AD18" s="8"/>
    </x:row>
    <x:row r="19" ht="48" hidden="0" customHeight="1">
      <x:c r="A19" s="9" t="s">
        <x:v>191</x:v>
      </x:c>
      <x:c r="B19" s="9" t="s">
        <x:v>41</x:v>
      </x:c>
      <x:c r="C19" s="9" t="s">
        <x:v>486</x:v>
      </x:c>
      <x:c r="D19" s="9" t="s">
        <x:v>179</x:v>
      </x:c>
      <x:c r="E19" s="9" t="s">
        <x:v>187</x:v>
      </x:c>
      <x:c r="F19" s="9" t="s">
        <x:v>188</x:v>
      </x:c>
      <x:c r="G19" s="9" t="s">
        <x:v>547</x:v>
      </x:c>
      <x:c r="H19" s="8" t="s">
        <x:v>488</x:v>
      </x:c>
      <x:c r="I19" s="8" t="s">
        <x:v>489</x:v>
      </x:c>
      <x:c r="J19" s="9" t="s">
        <x:v>548</x:v>
      </x:c>
      <x:c r="K19" s="8" t="s">
        <x:v>549</x:v>
      </x:c>
      <x:c r="L19" s="9" t="s">
        <x:v>547</x:v>
      </x:c>
      <x:c r="M19" s="8" t="s">
        <x:v>550</x:v>
      </x:c>
      <x:c r="N19" s="8" t="s">
        <x:v>493</x:v>
      </x:c>
      <x:c r="O19" s="9" t="s">
        <x:v>494</x:v>
      </x:c>
      <x:c r="P19" s="9" t="s">
        <x:v>495</x:v>
      </x:c>
      <x:c r="Q19" s="9" t="s">
        <x:v>65</x:v>
      </x:c>
      <x:c r="R19" s="9" t="s">
        <x:v>516</x:v>
      </x:c>
      <x:c r="S19" s="9" t="s">
        <x:v>497</x:v>
      </x:c>
      <x:c r="T19" s="9" t="s">
        <x:v>498</x:v>
      </x:c>
      <x:c r="U19" s="9" t="s">
        <x:v>72</x:v>
      </x:c>
      <x:c r="V19" s="9" t="s">
        <x:v>66</x:v>
      </x:c>
      <x:c r="W19" s="9" t="s">
        <x:v>499</x:v>
      </x:c>
      <x:c r="X19" s="9" t="s">
        <x:v>551</x:v>
      </x:c>
      <x:c r="Y19" s="9" t="s">
        <x:v>192</x:v>
      </x:c>
      <x:c r="Z19" s="9" t="s">
        <x:v>193</x:v>
      </x:c>
      <x:c r="AA19" s="9" t="s">
        <x:v>73</x:v>
      </x:c>
      <x:c r="AB19" s="9" t="s">
        <x:v>74</x:v>
      </x:c>
      <x:c r="AC19" s="9" t="s">
        <x:v>194</x:v>
      </x:c>
      <x:c r="AD19" s="9" t="s">
        <x:v>552</x:v>
      </x:c>
    </x:row>
    <x:row r="20" ht="48" hidden="0" customHeight="1">
      <x:c r="A20" s="9" t="s">
        <x:v>198</x:v>
      </x:c>
      <x:c r="B20" s="9" t="s">
        <x:v>41</x:v>
      </x:c>
      <x:c r="C20" s="9" t="s">
        <x:v>486</x:v>
      </x:c>
      <x:c r="D20" s="9" t="s">
        <x:v>179</x:v>
      </x:c>
      <x:c r="E20" s="9" t="s">
        <x:v>195</x:v>
      </x:c>
      <x:c r="F20" s="9" t="s">
        <x:v>196</x:v>
      </x:c>
      <x:c r="G20" s="9" t="s">
        <x:v>553</x:v>
      </x:c>
      <x:c r="H20" s="8" t="s">
        <x:v>488</x:v>
      </x:c>
      <x:c r="I20" s="8" t="s">
        <x:v>489</x:v>
      </x:c>
      <x:c r="J20" s="9" t="s">
        <x:v>548</x:v>
      </x:c>
      <x:c r="K20" s="8" t="s">
        <x:v>554</x:v>
      </x:c>
      <x:c r="L20" s="9" t="s">
        <x:v>553</x:v>
      </x:c>
      <x:c r="M20" s="8" t="s">
        <x:v>550</x:v>
      </x:c>
      <x:c r="N20" s="8" t="s">
        <x:v>493</x:v>
      </x:c>
      <x:c r="O20" s="9" t="s">
        <x:v>494</x:v>
      </x:c>
      <x:c r="P20" s="9" t="s">
        <x:v>495</x:v>
      </x:c>
      <x:c r="Q20" s="9" t="s">
        <x:v>65</x:v>
      </x:c>
      <x:c r="R20" s="9" t="s">
        <x:v>516</x:v>
      </x:c>
      <x:c r="S20" s="9" t="s">
        <x:v>497</x:v>
      </x:c>
      <x:c r="T20" s="9" t="s">
        <x:v>498</x:v>
      </x:c>
      <x:c r="U20" s="9" t="s">
        <x:v>72</x:v>
      </x:c>
      <x:c r="V20" s="9" t="s">
        <x:v>66</x:v>
      </x:c>
      <x:c r="W20" s="9" t="s">
        <x:v>499</x:v>
      </x:c>
      <x:c r="X20" s="9" t="s">
        <x:v>551</x:v>
      </x:c>
      <x:c r="Y20" s="9" t="s">
        <x:v>199</x:v>
      </x:c>
      <x:c r="Z20" s="9" t="s">
        <x:v>200</x:v>
      </x:c>
      <x:c r="AA20" s="9" t="s">
        <x:v>73</x:v>
      </x:c>
      <x:c r="AB20" s="9" t="s">
        <x:v>74</x:v>
      </x:c>
      <x:c r="AC20" s="9" t="s">
        <x:v>201</x:v>
      </x:c>
      <x:c r="AD20" s="9" t="s">
        <x:v>552</x:v>
      </x:c>
    </x:row>
    <x:row r="21" ht="48" hidden="0" customHeight="1">
      <x:c r="A21" s="9" t="s">
        <x:v>205</x:v>
      </x:c>
      <x:c r="B21" s="9" t="s">
        <x:v>41</x:v>
      </x:c>
      <x:c r="C21" s="9" t="s">
        <x:v>486</x:v>
      </x:c>
      <x:c r="D21" s="9" t="s">
        <x:v>179</x:v>
      </x:c>
      <x:c r="E21" s="9" t="s">
        <x:v>202</x:v>
      </x:c>
      <x:c r="F21" s="9" t="s">
        <x:v>203</x:v>
      </x:c>
      <x:c r="G21" s="9" t="s">
        <x:v>555</x:v>
      </x:c>
      <x:c r="H21" s="8" t="s">
        <x:v>488</x:v>
      </x:c>
      <x:c r="I21" s="8" t="s">
        <x:v>489</x:v>
      </x:c>
      <x:c r="J21" s="9" t="s">
        <x:v>548</x:v>
      </x:c>
      <x:c r="K21" s="8" t="s">
        <x:v>556</x:v>
      </x:c>
      <x:c r="L21" s="9" t="s">
        <x:v>555</x:v>
      </x:c>
      <x:c r="M21" s="8" t="s">
        <x:v>550</x:v>
      </x:c>
      <x:c r="N21" s="8" t="s">
        <x:v>493</x:v>
      </x:c>
      <x:c r="O21" s="9" t="s">
        <x:v>494</x:v>
      </x:c>
      <x:c r="P21" s="9" t="s">
        <x:v>495</x:v>
      </x:c>
      <x:c r="Q21" s="9" t="s">
        <x:v>65</x:v>
      </x:c>
      <x:c r="R21" s="9" t="s">
        <x:v>516</x:v>
      </x:c>
      <x:c r="S21" s="9" t="s">
        <x:v>497</x:v>
      </x:c>
      <x:c r="T21" s="9" t="s">
        <x:v>498</x:v>
      </x:c>
      <x:c r="U21" s="9" t="s">
        <x:v>72</x:v>
      </x:c>
      <x:c r="V21" s="9" t="s">
        <x:v>66</x:v>
      </x:c>
      <x:c r="W21" s="9" t="s">
        <x:v>499</x:v>
      </x:c>
      <x:c r="X21" s="9" t="s">
        <x:v>551</x:v>
      </x:c>
      <x:c r="Y21" s="9" t="s">
        <x:v>206</x:v>
      </x:c>
      <x:c r="Z21" s="9" t="s">
        <x:v>207</x:v>
      </x:c>
      <x:c r="AA21" s="9" t="s">
        <x:v>73</x:v>
      </x:c>
      <x:c r="AB21" s="9" t="s">
        <x:v>74</x:v>
      </x:c>
      <x:c r="AC21" s="9" t="s">
        <x:v>201</x:v>
      </x:c>
      <x:c r="AD21" s="9" t="s">
        <x:v>552</x:v>
      </x:c>
    </x:row>
    <x:row r="22" ht="48" hidden="0" customHeight="1">
      <x:c r="A22" s="9" t="s">
        <x:v>218</x:v>
      </x:c>
      <x:c r="B22" s="9" t="s">
        <x:v>41</x:v>
      </x:c>
      <x:c r="C22" s="9" t="s">
        <x:v>486</x:v>
      </x:c>
      <x:c r="D22" s="9" t="s">
        <x:v>179</x:v>
      </x:c>
      <x:c r="E22" s="9" t="s">
        <x:v>214</x:v>
      </x:c>
      <x:c r="F22" s="9" t="s">
        <x:v>215</x:v>
      </x:c>
      <x:c r="G22" s="9" t="s">
        <x:v>557</x:v>
      </x:c>
      <x:c r="H22" s="8" t="s">
        <x:v>488</x:v>
      </x:c>
      <x:c r="I22" s="8" t="s">
        <x:v>489</x:v>
      </x:c>
      <x:c r="J22" s="9" t="s">
        <x:v>548</x:v>
      </x:c>
      <x:c r="K22" s="8" t="s">
        <x:v>558</x:v>
      </x:c>
      <x:c r="L22" s="9" t="s">
        <x:v>557</x:v>
      </x:c>
      <x:c r="M22" s="8" t="s">
        <x:v>550</x:v>
      </x:c>
      <x:c r="N22" s="8" t="s">
        <x:v>493</x:v>
      </x:c>
      <x:c r="O22" s="9" t="s">
        <x:v>494</x:v>
      </x:c>
      <x:c r="P22" s="9" t="s">
        <x:v>495</x:v>
      </x:c>
      <x:c r="Q22" s="9" t="s">
        <x:v>65</x:v>
      </x:c>
      <x:c r="R22" s="9" t="s">
        <x:v>516</x:v>
      </x:c>
      <x:c r="S22" s="9" t="s">
        <x:v>497</x:v>
      </x:c>
      <x:c r="T22" s="9" t="s">
        <x:v>498</x:v>
      </x:c>
      <x:c r="U22" s="9" t="s">
        <x:v>72</x:v>
      </x:c>
      <x:c r="V22" s="9" t="s">
        <x:v>66</x:v>
      </x:c>
      <x:c r="W22" s="9" t="s">
        <x:v>499</x:v>
      </x:c>
      <x:c r="X22" s="9" t="s">
        <x:v>551</x:v>
      </x:c>
      <x:c r="Y22" s="9" t="s">
        <x:v>219</x:v>
      </x:c>
      <x:c r="Z22" s="9" t="s">
        <x:v>220</x:v>
      </x:c>
      <x:c r="AA22" s="9" t="s">
        <x:v>73</x:v>
      </x:c>
      <x:c r="AB22" s="9" t="s">
        <x:v>74</x:v>
      </x:c>
      <x:c r="AC22" s="9" t="s">
        <x:v>201</x:v>
      </x:c>
      <x:c r="AD22" s="9" t="s">
        <x:v>552</x:v>
      </x:c>
    </x:row>
    <x:row r="23" ht="48" hidden="0" customHeight="1">
      <x:c r="A23" s="9" t="s">
        <x:v>224</x:v>
      </x:c>
      <x:c r="B23" s="9" t="s">
        <x:v>41</x:v>
      </x:c>
      <x:c r="C23" s="9" t="s">
        <x:v>486</x:v>
      </x:c>
      <x:c r="D23" s="9" t="s">
        <x:v>179</x:v>
      </x:c>
      <x:c r="E23" s="9" t="s">
        <x:v>221</x:v>
      </x:c>
      <x:c r="F23" s="9" t="s">
        <x:v>222</x:v>
      </x:c>
      <x:c r="G23" s="9" t="s">
        <x:v>559</x:v>
      </x:c>
      <x:c r="H23" s="8" t="s">
        <x:v>488</x:v>
      </x:c>
      <x:c r="I23" s="8" t="s">
        <x:v>489</x:v>
      </x:c>
      <x:c r="J23" s="9" t="s">
        <x:v>548</x:v>
      </x:c>
      <x:c r="K23" s="8" t="s">
        <x:v>560</x:v>
      </x:c>
      <x:c r="L23" s="9" t="s">
        <x:v>559</x:v>
      </x:c>
      <x:c r="M23" s="8" t="s">
        <x:v>550</x:v>
      </x:c>
      <x:c r="N23" s="8" t="s">
        <x:v>493</x:v>
      </x:c>
      <x:c r="O23" s="9" t="s">
        <x:v>494</x:v>
      </x:c>
      <x:c r="P23" s="9" t="s">
        <x:v>495</x:v>
      </x:c>
      <x:c r="Q23" s="9" t="s">
        <x:v>65</x:v>
      </x:c>
      <x:c r="R23" s="9" t="s">
        <x:v>516</x:v>
      </x:c>
      <x:c r="S23" s="9" t="s">
        <x:v>497</x:v>
      </x:c>
      <x:c r="T23" s="9" t="s">
        <x:v>498</x:v>
      </x:c>
      <x:c r="U23" s="9" t="s">
        <x:v>72</x:v>
      </x:c>
      <x:c r="V23" s="9" t="s">
        <x:v>66</x:v>
      </x:c>
      <x:c r="W23" s="9" t="s">
        <x:v>499</x:v>
      </x:c>
      <x:c r="X23" s="9" t="s">
        <x:v>551</x:v>
      </x:c>
      <x:c r="Y23" s="9" t="s">
        <x:v>225</x:v>
      </x:c>
      <x:c r="Z23" s="9" t="s">
        <x:v>226</x:v>
      </x:c>
      <x:c r="AA23" s="9" t="s">
        <x:v>73</x:v>
      </x:c>
      <x:c r="AB23" s="9" t="s">
        <x:v>74</x:v>
      </x:c>
      <x:c r="AC23" s="9" t="s">
        <x:v>201</x:v>
      </x:c>
      <x:c r="AD23" s="9" t="s">
        <x:v>552</x:v>
      </x:c>
    </x:row>
    <x:row r="24" ht="48" hidden="0" customHeight="1">
      <x:c r="A24" s="9" t="s">
        <x:v>211</x:v>
      </x:c>
      <x:c r="B24" s="9" t="s">
        <x:v>41</x:v>
      </x:c>
      <x:c r="C24" s="9" t="s">
        <x:v>486</x:v>
      </x:c>
      <x:c r="D24" s="9" t="s">
        <x:v>179</x:v>
      </x:c>
      <x:c r="E24" s="9" t="s">
        <x:v>208</x:v>
      </x:c>
      <x:c r="F24" s="9" t="s">
        <x:v>209</x:v>
      </x:c>
      <x:c r="G24" s="9" t="s">
        <x:v>561</x:v>
      </x:c>
      <x:c r="H24" s="8" t="s">
        <x:v>488</x:v>
      </x:c>
      <x:c r="I24" s="8" t="s">
        <x:v>489</x:v>
      </x:c>
      <x:c r="J24" s="9" t="s">
        <x:v>548</x:v>
      </x:c>
      <x:c r="K24" s="8" t="s">
        <x:v>562</x:v>
      </x:c>
      <x:c r="L24" s="9" t="s">
        <x:v>561</x:v>
      </x:c>
      <x:c r="M24" s="8" t="s">
        <x:v>550</x:v>
      </x:c>
      <x:c r="N24" s="8" t="s">
        <x:v>493</x:v>
      </x:c>
      <x:c r="O24" s="9" t="s">
        <x:v>494</x:v>
      </x:c>
      <x:c r="P24" s="9" t="s">
        <x:v>495</x:v>
      </x:c>
      <x:c r="Q24" s="9" t="s">
        <x:v>65</x:v>
      </x:c>
      <x:c r="R24" s="9" t="s">
        <x:v>516</x:v>
      </x:c>
      <x:c r="S24" s="9" t="s">
        <x:v>497</x:v>
      </x:c>
      <x:c r="T24" s="9" t="s">
        <x:v>498</x:v>
      </x:c>
      <x:c r="U24" s="9" t="s">
        <x:v>72</x:v>
      </x:c>
      <x:c r="V24" s="9" t="s">
        <x:v>66</x:v>
      </x:c>
      <x:c r="W24" s="9" t="s">
        <x:v>499</x:v>
      </x:c>
      <x:c r="X24" s="9" t="s">
        <x:v>551</x:v>
      </x:c>
      <x:c r="Y24" s="9" t="s">
        <x:v>212</x:v>
      </x:c>
      <x:c r="Z24" s="9" t="s">
        <x:v>213</x:v>
      </x:c>
      <x:c r="AA24" s="9" t="s">
        <x:v>73</x:v>
      </x:c>
      <x:c r="AB24" s="9" t="s">
        <x:v>74</x:v>
      </x:c>
      <x:c r="AC24" s="9" t="s">
        <x:v>201</x:v>
      </x:c>
      <x:c r="AD24" s="9" t="s">
        <x:v>552</x:v>
      </x:c>
    </x:row>
    <x:row r="25" ht="48" hidden="0" customHeight="1">
      <x:c r="A25" s="9" t="s">
        <x:v>231</x:v>
      </x:c>
      <x:c r="B25" s="9" t="s">
        <x:v>41</x:v>
      </x:c>
      <x:c r="C25" s="9" t="s">
        <x:v>486</x:v>
      </x:c>
      <x:c r="D25" s="9" t="s">
        <x:v>179</x:v>
      </x:c>
      <x:c r="E25" s="9" t="s">
        <x:v>227</x:v>
      </x:c>
      <x:c r="F25" s="9" t="s">
        <x:v>228</x:v>
      </x:c>
      <x:c r="G25" s="9" t="s">
        <x:v>563</x:v>
      </x:c>
      <x:c r="H25" s="8" t="s">
        <x:v>488</x:v>
      </x:c>
      <x:c r="I25" s="8" t="s">
        <x:v>489</x:v>
      </x:c>
      <x:c r="J25" s="9" t="s">
        <x:v>548</x:v>
      </x:c>
      <x:c r="K25" s="8" t="s">
        <x:v>564</x:v>
      </x:c>
      <x:c r="L25" s="9" t="s">
        <x:v>563</x:v>
      </x:c>
      <x:c r="M25" s="8" t="s">
        <x:v>550</x:v>
      </x:c>
      <x:c r="N25" s="8" t="s">
        <x:v>493</x:v>
      </x:c>
      <x:c r="O25" s="9" t="s">
        <x:v>494</x:v>
      </x:c>
      <x:c r="P25" s="9" t="s">
        <x:v>495</x:v>
      </x:c>
      <x:c r="Q25" s="9" t="s">
        <x:v>65</x:v>
      </x:c>
      <x:c r="R25" s="9" t="s">
        <x:v>516</x:v>
      </x:c>
      <x:c r="S25" s="9" t="s">
        <x:v>497</x:v>
      </x:c>
      <x:c r="T25" s="9" t="s">
        <x:v>498</x:v>
      </x:c>
      <x:c r="U25" s="9" t="s">
        <x:v>72</x:v>
      </x:c>
      <x:c r="V25" s="9" t="s">
        <x:v>66</x:v>
      </x:c>
      <x:c r="W25" s="9" t="s">
        <x:v>499</x:v>
      </x:c>
      <x:c r="X25" s="9" t="s">
        <x:v>551</x:v>
      </x:c>
      <x:c r="Y25" s="9" t="s">
        <x:v>232</x:v>
      </x:c>
      <x:c r="Z25" s="9" t="s">
        <x:v>233</x:v>
      </x:c>
      <x:c r="AA25" s="9" t="s">
        <x:v>73</x:v>
      </x:c>
      <x:c r="AB25" s="9" t="s">
        <x:v>74</x:v>
      </x:c>
      <x:c r="AC25" s="9" t="s">
        <x:v>201</x:v>
      </x:c>
      <x:c r="AD25" s="9" t="s">
        <x:v>552</x:v>
      </x:c>
    </x:row>
    <x:row r="26" ht="48" hidden="0" customHeight="1">
      <x:c r="A26" s="9" t="s">
        <x:v>237</x:v>
      </x:c>
      <x:c r="B26" s="9" t="s">
        <x:v>41</x:v>
      </x:c>
      <x:c r="C26" s="9" t="s">
        <x:v>486</x:v>
      </x:c>
      <x:c r="D26" s="9" t="s">
        <x:v>179</x:v>
      </x:c>
      <x:c r="E26" s="9" t="s">
        <x:v>234</x:v>
      </x:c>
      <x:c r="F26" s="9" t="s">
        <x:v>235</x:v>
      </x:c>
      <x:c r="G26" s="9" t="s">
        <x:v>565</x:v>
      </x:c>
      <x:c r="H26" s="8" t="s">
        <x:v>488</x:v>
      </x:c>
      <x:c r="I26" s="8" t="s">
        <x:v>489</x:v>
      </x:c>
      <x:c r="J26" s="9" t="s">
        <x:v>548</x:v>
      </x:c>
      <x:c r="K26" s="8" t="s">
        <x:v>566</x:v>
      </x:c>
      <x:c r="L26" s="9" t="s">
        <x:v>565</x:v>
      </x:c>
      <x:c r="M26" s="8" t="s">
        <x:v>550</x:v>
      </x:c>
      <x:c r="N26" s="8" t="s">
        <x:v>493</x:v>
      </x:c>
      <x:c r="O26" s="9" t="s">
        <x:v>494</x:v>
      </x:c>
      <x:c r="P26" s="9" t="s">
        <x:v>495</x:v>
      </x:c>
      <x:c r="Q26" s="9" t="s">
        <x:v>65</x:v>
      </x:c>
      <x:c r="R26" s="9" t="s">
        <x:v>516</x:v>
      </x:c>
      <x:c r="S26" s="9" t="s">
        <x:v>497</x:v>
      </x:c>
      <x:c r="T26" s="9" t="s">
        <x:v>498</x:v>
      </x:c>
      <x:c r="U26" s="9" t="s">
        <x:v>72</x:v>
      </x:c>
      <x:c r="V26" s="9" t="s">
        <x:v>66</x:v>
      </x:c>
      <x:c r="W26" s="9" t="s">
        <x:v>499</x:v>
      </x:c>
      <x:c r="X26" s="9" t="s">
        <x:v>551</x:v>
      </x:c>
      <x:c r="Y26" s="9" t="s">
        <x:v>238</x:v>
      </x:c>
      <x:c r="Z26" s="9" t="s">
        <x:v>239</x:v>
      </x:c>
      <x:c r="AA26" s="9" t="s">
        <x:v>73</x:v>
      </x:c>
      <x:c r="AB26" s="9" t="s">
        <x:v>74</x:v>
      </x:c>
      <x:c r="AC26" s="9" t="s">
        <x:v>240</x:v>
      </x:c>
      <x:c r="AD26" s="9" t="s">
        <x:v>552</x:v>
      </x:c>
    </x:row>
    <x:row r="27" ht="48" hidden="0" customHeight="1">
      <x:c r="A27" s="9" t="s">
        <x:v>244</x:v>
      </x:c>
      <x:c r="B27" s="9" t="s">
        <x:v>41</x:v>
      </x:c>
      <x:c r="C27" s="9" t="s">
        <x:v>486</x:v>
      </x:c>
      <x:c r="D27" s="9" t="s">
        <x:v>179</x:v>
      </x:c>
      <x:c r="E27" s="9" t="s">
        <x:v>241</x:v>
      </x:c>
      <x:c r="F27" s="9" t="s">
        <x:v>242</x:v>
      </x:c>
      <x:c r="G27" s="9" t="s">
        <x:v>567</x:v>
      </x:c>
      <x:c r="H27" s="8" t="s">
        <x:v>488</x:v>
      </x:c>
      <x:c r="I27" s="8" t="s">
        <x:v>489</x:v>
      </x:c>
      <x:c r="J27" s="9" t="s">
        <x:v>548</x:v>
      </x:c>
      <x:c r="K27" s="8" t="s">
        <x:v>568</x:v>
      </x:c>
      <x:c r="L27" s="9" t="s">
        <x:v>567</x:v>
      </x:c>
      <x:c r="M27" s="8" t="s">
        <x:v>550</x:v>
      </x:c>
      <x:c r="N27" s="8" t="s">
        <x:v>493</x:v>
      </x:c>
      <x:c r="O27" s="9" t="s">
        <x:v>494</x:v>
      </x:c>
      <x:c r="P27" s="9" t="s">
        <x:v>495</x:v>
      </x:c>
      <x:c r="Q27" s="9" t="s">
        <x:v>65</x:v>
      </x:c>
      <x:c r="R27" s="9" t="s">
        <x:v>516</x:v>
      </x:c>
      <x:c r="S27" s="9" t="s">
        <x:v>497</x:v>
      </x:c>
      <x:c r="T27" s="9" t="s">
        <x:v>498</x:v>
      </x:c>
      <x:c r="U27" s="9" t="s">
        <x:v>72</x:v>
      </x:c>
      <x:c r="V27" s="9" t="s">
        <x:v>66</x:v>
      </x:c>
      <x:c r="W27" s="9" t="s">
        <x:v>499</x:v>
      </x:c>
      <x:c r="X27" s="9" t="s">
        <x:v>551</x:v>
      </x:c>
      <x:c r="Y27" s="9" t="s">
        <x:v>245</x:v>
      </x:c>
      <x:c r="Z27" s="9" t="s">
        <x:v>246</x:v>
      </x:c>
      <x:c r="AA27" s="9" t="s">
        <x:v>73</x:v>
      </x:c>
      <x:c r="AB27" s="9" t="s">
        <x:v>74</x:v>
      </x:c>
      <x:c r="AC27" s="9" t="s">
        <x:v>201</x:v>
      </x:c>
      <x:c r="AD27" s="9" t="s">
        <x:v>552</x:v>
      </x:c>
    </x:row>
    <x:row r="28" ht="48" hidden="0" customHeight="1">
      <x:c r="A28" s="9" t="s">
        <x:v>250</x:v>
      </x:c>
      <x:c r="B28" s="9" t="s">
        <x:v>41</x:v>
      </x:c>
      <x:c r="C28" s="9" t="s">
        <x:v>486</x:v>
      </x:c>
      <x:c r="D28" s="9" t="s">
        <x:v>179</x:v>
      </x:c>
      <x:c r="E28" s="9" t="s">
        <x:v>247</x:v>
      </x:c>
      <x:c r="F28" s="9" t="s">
        <x:v>248</x:v>
      </x:c>
      <x:c r="G28" s="9" t="s">
        <x:v>569</x:v>
      </x:c>
      <x:c r="H28" s="8" t="s">
        <x:v>488</x:v>
      </x:c>
      <x:c r="I28" s="8" t="s">
        <x:v>489</x:v>
      </x:c>
      <x:c r="J28" s="9" t="s">
        <x:v>548</x:v>
      </x:c>
      <x:c r="K28" s="8" t="s">
        <x:v>570</x:v>
      </x:c>
      <x:c r="L28" s="9" t="s">
        <x:v>569</x:v>
      </x:c>
      <x:c r="M28" s="8" t="s">
        <x:v>550</x:v>
      </x:c>
      <x:c r="N28" s="8" t="s">
        <x:v>493</x:v>
      </x:c>
      <x:c r="O28" s="9" t="s">
        <x:v>494</x:v>
      </x:c>
      <x:c r="P28" s="9" t="s">
        <x:v>495</x:v>
      </x:c>
      <x:c r="Q28" s="9" t="s">
        <x:v>65</x:v>
      </x:c>
      <x:c r="R28" s="9" t="s">
        <x:v>516</x:v>
      </x:c>
      <x:c r="S28" s="9" t="s">
        <x:v>497</x:v>
      </x:c>
      <x:c r="T28" s="9" t="s">
        <x:v>498</x:v>
      </x:c>
      <x:c r="U28" s="9" t="s">
        <x:v>72</x:v>
      </x:c>
      <x:c r="V28" s="9" t="s">
        <x:v>66</x:v>
      </x:c>
      <x:c r="W28" s="9" t="s">
        <x:v>499</x:v>
      </x:c>
      <x:c r="X28" s="9" t="s">
        <x:v>551</x:v>
      </x:c>
      <x:c r="Y28" s="9" t="s">
        <x:v>251</x:v>
      </x:c>
      <x:c r="Z28" s="9" t="s">
        <x:v>252</x:v>
      </x:c>
      <x:c r="AA28" s="9" t="s">
        <x:v>73</x:v>
      </x:c>
      <x:c r="AB28" s="9" t="s">
        <x:v>74</x:v>
      </x:c>
      <x:c r="AC28" s="9" t="s">
        <x:v>240</x:v>
      </x:c>
      <x:c r="AD28" s="9" t="s">
        <x:v>552</x:v>
      </x:c>
    </x:row>
    <x:row r="29" ht="48" hidden="0" customHeight="1">
      <x:c r="A29" s="9" t="s">
        <x:v>256</x:v>
      </x:c>
      <x:c r="B29" s="9" t="s">
        <x:v>41</x:v>
      </x:c>
      <x:c r="C29" s="9" t="s">
        <x:v>486</x:v>
      </x:c>
      <x:c r="D29" s="9" t="s">
        <x:v>179</x:v>
      </x:c>
      <x:c r="E29" s="9" t="s">
        <x:v>253</x:v>
      </x:c>
      <x:c r="F29" s="9" t="s">
        <x:v>254</x:v>
      </x:c>
      <x:c r="G29" s="9" t="s">
        <x:v>571</x:v>
      </x:c>
      <x:c r="H29" s="8" t="s">
        <x:v>488</x:v>
      </x:c>
      <x:c r="I29" s="8" t="s">
        <x:v>489</x:v>
      </x:c>
      <x:c r="J29" s="9" t="s">
        <x:v>548</x:v>
      </x:c>
      <x:c r="K29" s="8" t="s">
        <x:v>572</x:v>
      </x:c>
      <x:c r="L29" s="9" t="s">
        <x:v>571</x:v>
      </x:c>
      <x:c r="M29" s="8" t="s">
        <x:v>550</x:v>
      </x:c>
      <x:c r="N29" s="8" t="s">
        <x:v>493</x:v>
      </x:c>
      <x:c r="O29" s="9" t="s">
        <x:v>494</x:v>
      </x:c>
      <x:c r="P29" s="9" t="s">
        <x:v>495</x:v>
      </x:c>
      <x:c r="Q29" s="9" t="s">
        <x:v>65</x:v>
      </x:c>
      <x:c r="R29" s="9" t="s">
        <x:v>516</x:v>
      </x:c>
      <x:c r="S29" s="9" t="s">
        <x:v>497</x:v>
      </x:c>
      <x:c r="T29" s="9" t="s">
        <x:v>498</x:v>
      </x:c>
      <x:c r="U29" s="9" t="s">
        <x:v>72</x:v>
      </x:c>
      <x:c r="V29" s="9" t="s">
        <x:v>66</x:v>
      </x:c>
      <x:c r="W29" s="9" t="s">
        <x:v>499</x:v>
      </x:c>
      <x:c r="X29" s="9" t="s">
        <x:v>551</x:v>
      </x:c>
      <x:c r="Y29" s="9" t="s">
        <x:v>257</x:v>
      </x:c>
      <x:c r="Z29" s="9" t="s">
        <x:v>258</x:v>
      </x:c>
      <x:c r="AA29" s="9" t="s">
        <x:v>73</x:v>
      </x:c>
      <x:c r="AB29" s="9" t="s">
        <x:v>74</x:v>
      </x:c>
      <x:c r="AC29" s="9" t="s">
        <x:v>240</x:v>
      </x:c>
      <x:c r="AD29" s="9" t="s">
        <x:v>552</x:v>
      </x:c>
    </x:row>
    <x:row r="30" ht="48" hidden="0" customHeight="1">
      <x:c r="A30" s="9" t="s">
        <x:v>306</x:v>
      </x:c>
      <x:c r="B30" s="9" t="s">
        <x:v>41</x:v>
      </x:c>
      <x:c r="C30" s="9" t="s">
        <x:v>486</x:v>
      </x:c>
      <x:c r="D30" s="9" t="s">
        <x:v>179</x:v>
      </x:c>
      <x:c r="E30" s="9" t="s">
        <x:v>302</x:v>
      </x:c>
      <x:c r="F30" s="9" t="s">
        <x:v>303</x:v>
      </x:c>
      <x:c r="G30" s="9" t="s">
        <x:v>573</x:v>
      </x:c>
      <x:c r="H30" s="8" t="s">
        <x:v>488</x:v>
      </x:c>
      <x:c r="I30" s="8" t="s">
        <x:v>489</x:v>
      </x:c>
      <x:c r="J30" s="9" t="s">
        <x:v>548</x:v>
      </x:c>
      <x:c r="K30" s="8" t="s">
        <x:v>574</x:v>
      </x:c>
      <x:c r="L30" s="9" t="s">
        <x:v>573</x:v>
      </x:c>
      <x:c r="M30" s="8" t="s">
        <x:v>550</x:v>
      </x:c>
      <x:c r="N30" s="8" t="s">
        <x:v>493</x:v>
      </x:c>
      <x:c r="O30" s="9" t="s">
        <x:v>494</x:v>
      </x:c>
      <x:c r="P30" s="9" t="s">
        <x:v>495</x:v>
      </x:c>
      <x:c r="Q30" s="9" t="s">
        <x:v>65</x:v>
      </x:c>
      <x:c r="R30" s="9" t="s">
        <x:v>496</x:v>
      </x:c>
      <x:c r="S30" s="9" t="s">
        <x:v>497</x:v>
      </x:c>
      <x:c r="T30" s="9" t="s">
        <x:v>498</x:v>
      </x:c>
      <x:c r="U30" s="9" t="s">
        <x:v>72</x:v>
      </x:c>
      <x:c r="V30" s="9" t="s">
        <x:v>66</x:v>
      </x:c>
      <x:c r="W30" s="9" t="s">
        <x:v>499</x:v>
      </x:c>
      <x:c r="X30" s="9" t="s">
        <x:v>551</x:v>
      </x:c>
      <x:c r="Y30" s="9" t="s">
        <x:v>307</x:v>
      </x:c>
      <x:c r="Z30" s="9" t="s">
        <x:v>308</x:v>
      </x:c>
      <x:c r="AA30" s="9" t="s">
        <x:v>73</x:v>
      </x:c>
      <x:c r="AB30" s="9" t="s">
        <x:v>74</x:v>
      </x:c>
      <x:c r="AC30" s="9" t="s">
        <x:v>201</x:v>
      </x:c>
      <x:c r="AD30" s="9" t="s">
        <x:v>552</x:v>
      </x:c>
    </x:row>
    <x:row r="31" ht="48" hidden="0" customHeight="1">
      <x:c r="A31" s="9" t="s">
        <x:v>329</x:v>
      </x:c>
      <x:c r="B31" s="9" t="s">
        <x:v>41</x:v>
      </x:c>
      <x:c r="C31" s="9" t="s">
        <x:v>486</x:v>
      </x:c>
      <x:c r="D31" s="9" t="s">
        <x:v>179</x:v>
      </x:c>
      <x:c r="E31" s="9" t="s">
        <x:v>83</x:v>
      </x:c>
      <x:c r="F31" s="9" t="s">
        <x:v>327</x:v>
      </x:c>
      <x:c r="G31" s="9" t="s">
        <x:v>575</x:v>
      </x:c>
      <x:c r="H31" s="8" t="s">
        <x:v>488</x:v>
      </x:c>
      <x:c r="I31" s="8" t="s">
        <x:v>489</x:v>
      </x:c>
      <x:c r="J31" s="9" t="s">
        <x:v>576</x:v>
      </x:c>
      <x:c r="K31" s="8" t="s">
        <x:v>577</x:v>
      </x:c>
      <x:c r="L31" s="9" t="s">
        <x:v>575</x:v>
      </x:c>
      <x:c r="M31" s="8" t="s">
        <x:v>510</x:v>
      </x:c>
      <x:c r="N31" s="8" t="s">
        <x:v>493</x:v>
      </x:c>
      <x:c r="O31" s="9" t="s">
        <x:v>494</x:v>
      </x:c>
      <x:c r="P31" s="9" t="s">
        <x:v>495</x:v>
      </x:c>
      <x:c r="Q31" s="9" t="s">
        <x:v>88</x:v>
      </x:c>
      <x:c r="R31" s="9" t="s">
        <x:v>505</x:v>
      </x:c>
      <x:c r="S31" s="9" t="s">
        <x:v>497</x:v>
      </x:c>
      <x:c r="T31" s="9" t="s">
        <x:v>498</x:v>
      </x:c>
      <x:c r="U31" s="9" t="s">
        <x:v>72</x:v>
      </x:c>
      <x:c r="V31" s="9" t="s">
        <x:v>89</x:v>
      </x:c>
      <x:c r="W31" s="9" t="s">
        <x:v>511</x:v>
      </x:c>
      <x:c r="X31" s="9" t="s">
        <x:v>551</x:v>
      </x:c>
      <x:c r="Y31" s="9" t="s">
        <x:v>330</x:v>
      </x:c>
      <x:c r="Z31" s="9" t="s">
        <x:v>331</x:v>
      </x:c>
      <x:c r="AA31" s="9" t="s">
        <x:v>73</x:v>
      </x:c>
      <x:c r="AB31" s="9" t="s">
        <x:v>74</x:v>
      </x:c>
      <x:c r="AC31" s="9" t="s">
        <x:v>140</x:v>
      </x:c>
      <x:c r="AD31" s="9" t="s">
        <x:v>578</x:v>
      </x:c>
    </x:row>
    <x:row r="32" ht="48" hidden="0" customHeight="1">
      <x:c r="A32" s="9" t="s">
        <x:v>334</x:v>
      </x:c>
      <x:c r="B32" s="9" t="s">
        <x:v>41</x:v>
      </x:c>
      <x:c r="C32" s="9" t="s">
        <x:v>486</x:v>
      </x:c>
      <x:c r="D32" s="9" t="s">
        <x:v>179</x:v>
      </x:c>
      <x:c r="E32" s="9" t="s">
        <x:v>95</x:v>
      </x:c>
      <x:c r="F32" s="9" t="s">
        <x:v>332</x:v>
      </x:c>
      <x:c r="G32" s="9" t="s">
        <x:v>501</x:v>
      </x:c>
      <x:c r="H32" s="8" t="s">
        <x:v>488</x:v>
      </x:c>
      <x:c r="I32" s="8" t="s">
        <x:v>489</x:v>
      </x:c>
      <x:c r="J32" s="9" t="s">
        <x:v>579</x:v>
      </x:c>
      <x:c r="K32" s="8" t="s">
        <x:v>580</x:v>
      </x:c>
      <x:c r="L32" s="9" t="s">
        <x:v>501</x:v>
      </x:c>
      <x:c r="M32" s="8" t="s">
        <x:v>504</x:v>
      </x:c>
      <x:c r="N32" s="8" t="s">
        <x:v>493</x:v>
      </x:c>
      <x:c r="O32" s="9" t="s">
        <x:v>494</x:v>
      </x:c>
      <x:c r="P32" s="9" t="s">
        <x:v>495</x:v>
      </x:c>
      <x:c r="Q32" s="9" t="s">
        <x:v>98</x:v>
      </x:c>
      <x:c r="R32" s="9" t="s">
        <x:v>505</x:v>
      </x:c>
      <x:c r="S32" s="9" t="s">
        <x:v>497</x:v>
      </x:c>
      <x:c r="T32" s="9" t="s">
        <x:v>498</x:v>
      </x:c>
      <x:c r="U32" s="9" t="s">
        <x:v>72</x:v>
      </x:c>
      <x:c r="V32" s="9" t="s">
        <x:v>66</x:v>
      </x:c>
      <x:c r="W32" s="9" t="s">
        <x:v>499</x:v>
      </x:c>
      <x:c r="X32" s="9" t="s">
        <x:v>551</x:v>
      </x:c>
      <x:c r="Y32" s="9" t="s">
        <x:v>335</x:v>
      </x:c>
      <x:c r="Z32" s="9" t="s">
        <x:v>336</x:v>
      </x:c>
      <x:c r="AA32" s="9" t="s">
        <x:v>73</x:v>
      </x:c>
      <x:c r="AB32" s="9" t="s">
        <x:v>74</x:v>
      </x:c>
      <x:c r="AC32" s="9" t="s">
        <x:v>103</x:v>
      </x:c>
      <x:c r="AD32" s="9" t="s">
        <x:v>581</x:v>
      </x:c>
    </x:row>
    <x:row r="33" ht="48" hidden="0" customHeight="1">
      <x:c r="A33" s="9" t="s">
        <x:v>339</x:v>
      </x:c>
      <x:c r="B33" s="9" t="s">
        <x:v>41</x:v>
      </x:c>
      <x:c r="C33" s="9" t="s">
        <x:v>486</x:v>
      </x:c>
      <x:c r="D33" s="9" t="s">
        <x:v>179</x:v>
      </x:c>
      <x:c r="E33" s="9" t="s">
        <x:v>104</x:v>
      </x:c>
      <x:c r="F33" s="9" t="s">
        <x:v>337</x:v>
      </x:c>
      <x:c r="G33" s="8" t="s">
        <x:v>538</x:v>
      </x:c>
      <x:c r="H33" s="8" t="s">
        <x:v>488</x:v>
      </x:c>
      <x:c r="I33" s="8" t="s">
        <x:v>489</x:v>
      </x:c>
      <x:c r="J33" s="9" t="s">
        <x:v>548</x:v>
      </x:c>
      <x:c r="K33" s="8" t="s">
        <x:v>582</x:v>
      </x:c>
      <x:c r="L33" s="8" t="s">
        <x:v>538</x:v>
      </x:c>
      <x:c r="M33" s="8" t="s">
        <x:v>492</x:v>
      </x:c>
      <x:c r="N33" s="8" t="s">
        <x:v>493</x:v>
      </x:c>
      <x:c r="O33" s="9" t="s">
        <x:v>494</x:v>
      </x:c>
      <x:c r="P33" s="9" t="s">
        <x:v>495</x:v>
      </x:c>
      <x:c r="Q33" s="9" t="s">
        <x:v>98</x:v>
      </x:c>
      <x:c r="R33" s="9" t="s">
        <x:v>534</x:v>
      </x:c>
      <x:c r="S33" s="9" t="s">
        <x:v>497</x:v>
      </x:c>
      <x:c r="T33" s="9" t="s">
        <x:v>498</x:v>
      </x:c>
      <x:c r="U33" s="9" t="s">
        <x:v>72</x:v>
      </x:c>
      <x:c r="V33" s="9" t="s">
        <x:v>66</x:v>
      </x:c>
      <x:c r="W33" s="9" t="s">
        <x:v>499</x:v>
      </x:c>
      <x:c r="X33" s="9" t="s">
        <x:v>551</x:v>
      </x:c>
      <x:c r="Y33" s="9" t="s">
        <x:v>340</x:v>
      </x:c>
      <x:c r="Z33" s="9" t="s">
        <x:v>341</x:v>
      </x:c>
      <x:c r="AA33" s="9" t="s">
        <x:v>73</x:v>
      </x:c>
      <x:c r="AB33" s="9" t="s">
        <x:v>74</x:v>
      </x:c>
      <x:c r="AC33" s="9" t="s">
        <x:v>75</x:v>
      </x:c>
      <x:c r="AD33" s="9" t="s">
        <x:v>552</x:v>
      </x:c>
    </x:row>
    <x:row r="34" ht="48" hidden="0" customHeight="1">
      <x:c r="A34" s="9" t="s">
        <x:v>344</x:v>
      </x:c>
      <x:c r="B34" s="9" t="s">
        <x:v>41</x:v>
      </x:c>
      <x:c r="C34" s="9" t="s">
        <x:v>486</x:v>
      </x:c>
      <x:c r="D34" s="9" t="s">
        <x:v>179</x:v>
      </x:c>
      <x:c r="E34" s="9" t="s">
        <x:v>111</x:v>
      </x:c>
      <x:c r="F34" s="9" t="s">
        <x:v>342</x:v>
      </x:c>
      <x:c r="G34" s="9" t="str">
        <x:v>P-256或SM2 challenge-response；鉴权前读取soc_dbg_en_out并确认关闭，鉴权成功后再次读取并验证实际Debug访问已开放</x:v>
      </x:c>
      <x:c r="H34" s="8" t="s">
        <x:v>488</x:v>
      </x:c>
      <x:c r="I34" s="8" t="s">
        <x:v>489</x:v>
      </x:c>
      <x:c r="J34" s="9" t="str">
        <x:v>eHSM处于FW阶段；Debug Auth专用测试环境与资源可恢复；soc_dbg_en_out地址/期望位和实际Debug访问方法已冻结</x:v>
      </x:c>
      <x:c r="K34" s="8" t="str">
        <x:v>读取soc_dbg_en_out基线并确认实际Debug被拒绝；获取challenge并提交合法响应；记录原始返回；再次读取soc_dbg_en_out并尝试批准的实际Debug访问；结束时执行CLOSE_DEBUG清理</x:v>
      </x:c>
      <x:c r="L34" s="9" t="str">
        <x:v>合法challenge-response、soc_dbg_en_out鉴权前后快照、实际Debug访问结果</x:v>
      </x:c>
      <x:c r="M34" s="9" t="str">
        <x:v>鉴权成功；soc_dbg_en_out变为批准值；实际Debug访问开放；CLOSE_DEBUG后恢复关闭</x:v>
      </x:c>
      <x:c r="N34" s="8" t="str">
        <x:v>Mailbox原始成功、soc_dbg_en_out状态和实际Debug访问三者一致；任一不同步即FAIL</x:v>
      </x:c>
      <x:c r="O34" s="9" t="s">
        <x:v>494</x:v>
      </x:c>
      <x:c r="P34" s="9" t="s">
        <x:v>495</x:v>
      </x:c>
      <x:c r="Q34" s="9" t="s">
        <x:v>98</x:v>
      </x:c>
      <x:c r="R34" s="9" t="s">
        <x:v>534</x:v>
      </x:c>
      <x:c r="S34" s="9" t="s">
        <x:v>497</x:v>
      </x:c>
      <x:c r="T34" s="9" t="s">
        <x:v>498</x:v>
      </x:c>
      <x:c r="U34" s="9" t="s">
        <x:v>72</x:v>
      </x:c>
      <x:c r="V34" s="9" t="s">
        <x:v>66</x:v>
      </x:c>
      <x:c r="W34" s="9" t="str">
        <x:v>NEEDS_DEBUG_AUTH_FIXTURE_AND_SOC_DBG_EN_OUT_BINDING</x:v>
      </x:c>
      <x:c r="X34" s="9" t="s">
        <x:v>551</x:v>
      </x:c>
      <x:c r="Y34" s="9" t="s">
        <x:v>345</x:v>
      </x:c>
      <x:c r="Z34" s="9" t="s">
        <x:v>346</x:v>
      </x:c>
      <x:c r="AA34" s="9" t="s">
        <x:v>73</x:v>
      </x:c>
      <x:c r="AB34" s="9" t="s">
        <x:v>74</x:v>
      </x:c>
      <x:c r="AC34" s="9" t="s">
        <x:v>117</x:v>
      </x:c>
      <x:c r="AD34" s="9" t="s">
        <x:v>583</x:v>
      </x:c>
    </x:row>
    <x:row r="35" ht="48" hidden="0" customHeight="1">
      <x:c r="A35" s="9" t="s">
        <x:v>369</x:v>
      </x:c>
      <x:c r="B35" s="9" t="s">
        <x:v>41</x:v>
      </x:c>
      <x:c r="C35" s="9" t="s">
        <x:v>486</x:v>
      </x:c>
      <x:c r="D35" s="9" t="s">
        <x:v>179</x:v>
      </x:c>
      <x:c r="E35" s="9" t="s">
        <x:v>147</x:v>
      </x:c>
      <x:c r="F35" s="9" t="s">
        <x:v>367</x:v>
      </x:c>
      <x:c r="G35" s="9" t="str">
        <x:v>CLOSE_DEBUG；检查soc_dbg_en_out状态和实际Debug访问同步关闭</x:v>
      </x:c>
      <x:c r="H35" s="8" t="s">
        <x:v>488</x:v>
      </x:c>
      <x:c r="I35" s="8" t="s">
        <x:v>489</x:v>
      </x:c>
      <x:c r="J35" s="9" t="str">
        <x:v>eHSM处于FW阶段且Debug已通过合法鉴权打开；soc_dbg_en_out和实际Debug访问可观测</x:v>
      </x:c>
      <x:c r="K35" s="8" t="str">
        <x:v>记录关闭前soc_dbg_en_out及实际Debug可访问状态；执行CLOSE_DEBUG；读取原始返回和soc_dbg_en_out；再次尝试实际Debug访问；执行健康查询</x:v>
      </x:c>
      <x:c r="L35" s="9" t="str">
        <x:v>已打开的Debug状态 + CLOSE_DEBUG</x:v>
      </x:c>
      <x:c r="M35" s="8" t="str">
        <x:v>CLOSE_DEBUG成功；实际Debug访问恢复拒绝；soc_dbg_en_out状态和最终输出同步关闭；Mailbox服务健康</x:v>
      </x:c>
      <x:c r="N35" s="8" t="str">
        <x:v>命令返回、soc_dbg_en_out和实际Debug关闭三者同时满足才PASS</x:v>
      </x:c>
      <x:c r="O35" s="9" t="s">
        <x:v>494</x:v>
      </x:c>
      <x:c r="P35" s="9" t="s">
        <x:v>495</x:v>
      </x:c>
      <x:c r="Q35" s="9" t="s">
        <x:v>98</x:v>
      </x:c>
      <x:c r="R35" s="9" t="s">
        <x:v>534</x:v>
      </x:c>
      <x:c r="S35" s="9" t="s">
        <x:v>497</x:v>
      </x:c>
      <x:c r="T35" s="9" t="s">
        <x:v>498</x:v>
      </x:c>
      <x:c r="U35" s="9" t="s">
        <x:v>72</x:v>
      </x:c>
      <x:c r="V35" s="9" t="s">
        <x:v>66</x:v>
      </x:c>
      <x:c r="W35" s="9" t="str">
        <x:v>NEEDS_SOC_DBG_EN_OUT_AND_DEBUG_PATH_BINDING</x:v>
      </x:c>
      <x:c r="X35" s="9" t="s">
        <x:v>551</x:v>
      </x:c>
      <x:c r="Y35" s="9" t="s">
        <x:v>370</x:v>
      </x:c>
      <x:c r="Z35" s="9" t="s">
        <x:v>371</x:v>
      </x:c>
      <x:c r="AA35" s="9" t="s">
        <x:v>73</x:v>
      </x:c>
      <x:c r="AB35" s="9" t="s">
        <x:v>74</x:v>
      </x:c>
      <x:c r="AC35" s="9" t="s">
        <x:v>140</x:v>
      </x:c>
      <x:c r="AD35" s="9" t="s">
        <x:v>584</x:v>
      </x:c>
    </x:row>
    <x:row r="36" ht="60" hidden="0" customHeight="1">
      <x:c r="A36" s="9" t="s">
        <x:v>349</x:v>
      </x:c>
      <x:c r="B36" s="9" t="s">
        <x:v>41</x:v>
      </x:c>
      <x:c r="C36" s="9" t="s">
        <x:v>486</x:v>
      </x:c>
      <x:c r="D36" s="9" t="s">
        <x:v>179</x:v>
      </x:c>
      <x:c r="E36" s="9" t="s">
        <x:v>118</x:v>
      </x:c>
      <x:c r="F36" s="9" t="s">
        <x:v>347</x:v>
      </x:c>
      <x:c r="G36" s="9" t="s">
        <x:v>585</x:v>
      </x:c>
      <x:c r="H36" s="8" t="s">
        <x:v>488</x:v>
      </x:c>
      <x:c r="I36" s="8" t="s">
        <x:v>489</x:v>
      </x:c>
      <x:c r="J36" s="9" t="s">
        <x:v>586</x:v>
      </x:c>
      <x:c r="K36" s="8" t="s">
        <x:v>587</x:v>
      </x:c>
      <x:c r="L36" s="9" t="s">
        <x:v>585</x:v>
      </x:c>
      <x:c r="M36" s="9" t="s">
        <x:v>529</x:v>
      </x:c>
      <x:c r="N36" s="8" t="s">
        <x:v>493</x:v>
      </x:c>
      <x:c r="O36" s="9" t="s">
        <x:v>494</x:v>
      </x:c>
      <x:c r="P36" s="9" t="s">
        <x:v>495</x:v>
      </x:c>
      <x:c r="Q36" s="9" t="s">
        <x:v>88</x:v>
      </x:c>
      <x:c r="R36" s="9" t="s">
        <x:v>505</x:v>
      </x:c>
      <x:c r="S36" s="9" t="s">
        <x:v>497</x:v>
      </x:c>
      <x:c r="T36" s="9" t="s">
        <x:v>498</x:v>
      </x:c>
      <x:c r="U36" s="9" t="s">
        <x:v>72</x:v>
      </x:c>
      <x:c r="V36" s="9" t="s">
        <x:v>89</x:v>
      </x:c>
      <x:c r="W36" s="9" t="s">
        <x:v>511</x:v>
      </x:c>
      <x:c r="X36" s="9" t="s">
        <x:v>551</x:v>
      </x:c>
      <x:c r="Y36" s="9" t="s">
        <x:v>350</x:v>
      </x:c>
      <x:c r="Z36" s="9" t="s">
        <x:v>351</x:v>
      </x:c>
      <x:c r="AA36" s="9" t="s">
        <x:v>73</x:v>
      </x:c>
      <x:c r="AB36" s="9" t="s">
        <x:v>74</x:v>
      </x:c>
      <x:c r="AC36" s="9" t="s">
        <x:v>140</x:v>
      </x:c>
      <x:c r="AD36" s="9" t="s">
        <x:v>588</x:v>
      </x:c>
    </x:row>
    <x:row r="37" ht="48" hidden="0" customHeight="1">
      <x:c r="A37" s="9" t="s">
        <x:v>354</x:v>
      </x:c>
      <x:c r="B37" s="9" t="s">
        <x:v>41</x:v>
      </x:c>
      <x:c r="C37" s="9" t="s">
        <x:v>486</x:v>
      </x:c>
      <x:c r="D37" s="9" t="s">
        <x:v>179</x:v>
      </x:c>
      <x:c r="E37" s="9" t="s">
        <x:v>127</x:v>
      </x:c>
      <x:c r="F37" s="9" t="s">
        <x:v>352</x:v>
      </x:c>
      <x:c r="G37" s="9" t="s">
        <x:v>589</x:v>
      </x:c>
      <x:c r="H37" s="8" t="s">
        <x:v>488</x:v>
      </x:c>
      <x:c r="I37" s="8" t="s">
        <x:v>489</x:v>
      </x:c>
      <x:c r="J37" s="9" t="s">
        <x:v>590</x:v>
      </x:c>
      <x:c r="K37" s="8" t="s">
        <x:v>591</x:v>
      </x:c>
      <x:c r="L37" s="9" t="s">
        <x:v>589</x:v>
      </x:c>
      <x:c r="M37" s="9" t="s">
        <x:v>529</x:v>
      </x:c>
      <x:c r="N37" s="8" t="s">
        <x:v>493</x:v>
      </x:c>
      <x:c r="O37" s="9" t="s">
        <x:v>494</x:v>
      </x:c>
      <x:c r="P37" s="9" t="s">
        <x:v>495</x:v>
      </x:c>
      <x:c r="Q37" s="9" t="s">
        <x:v>98</x:v>
      </x:c>
      <x:c r="R37" s="9" t="s">
        <x:v>505</x:v>
      </x:c>
      <x:c r="S37" s="9" t="s">
        <x:v>497</x:v>
      </x:c>
      <x:c r="T37" s="9" t="s">
        <x:v>498</x:v>
      </x:c>
      <x:c r="U37" s="9" t="s">
        <x:v>72</x:v>
      </x:c>
      <x:c r="V37" s="9" t="s">
        <x:v>66</x:v>
      </x:c>
      <x:c r="W37" s="9" t="s">
        <x:v>499</x:v>
      </x:c>
      <x:c r="X37" s="9" t="s">
        <x:v>551</x:v>
      </x:c>
      <x:c r="Y37" s="9" t="s">
        <x:v>355</x:v>
      </x:c>
      <x:c r="Z37" s="9" t="s">
        <x:v>356</x:v>
      </x:c>
      <x:c r="AA37" s="9" t="s">
        <x:v>73</x:v>
      </x:c>
      <x:c r="AB37" s="9" t="s">
        <x:v>74</x:v>
      </x:c>
      <x:c r="AC37" s="9" t="s">
        <x:v>75</x:v>
      </x:c>
      <x:c r="AD37" s="9" t="s">
        <x:v>588</x:v>
      </x:c>
    </x:row>
    <x:row r="38" ht="60" hidden="0" customHeight="1">
      <x:c r="A38" s="9" t="s">
        <x:v>359</x:v>
      </x:c>
      <x:c r="B38" s="9" t="s">
        <x:v>41</x:v>
      </x:c>
      <x:c r="C38" s="9" t="s">
        <x:v>486</x:v>
      </x:c>
      <x:c r="D38" s="9" t="s">
        <x:v>179</x:v>
      </x:c>
      <x:c r="E38" s="9" t="s">
        <x:v>133</x:v>
      </x:c>
      <x:c r="F38" s="9" t="s">
        <x:v>357</x:v>
      </x:c>
      <x:c r="G38" s="9" t="s">
        <x:v>592</x:v>
      </x:c>
      <x:c r="H38" s="8" t="s">
        <x:v>488</x:v>
      </x:c>
      <x:c r="I38" s="8" t="s">
        <x:v>489</x:v>
      </x:c>
      <x:c r="J38" s="9" t="s">
        <x:v>586</x:v>
      </x:c>
      <x:c r="K38" s="8" t="s">
        <x:v>593</x:v>
      </x:c>
      <x:c r="L38" s="9" t="s">
        <x:v>592</x:v>
      </x:c>
      <x:c r="M38" s="9" t="s">
        <x:v>529</x:v>
      </x:c>
      <x:c r="N38" s="8" t="s">
        <x:v>493</x:v>
      </x:c>
      <x:c r="O38" s="9" t="s">
        <x:v>494</x:v>
      </x:c>
      <x:c r="P38" s="9" t="s">
        <x:v>495</x:v>
      </x:c>
      <x:c r="Q38" s="9" t="s">
        <x:v>98</x:v>
      </x:c>
      <x:c r="R38" s="9" t="s">
        <x:v>534</x:v>
      </x:c>
      <x:c r="S38" s="9" t="s">
        <x:v>497</x:v>
      </x:c>
      <x:c r="T38" s="9" t="s">
        <x:v>498</x:v>
      </x:c>
      <x:c r="U38" s="9" t="s">
        <x:v>72</x:v>
      </x:c>
      <x:c r="V38" s="9" t="s">
        <x:v>66</x:v>
      </x:c>
      <x:c r="W38" s="9" t="s">
        <x:v>511</x:v>
      </x:c>
      <x:c r="X38" s="9" t="s">
        <x:v>551</x:v>
      </x:c>
      <x:c r="Y38" s="9" t="s">
        <x:v>360</x:v>
      </x:c>
      <x:c r="Z38" s="9" t="s">
        <x:v>361</x:v>
      </x:c>
      <x:c r="AA38" s="9" t="s">
        <x:v>73</x:v>
      </x:c>
      <x:c r="AB38" s="9" t="s">
        <x:v>74</x:v>
      </x:c>
      <x:c r="AC38" s="9" t="s">
        <x:v>140</x:v>
      </x:c>
      <x:c r="AD38" s="9" t="s">
        <x:v>583</x:v>
      </x:c>
    </x:row>
    <x:row r="39" ht="60" hidden="0" customHeight="1">
      <x:c r="A39" s="9" t="s">
        <x:v>364</x:v>
      </x:c>
      <x:c r="B39" s="9" t="s">
        <x:v>41</x:v>
      </x:c>
      <x:c r="C39" s="9" t="s">
        <x:v>486</x:v>
      </x:c>
      <x:c r="D39" s="9" t="s">
        <x:v>179</x:v>
      </x:c>
      <x:c r="E39" s="9" t="s">
        <x:v>141</x:v>
      </x:c>
      <x:c r="F39" s="9" t="s">
        <x:v>362</x:v>
      </x:c>
      <x:c r="G39" s="9" t="s">
        <x:v>594</x:v>
      </x:c>
      <x:c r="H39" s="8" t="s">
        <x:v>488</x:v>
      </x:c>
      <x:c r="I39" s="8" t="s">
        <x:v>489</x:v>
      </x:c>
      <x:c r="J39" s="9" t="s">
        <x:v>586</x:v>
      </x:c>
      <x:c r="K39" s="8" t="s">
        <x:v>595</x:v>
      </x:c>
      <x:c r="L39" s="9" t="s">
        <x:v>594</x:v>
      </x:c>
      <x:c r="M39" s="9" t="s">
        <x:v>529</x:v>
      </x:c>
      <x:c r="N39" s="8" t="s">
        <x:v>493</x:v>
      </x:c>
      <x:c r="O39" s="9" t="s">
        <x:v>494</x:v>
      </x:c>
      <x:c r="P39" s="9" t="s">
        <x:v>495</x:v>
      </x:c>
      <x:c r="Q39" s="9" t="s">
        <x:v>98</x:v>
      </x:c>
      <x:c r="R39" s="9" t="s">
        <x:v>534</x:v>
      </x:c>
      <x:c r="S39" s="9" t="s">
        <x:v>497</x:v>
      </x:c>
      <x:c r="T39" s="9" t="s">
        <x:v>498</x:v>
      </x:c>
      <x:c r="U39" s="9" t="s">
        <x:v>72</x:v>
      </x:c>
      <x:c r="V39" s="9" t="s">
        <x:v>66</x:v>
      </x:c>
      <x:c r="W39" s="9" t="s">
        <x:v>511</x:v>
      </x:c>
      <x:c r="X39" s="9" t="s">
        <x:v>551</x:v>
      </x:c>
      <x:c r="Y39" s="9" t="s">
        <x:v>365</x:v>
      </x:c>
      <x:c r="Z39" s="9" t="s">
        <x:v>366</x:v>
      </x:c>
      <x:c r="AA39" s="9" t="s">
        <x:v>73</x:v>
      </x:c>
      <x:c r="AB39" s="9" t="s">
        <x:v>74</x:v>
      </x:c>
      <x:c r="AC39" s="9" t="s">
        <x:v>140</x:v>
      </x:c>
      <x:c r="AD39" s="9" t="s">
        <x:v>583</x:v>
      </x:c>
    </x:row>
    <x:row r="40" ht="48" hidden="0" customHeight="1">
      <x:c r="A40" s="9" t="s">
        <x:v>184</x:v>
      </x:c>
      <x:c r="B40" s="9" t="s">
        <x:v>41</x:v>
      </x:c>
      <x:c r="C40" s="9" t="s">
        <x:v>486</x:v>
      </x:c>
      <x:c r="D40" s="9" t="s">
        <x:v>179</x:v>
      </x:c>
      <x:c r="E40" s="9" t="s">
        <x:v>180</x:v>
      </x:c>
      <x:c r="F40" s="9" t="s">
        <x:v>181</x:v>
      </x:c>
      <x:c r="G40" s="9" t="s">
        <x:v>596</x:v>
      </x:c>
      <x:c r="H40" s="8" t="s">
        <x:v>488</x:v>
      </x:c>
      <x:c r="I40" s="8" t="s">
        <x:v>489</x:v>
      </x:c>
      <x:c r="J40" s="9" t="s">
        <x:v>548</x:v>
      </x:c>
      <x:c r="K40" s="8" t="s">
        <x:v>597</x:v>
      </x:c>
      <x:c r="L40" s="9" t="s">
        <x:v>596</x:v>
      </x:c>
      <x:c r="M40" s="8" t="s">
        <x:v>492</x:v>
      </x:c>
      <x:c r="N40" s="8" t="s">
        <x:v>493</x:v>
      </x:c>
      <x:c r="O40" s="9" t="s">
        <x:v>494</x:v>
      </x:c>
      <x:c r="P40" s="9" t="s">
        <x:v>495</x:v>
      </x:c>
      <x:c r="Q40" s="9" t="s">
        <x:v>156</x:v>
      </x:c>
      <x:c r="R40" s="9" t="s">
        <x:v>496</x:v>
      </x:c>
      <x:c r="S40" s="9" t="s">
        <x:v>497</x:v>
      </x:c>
      <x:c r="T40" s="9" t="s">
        <x:v>498</x:v>
      </x:c>
      <x:c r="U40" s="9" t="s">
        <x:v>72</x:v>
      </x:c>
      <x:c r="V40" s="9" t="s">
        <x:v>66</x:v>
      </x:c>
      <x:c r="W40" s="9" t="s">
        <x:v>499</x:v>
      </x:c>
      <x:c r="X40" s="9" t="s">
        <x:v>551</x:v>
      </x:c>
      <x:c r="Y40" s="9" t="s">
        <x:v>185</x:v>
      </x:c>
      <x:c r="Z40" s="9" t="s">
        <x:v>186</x:v>
      </x:c>
      <x:c r="AA40" s="9" t="s">
        <x:v>73</x:v>
      </x:c>
      <x:c r="AB40" s="9" t="s">
        <x:v>74</x:v>
      </x:c>
      <x:c r="AC40" s="9" t="s">
        <x:v>75</x:v>
      </x:c>
      <x:c r="AD40" s="9" t="s">
        <x:v>552</x:v>
      </x:c>
    </x:row>
    <x:row r="41" ht="48" hidden="0" customHeight="1">
      <x:c r="A41" s="9" t="s">
        <x:v>313</x:v>
      </x:c>
      <x:c r="B41" s="9" t="s">
        <x:v>41</x:v>
      </x:c>
      <x:c r="C41" s="9" t="s">
        <x:v>486</x:v>
      </x:c>
      <x:c r="D41" s="9" t="s">
        <x:v>179</x:v>
      </x:c>
      <x:c r="E41" s="9" t="s">
        <x:v>309</x:v>
      </x:c>
      <x:c r="F41" s="9" t="s">
        <x:v>310</x:v>
      </x:c>
      <x:c r="G41" s="9" t="s">
        <x:v>598</x:v>
      </x:c>
      <x:c r="H41" s="8" t="s">
        <x:v>488</x:v>
      </x:c>
      <x:c r="I41" s="8" t="s">
        <x:v>489</x:v>
      </x:c>
      <x:c r="J41" s="9" t="s">
        <x:v>576</x:v>
      </x:c>
      <x:c r="K41" s="8" t="s">
        <x:v>599</x:v>
      </x:c>
      <x:c r="L41" s="9" t="s">
        <x:v>598</x:v>
      </x:c>
      <x:c r="M41" s="8" t="s">
        <x:v>492</x:v>
      </x:c>
      <x:c r="N41" s="8" t="s">
        <x:v>493</x:v>
      </x:c>
      <x:c r="O41" s="9" t="s">
        <x:v>494</x:v>
      </x:c>
      <x:c r="P41" s="9" t="s">
        <x:v>495</x:v>
      </x:c>
      <x:c r="Q41" s="9" t="s">
        <x:v>88</x:v>
      </x:c>
      <x:c r="R41" s="9" t="s">
        <x:v>534</x:v>
      </x:c>
      <x:c r="S41" s="9" t="s">
        <x:v>497</x:v>
      </x:c>
      <x:c r="T41" s="9" t="s">
        <x:v>498</x:v>
      </x:c>
      <x:c r="U41" s="9" t="s">
        <x:v>72</x:v>
      </x:c>
      <x:c r="V41" s="9" t="s">
        <x:v>89</x:v>
      </x:c>
      <x:c r="W41" s="9" t="s">
        <x:v>511</x:v>
      </x:c>
      <x:c r="X41" s="9" t="s">
        <x:v>551</x:v>
      </x:c>
      <x:c r="Y41" s="9" t="s">
        <x:v>314</x:v>
      </x:c>
      <x:c r="Z41" s="9" t="s">
        <x:v>315</x:v>
      </x:c>
      <x:c r="AA41" s="9" t="s">
        <x:v>73</x:v>
      </x:c>
      <x:c r="AB41" s="9" t="s">
        <x:v>74</x:v>
      </x:c>
      <x:c r="AC41" s="9" t="s">
        <x:v>140</x:v>
      </x:c>
      <x:c r="AD41" s="9" t="s">
        <x:v>584</x:v>
      </x:c>
    </x:row>
    <x:row r="42" ht="48" hidden="0" customHeight="1">
      <x:c r="A42" s="9" t="s">
        <x:v>319</x:v>
      </x:c>
      <x:c r="B42" s="9" t="s">
        <x:v>41</x:v>
      </x:c>
      <x:c r="C42" s="9" t="s">
        <x:v>486</x:v>
      </x:c>
      <x:c r="D42" s="9" t="s">
        <x:v>179</x:v>
      </x:c>
      <x:c r="E42" s="9" t="s">
        <x:v>316</x:v>
      </x:c>
      <x:c r="F42" s="9" t="s">
        <x:v>317</x:v>
      </x:c>
      <x:c r="G42" s="9" t="s">
        <x:v>600</x:v>
      </x:c>
      <x:c r="H42" s="8" t="s">
        <x:v>488</x:v>
      </x:c>
      <x:c r="I42" s="8" t="s">
        <x:v>489</x:v>
      </x:c>
      <x:c r="J42" s="9" t="s">
        <x:v>576</x:v>
      </x:c>
      <x:c r="K42" s="8" t="s">
        <x:v>601</x:v>
      </x:c>
      <x:c r="L42" s="9" t="s">
        <x:v>600</x:v>
      </x:c>
      <x:c r="M42" s="8" t="s">
        <x:v>492</x:v>
      </x:c>
      <x:c r="N42" s="8" t="s">
        <x:v>493</x:v>
      </x:c>
      <x:c r="O42" s="9" t="s">
        <x:v>494</x:v>
      </x:c>
      <x:c r="P42" s="9" t="s">
        <x:v>495</x:v>
      </x:c>
      <x:c r="Q42" s="9" t="s">
        <x:v>88</x:v>
      </x:c>
      <x:c r="R42" s="9" t="s">
        <x:v>534</x:v>
      </x:c>
      <x:c r="S42" s="9" t="s">
        <x:v>497</x:v>
      </x:c>
      <x:c r="T42" s="9" t="s">
        <x:v>498</x:v>
      </x:c>
      <x:c r="U42" s="9" t="s">
        <x:v>72</x:v>
      </x:c>
      <x:c r="V42" s="9" t="s">
        <x:v>89</x:v>
      </x:c>
      <x:c r="W42" s="9" t="s">
        <x:v>511</x:v>
      </x:c>
      <x:c r="X42" s="9" t="s">
        <x:v>551</x:v>
      </x:c>
      <x:c r="Y42" s="9" t="s">
        <x:v>320</x:v>
      </x:c>
      <x:c r="Z42" s="9" t="s">
        <x:v>321</x:v>
      </x:c>
      <x:c r="AA42" s="9" t="s">
        <x:v>73</x:v>
      </x:c>
      <x:c r="AB42" s="9" t="s">
        <x:v>74</x:v>
      </x:c>
      <x:c r="AC42" s="9" t="s">
        <x:v>140</x:v>
      </x:c>
      <x:c r="AD42" s="9" t="s">
        <x:v>584</x:v>
      </x:c>
    </x:row>
    <x:row r="43" ht="48" hidden="0" customHeight="1">
      <x:c r="A43" s="9" t="s">
        <x:v>324</x:v>
      </x:c>
      <x:c r="B43" s="9" t="s">
        <x:v>41</x:v>
      </x:c>
      <x:c r="C43" s="9" t="s">
        <x:v>486</x:v>
      </x:c>
      <x:c r="D43" s="9" t="s">
        <x:v>179</x:v>
      </x:c>
      <x:c r="E43" s="9" t="s">
        <x:v>76</x:v>
      </x:c>
      <x:c r="F43" s="9" t="s">
        <x:v>322</x:v>
      </x:c>
      <x:c r="G43" s="9" t="s">
        <x:v>541</x:v>
      </x:c>
      <x:c r="H43" s="8" t="s">
        <x:v>488</x:v>
      </x:c>
      <x:c r="I43" s="8" t="s">
        <x:v>489</x:v>
      </x:c>
      <x:c r="J43" s="9" t="s">
        <x:v>548</x:v>
      </x:c>
      <x:c r="K43" s="8" t="s">
        <x:v>602</x:v>
      </x:c>
      <x:c r="L43" s="9" t="s">
        <x:v>541</x:v>
      </x:c>
      <x:c r="M43" s="8" t="s">
        <x:v>492</x:v>
      </x:c>
      <x:c r="N43" s="8" t="s">
        <x:v>493</x:v>
      </x:c>
      <x:c r="O43" s="9" t="s">
        <x:v>494</x:v>
      </x:c>
      <x:c r="P43" s="9" t="s">
        <x:v>495</x:v>
      </x:c>
      <x:c r="Q43" s="9" t="s">
        <x:v>65</x:v>
      </x:c>
      <x:c r="R43" s="9" t="s">
        <x:v>516</x:v>
      </x:c>
      <x:c r="S43" s="9" t="s">
        <x:v>497</x:v>
      </x:c>
      <x:c r="T43" s="9" t="s">
        <x:v>498</x:v>
      </x:c>
      <x:c r="U43" s="9" t="s">
        <x:v>72</x:v>
      </x:c>
      <x:c r="V43" s="9" t="s">
        <x:v>66</x:v>
      </x:c>
      <x:c r="W43" s="9" t="s">
        <x:v>499</x:v>
      </x:c>
      <x:c r="X43" s="9" t="s">
        <x:v>551</x:v>
      </x:c>
      <x:c r="Y43" s="9" t="s">
        <x:v>325</x:v>
      </x:c>
      <x:c r="Z43" s="9" t="s">
        <x:v>326</x:v>
      </x:c>
      <x:c r="AA43" s="9" t="s">
        <x:v>73</x:v>
      </x:c>
      <x:c r="AB43" s="9" t="s">
        <x:v>74</x:v>
      </x:c>
      <x:c r="AC43" s="9" t="s">
        <x:v>75</x:v>
      </x:c>
      <x:c r="AD43" s="9" t="s">
        <x:v>603</x:v>
      </x:c>
    </x:row>
    <x:row r="44" ht="48" hidden="0" customHeight="1">
      <x:c r="A44" s="9" t="s">
        <x:v>379</x:v>
      </x:c>
      <x:c r="B44" s="9" t="s">
        <x:v>41</x:v>
      </x:c>
      <x:c r="C44" s="9" t="s">
        <x:v>486</x:v>
      </x:c>
      <x:c r="D44" s="9" t="s">
        <x:v>179</x:v>
      </x:c>
      <x:c r="E44" s="9" t="s">
        <x:v>167</x:v>
      </x:c>
      <x:c r="F44" s="9" t="s">
        <x:v>377</x:v>
      </x:c>
      <x:c r="G44" s="9" t="s">
        <x:v>604</x:v>
      </x:c>
      <x:c r="H44" s="8" t="s">
        <x:v>488</x:v>
      </x:c>
      <x:c r="I44" s="8" t="s">
        <x:v>489</x:v>
      </x:c>
      <x:c r="J44" s="9" t="s">
        <x:v>548</x:v>
      </x:c>
      <x:c r="K44" s="8" t="s">
        <x:v>605</x:v>
      </x:c>
      <x:c r="L44" s="9" t="s">
        <x:v>604</x:v>
      </x:c>
      <x:c r="M44" s="8" t="s">
        <x:v>520</x:v>
      </x:c>
      <x:c r="N44" s="8" t="s">
        <x:v>493</x:v>
      </x:c>
      <x:c r="O44" s="9" t="s">
        <x:v>494</x:v>
      </x:c>
      <x:c r="P44" s="9" t="s">
        <x:v>495</x:v>
      </x:c>
      <x:c r="Q44" s="9" t="s">
        <x:v>98</x:v>
      </x:c>
      <x:c r="R44" s="9" t="s">
        <x:v>516</x:v>
      </x:c>
      <x:c r="S44" s="9" t="s">
        <x:v>497</x:v>
      </x:c>
      <x:c r="T44" s="9" t="s">
        <x:v>498</x:v>
      </x:c>
      <x:c r="U44" s="9" t="s">
        <x:v>72</x:v>
      </x:c>
      <x:c r="V44" s="9" t="s">
        <x:v>66</x:v>
      </x:c>
      <x:c r="W44" s="9" t="s">
        <x:v>511</x:v>
      </x:c>
      <x:c r="X44" s="9" t="s">
        <x:v>551</x:v>
      </x:c>
      <x:c r="Y44" s="9" t="s">
        <x:v>380</x:v>
      </x:c>
      <x:c r="Z44" s="9" t="s">
        <x:v>381</x:v>
      </x:c>
      <x:c r="AA44" s="9" t="s">
        <x:v>73</x:v>
      </x:c>
      <x:c r="AB44" s="9" t="s">
        <x:v>74</x:v>
      </x:c>
      <x:c r="AC44" s="9" t="s">
        <x:v>75</x:v>
      </x:c>
      <x:c r="AD44" s="9" t="s">
        <x:v>603</x:v>
      </x:c>
    </x:row>
    <x:row r="45" ht="48" hidden="0" customHeight="1">
      <x:c r="A45" s="9" t="s">
        <x:v>384</x:v>
      </x:c>
      <x:c r="B45" s="9" t="s">
        <x:v>41</x:v>
      </x:c>
      <x:c r="C45" s="9" t="s">
        <x:v>486</x:v>
      </x:c>
      <x:c r="D45" s="9" t="s">
        <x:v>179</x:v>
      </x:c>
      <x:c r="E45" s="9" t="s">
        <x:v>173</x:v>
      </x:c>
      <x:c r="F45" s="9" t="s">
        <x:v>382</x:v>
      </x:c>
      <x:c r="G45" s="9" t="s">
        <x:v>606</x:v>
      </x:c>
      <x:c r="H45" s="8" t="s">
        <x:v>488</x:v>
      </x:c>
      <x:c r="I45" s="8" t="s">
        <x:v>489</x:v>
      </x:c>
      <x:c r="J45" s="9" t="s">
        <x:v>548</x:v>
      </x:c>
      <x:c r="K45" s="8" t="s">
        <x:v>607</x:v>
      </x:c>
      <x:c r="L45" s="9" t="s">
        <x:v>606</x:v>
      </x:c>
      <x:c r="M45" s="8" t="s">
        <x:v>515</x:v>
      </x:c>
      <x:c r="N45" s="8" t="s">
        <x:v>493</x:v>
      </x:c>
      <x:c r="O45" s="9" t="s">
        <x:v>494</x:v>
      </x:c>
      <x:c r="P45" s="9" t="s">
        <x:v>495</x:v>
      </x:c>
      <x:c r="Q45" s="9" t="s">
        <x:v>98</x:v>
      </x:c>
      <x:c r="R45" s="9" t="s">
        <x:v>516</x:v>
      </x:c>
      <x:c r="S45" s="9" t="s">
        <x:v>497</x:v>
      </x:c>
      <x:c r="T45" s="9" t="s">
        <x:v>498</x:v>
      </x:c>
      <x:c r="U45" s="9" t="s">
        <x:v>72</x:v>
      </x:c>
      <x:c r="V45" s="9" t="s">
        <x:v>66</x:v>
      </x:c>
      <x:c r="W45" s="9" t="s">
        <x:v>499</x:v>
      </x:c>
      <x:c r="X45" s="9" t="s">
        <x:v>551</x:v>
      </x:c>
      <x:c r="Y45" s="9" t="s">
        <x:v>385</x:v>
      </x:c>
      <x:c r="Z45" s="9" t="s">
        <x:v>386</x:v>
      </x:c>
      <x:c r="AA45" s="9" t="s">
        <x:v>73</x:v>
      </x:c>
      <x:c r="AB45" s="9" t="s">
        <x:v>74</x:v>
      </x:c>
      <x:c r="AC45" s="9" t="s">
        <x:v>75</x:v>
      </x:c>
      <x:c r="AD45" s="9" t="s">
        <x:v>603</x:v>
      </x:c>
    </x:row>
    <x:row r="46" ht="48" hidden="0" customHeight="1">
      <x:c r="A46" s="9" t="s">
        <x:v>374</x:v>
      </x:c>
      <x:c r="B46" s="9" t="s">
        <x:v>41</x:v>
      </x:c>
      <x:c r="C46" s="9" t="s">
        <x:v>486</x:v>
      </x:c>
      <x:c r="D46" s="9" t="s">
        <x:v>179</x:v>
      </x:c>
      <x:c r="E46" s="9" t="s">
        <x:v>153</x:v>
      </x:c>
      <x:c r="F46" s="9" t="s">
        <x:v>372</x:v>
      </x:c>
      <x:c r="G46" s="8" t="s">
        <x:v>608</x:v>
      </x:c>
      <x:c r="H46" s="8" t="s">
        <x:v>488</x:v>
      </x:c>
      <x:c r="I46" s="8" t="s">
        <x:v>489</x:v>
      </x:c>
      <x:c r="J46" s="9" t="s">
        <x:v>548</x:v>
      </x:c>
      <x:c r="K46" s="8" t="s">
        <x:v>609</x:v>
      </x:c>
      <x:c r="L46" s="8" t="s">
        <x:v>608</x:v>
      </x:c>
      <x:c r="M46" s="8" t="s">
        <x:v>492</x:v>
      </x:c>
      <x:c r="N46" s="8" t="s">
        <x:v>493</x:v>
      </x:c>
      <x:c r="O46" s="9" t="s">
        <x:v>494</x:v>
      </x:c>
      <x:c r="P46" s="9" t="s">
        <x:v>495</x:v>
      </x:c>
      <x:c r="Q46" s="9" t="s">
        <x:v>156</x:v>
      </x:c>
      <x:c r="R46" s="9" t="s">
        <x:v>496</x:v>
      </x:c>
      <x:c r="S46" s="9" t="s">
        <x:v>497</x:v>
      </x:c>
      <x:c r="T46" s="9" t="s">
        <x:v>498</x:v>
      </x:c>
      <x:c r="U46" s="9" t="s">
        <x:v>72</x:v>
      </x:c>
      <x:c r="V46" s="9" t="s">
        <x:v>66</x:v>
      </x:c>
      <x:c r="W46" s="9" t="s">
        <x:v>499</x:v>
      </x:c>
      <x:c r="X46" s="9" t="s">
        <x:v>551</x:v>
      </x:c>
      <x:c r="Y46" s="9" t="s">
        <x:v>375</x:v>
      </x:c>
      <x:c r="Z46" s="9" t="s">
        <x:v>376</x:v>
      </x:c>
      <x:c r="AA46" s="9" t="s">
        <x:v>73</x:v>
      </x:c>
      <x:c r="AB46" s="9" t="s">
        <x:v>74</x:v>
      </x:c>
      <x:c r="AC46" s="9" t="s">
        <x:v>75</x:v>
      </x:c>
      <x:c r="AD46" s="9" t="s">
        <x:v>552</x:v>
      </x:c>
    </x:row>
    <x:row r="47" ht="48" hidden="0" customHeight="1">
      <x:c r="A47" s="9" t="s">
        <x:v>390</x:v>
      </x:c>
      <x:c r="B47" s="9" t="s">
        <x:v>41</x:v>
      </x:c>
      <x:c r="C47" s="9" t="s">
        <x:v>486</x:v>
      </x:c>
      <x:c r="D47" s="9" t="s">
        <x:v>179</x:v>
      </x:c>
      <x:c r="E47" s="9" t="s">
        <x:v>387</x:v>
      </x:c>
      <x:c r="F47" s="9" t="s">
        <x:v>388</x:v>
      </x:c>
      <x:c r="G47" s="9" t="s">
        <x:v>610</x:v>
      </x:c>
      <x:c r="H47" s="8" t="s">
        <x:v>488</x:v>
      </x:c>
      <x:c r="I47" s="8" t="s">
        <x:v>489</x:v>
      </x:c>
      <x:c r="J47" s="9" t="s">
        <x:v>548</x:v>
      </x:c>
      <x:c r="K47" s="8" t="s">
        <x:v>611</x:v>
      </x:c>
      <x:c r="L47" s="9" t="s">
        <x:v>610</x:v>
      </x:c>
      <x:c r="M47" s="9" t="s">
        <x:v>612</x:v>
      </x:c>
      <x:c r="N47" s="8" t="s">
        <x:v>493</x:v>
      </x:c>
      <x:c r="O47" s="9" t="s">
        <x:v>494</x:v>
      </x:c>
      <x:c r="P47" s="9" t="s">
        <x:v>495</x:v>
      </x:c>
      <x:c r="Q47" s="9" t="s">
        <x:v>98</x:v>
      </x:c>
      <x:c r="R47" s="9" t="s">
        <x:v>516</x:v>
      </x:c>
      <x:c r="S47" s="9" t="s">
        <x:v>497</x:v>
      </x:c>
      <x:c r="T47" s="9" t="s">
        <x:v>498</x:v>
      </x:c>
      <x:c r="U47" s="9" t="s">
        <x:v>72</x:v>
      </x:c>
      <x:c r="V47" s="9" t="s">
        <x:v>66</x:v>
      </x:c>
      <x:c r="W47" s="9" t="s">
        <x:v>499</x:v>
      </x:c>
      <x:c r="X47" s="9" t="s">
        <x:v>551</x:v>
      </x:c>
      <x:c r="Y47" s="9" t="s">
        <x:v>391</x:v>
      </x:c>
      <x:c r="Z47" s="9" t="s">
        <x:v>392</x:v>
      </x:c>
      <x:c r="AA47" s="9" t="s">
        <x:v>73</x:v>
      </x:c>
      <x:c r="AB47" s="9" t="s">
        <x:v>74</x:v>
      </x:c>
      <x:c r="AC47" s="9" t="s">
        <x:v>75</x:v>
      </x:c>
      <x:c r="AD47" s="9" t="s">
        <x:v>584</x:v>
      </x:c>
    </x:row>
    <x:row r="48" ht="48" hidden="0" customHeight="1">
      <x:c r="A48" s="9" t="s">
        <x:v>287</x:v>
      </x:c>
      <x:c r="B48" s="9" t="s">
        <x:v>41</x:v>
      </x:c>
      <x:c r="C48" s="9" t="s">
        <x:v>486</x:v>
      </x:c>
      <x:c r="D48" s="9" t="s">
        <x:v>179</x:v>
      </x:c>
      <x:c r="E48" s="9" t="s">
        <x:v>284</x:v>
      </x:c>
      <x:c r="F48" s="9" t="s">
        <x:v>285</x:v>
      </x:c>
      <x:c r="G48" s="9" t="s">
        <x:v>613</x:v>
      </x:c>
      <x:c r="H48" s="8" t="s">
        <x:v>488</x:v>
      </x:c>
      <x:c r="I48" s="8" t="s">
        <x:v>489</x:v>
      </x:c>
      <x:c r="J48" s="9" t="s">
        <x:v>548</x:v>
      </x:c>
      <x:c r="K48" s="8" t="s">
        <x:v>614</x:v>
      </x:c>
      <x:c r="L48" s="9" t="s">
        <x:v>613</x:v>
      </x:c>
      <x:c r="M48" s="8" t="s">
        <x:v>550</x:v>
      </x:c>
      <x:c r="N48" s="8" t="s">
        <x:v>493</x:v>
      </x:c>
      <x:c r="O48" s="9" t="s">
        <x:v>494</x:v>
      </x:c>
      <x:c r="P48" s="9" t="s">
        <x:v>495</x:v>
      </x:c>
      <x:c r="Q48" s="9" t="s">
        <x:v>98</x:v>
      </x:c>
      <x:c r="R48" s="9" t="s">
        <x:v>534</x:v>
      </x:c>
      <x:c r="S48" s="9" t="s">
        <x:v>497</x:v>
      </x:c>
      <x:c r="T48" s="9" t="s">
        <x:v>498</x:v>
      </x:c>
      <x:c r="U48" s="9" t="s">
        <x:v>72</x:v>
      </x:c>
      <x:c r="V48" s="9" t="s">
        <x:v>66</x:v>
      </x:c>
      <x:c r="W48" s="9" t="s">
        <x:v>499</x:v>
      </x:c>
      <x:c r="X48" s="9" t="s">
        <x:v>551</x:v>
      </x:c>
      <x:c r="Y48" s="9" t="s">
        <x:v>288</x:v>
      </x:c>
      <x:c r="Z48" s="9" t="s">
        <x:v>289</x:v>
      </x:c>
      <x:c r="AA48" s="9" t="s">
        <x:v>73</x:v>
      </x:c>
      <x:c r="AB48" s="9" t="s">
        <x:v>74</x:v>
      </x:c>
      <x:c r="AC48" s="9" t="s">
        <x:v>201</x:v>
      </x:c>
      <x:c r="AD48" s="9" t="s">
        <x:v>552</x:v>
      </x:c>
    </x:row>
    <x:row r="49" ht="48" hidden="0" customHeight="1">
      <x:c r="A49" s="9" t="s">
        <x:v>293</x:v>
      </x:c>
      <x:c r="B49" s="9" t="s">
        <x:v>41</x:v>
      </x:c>
      <x:c r="C49" s="9" t="s">
        <x:v>486</x:v>
      </x:c>
      <x:c r="D49" s="9" t="s">
        <x:v>179</x:v>
      </x:c>
      <x:c r="E49" s="9" t="s">
        <x:v>290</x:v>
      </x:c>
      <x:c r="F49" s="9" t="s">
        <x:v>291</x:v>
      </x:c>
      <x:c r="G49" s="9" t="s">
        <x:v>615</x:v>
      </x:c>
      <x:c r="H49" s="8" t="s">
        <x:v>488</x:v>
      </x:c>
      <x:c r="I49" s="8" t="s">
        <x:v>489</x:v>
      </x:c>
      <x:c r="J49" s="9" t="s">
        <x:v>548</x:v>
      </x:c>
      <x:c r="K49" s="8" t="s">
        <x:v>616</x:v>
      </x:c>
      <x:c r="L49" s="9" t="s">
        <x:v>615</x:v>
      </x:c>
      <x:c r="M49" s="8" t="s">
        <x:v>550</x:v>
      </x:c>
      <x:c r="N49" s="8" t="s">
        <x:v>493</x:v>
      </x:c>
      <x:c r="O49" s="9" t="s">
        <x:v>494</x:v>
      </x:c>
      <x:c r="P49" s="9" t="s">
        <x:v>495</x:v>
      </x:c>
      <x:c r="Q49" s="9" t="s">
        <x:v>98</x:v>
      </x:c>
      <x:c r="R49" s="9" t="s">
        <x:v>534</x:v>
      </x:c>
      <x:c r="S49" s="9" t="s">
        <x:v>497</x:v>
      </x:c>
      <x:c r="T49" s="9" t="s">
        <x:v>498</x:v>
      </x:c>
      <x:c r="U49" s="9" t="s">
        <x:v>72</x:v>
      </x:c>
      <x:c r="V49" s="9" t="s">
        <x:v>66</x:v>
      </x:c>
      <x:c r="W49" s="9" t="s">
        <x:v>499</x:v>
      </x:c>
      <x:c r="X49" s="9" t="s">
        <x:v>551</x:v>
      </x:c>
      <x:c r="Y49" s="9" t="s">
        <x:v>294</x:v>
      </x:c>
      <x:c r="Z49" s="9" t="s">
        <x:v>295</x:v>
      </x:c>
      <x:c r="AA49" s="9" t="s">
        <x:v>73</x:v>
      </x:c>
      <x:c r="AB49" s="9" t="s">
        <x:v>74</x:v>
      </x:c>
      <x:c r="AC49" s="9" t="s">
        <x:v>201</x:v>
      </x:c>
      <x:c r="AD49" s="9" t="s">
        <x:v>552</x:v>
      </x:c>
    </x:row>
    <x:row r="50" ht="48" hidden="0" customHeight="1">
      <x:c r="A50" s="9" t="s">
        <x:v>299</x:v>
      </x:c>
      <x:c r="B50" s="9" t="s">
        <x:v>41</x:v>
      </x:c>
      <x:c r="C50" s="9" t="s">
        <x:v>486</x:v>
      </x:c>
      <x:c r="D50" s="9" t="s">
        <x:v>179</x:v>
      </x:c>
      <x:c r="E50" s="9" t="s">
        <x:v>296</x:v>
      </x:c>
      <x:c r="F50" s="9" t="s">
        <x:v>297</x:v>
      </x:c>
      <x:c r="G50" s="9" t="s">
        <x:v>617</x:v>
      </x:c>
      <x:c r="H50" s="8" t="s">
        <x:v>488</x:v>
      </x:c>
      <x:c r="I50" s="8" t="s">
        <x:v>489</x:v>
      </x:c>
      <x:c r="J50" s="9" t="s">
        <x:v>548</x:v>
      </x:c>
      <x:c r="K50" s="8" t="s">
        <x:v>618</x:v>
      </x:c>
      <x:c r="L50" s="9" t="s">
        <x:v>617</x:v>
      </x:c>
      <x:c r="M50" s="8" t="s">
        <x:v>550</x:v>
      </x:c>
      <x:c r="N50" s="8" t="s">
        <x:v>493</x:v>
      </x:c>
      <x:c r="O50" s="9" t="s">
        <x:v>494</x:v>
      </x:c>
      <x:c r="P50" s="9" t="s">
        <x:v>495</x:v>
      </x:c>
      <x:c r="Q50" s="9" t="s">
        <x:v>98</x:v>
      </x:c>
      <x:c r="R50" s="9" t="s">
        <x:v>534</x:v>
      </x:c>
      <x:c r="S50" s="9" t="s">
        <x:v>497</x:v>
      </x:c>
      <x:c r="T50" s="9" t="s">
        <x:v>498</x:v>
      </x:c>
      <x:c r="U50" s="9" t="s">
        <x:v>72</x:v>
      </x:c>
      <x:c r="V50" s="9" t="s">
        <x:v>66</x:v>
      </x:c>
      <x:c r="W50" s="9" t="s">
        <x:v>499</x:v>
      </x:c>
      <x:c r="X50" s="9" t="s">
        <x:v>551</x:v>
      </x:c>
      <x:c r="Y50" s="9" t="s">
        <x:v>300</x:v>
      </x:c>
      <x:c r="Z50" s="9" t="s">
        <x:v>301</x:v>
      </x:c>
      <x:c r="AA50" s="9" t="s">
        <x:v>73</x:v>
      </x:c>
      <x:c r="AB50" s="9" t="s">
        <x:v>74</x:v>
      </x:c>
      <x:c r="AC50" s="9" t="s">
        <x:v>201</x:v>
      </x:c>
      <x:c r="AD50" s="9" t="s">
        <x:v>552</x:v>
      </x:c>
    </x:row>
    <x:row r="51" ht="48" hidden="0" customHeight="1">
      <x:c r="A51" s="9" t="s">
        <x:v>262</x:v>
      </x:c>
      <x:c r="B51" s="9" t="s">
        <x:v>41</x:v>
      </x:c>
      <x:c r="C51" s="9" t="s">
        <x:v>486</x:v>
      </x:c>
      <x:c r="D51" s="9" t="s">
        <x:v>179</x:v>
      </x:c>
      <x:c r="E51" s="9" t="s">
        <x:v>259</x:v>
      </x:c>
      <x:c r="F51" s="9" t="s">
        <x:v>260</x:v>
      </x:c>
      <x:c r="G51" s="9" t="s">
        <x:v>619</x:v>
      </x:c>
      <x:c r="H51" s="8" t="s">
        <x:v>488</x:v>
      </x:c>
      <x:c r="I51" s="8" t="s">
        <x:v>489</x:v>
      </x:c>
      <x:c r="J51" s="9" t="s">
        <x:v>548</x:v>
      </x:c>
      <x:c r="K51" s="8" t="s">
        <x:v>620</x:v>
      </x:c>
      <x:c r="L51" s="9" t="s">
        <x:v>619</x:v>
      </x:c>
      <x:c r="M51" s="8" t="s">
        <x:v>550</x:v>
      </x:c>
      <x:c r="N51" s="8" t="s">
        <x:v>493</x:v>
      </x:c>
      <x:c r="O51" s="9" t="s">
        <x:v>494</x:v>
      </x:c>
      <x:c r="P51" s="9" t="s">
        <x:v>495</x:v>
      </x:c>
      <x:c r="Q51" s="9" t="s">
        <x:v>98</x:v>
      </x:c>
      <x:c r="R51" s="9" t="s">
        <x:v>534</x:v>
      </x:c>
      <x:c r="S51" s="9" t="s">
        <x:v>497</x:v>
      </x:c>
      <x:c r="T51" s="9" t="s">
        <x:v>498</x:v>
      </x:c>
      <x:c r="U51" s="9" t="s">
        <x:v>72</x:v>
      </x:c>
      <x:c r="V51" s="9" t="s">
        <x:v>66</x:v>
      </x:c>
      <x:c r="W51" s="9" t="s">
        <x:v>499</x:v>
      </x:c>
      <x:c r="X51" s="9" t="s">
        <x:v>551</x:v>
      </x:c>
      <x:c r="Y51" s="9" t="s">
        <x:v>263</x:v>
      </x:c>
      <x:c r="Z51" s="9" t="s">
        <x:v>264</x:v>
      </x:c>
      <x:c r="AA51" s="9" t="s">
        <x:v>73</x:v>
      </x:c>
      <x:c r="AB51" s="9" t="s">
        <x:v>74</x:v>
      </x:c>
      <x:c r="AC51" s="9" t="s">
        <x:v>201</x:v>
      </x:c>
      <x:c r="AD51" s="9" t="s">
        <x:v>552</x:v>
      </x:c>
    </x:row>
    <x:row r="52" ht="48" hidden="0" customHeight="1">
      <x:c r="A52" s="9" t="s">
        <x:v>268</x:v>
      </x:c>
      <x:c r="B52" s="9" t="s">
        <x:v>41</x:v>
      </x:c>
      <x:c r="C52" s="9" t="s">
        <x:v>486</x:v>
      </x:c>
      <x:c r="D52" s="9" t="s">
        <x:v>179</x:v>
      </x:c>
      <x:c r="E52" s="9" t="s">
        <x:v>265</x:v>
      </x:c>
      <x:c r="F52" s="9" t="s">
        <x:v>266</x:v>
      </x:c>
      <x:c r="G52" s="9" t="s">
        <x:v>621</x:v>
      </x:c>
      <x:c r="H52" s="8" t="s">
        <x:v>488</x:v>
      </x:c>
      <x:c r="I52" s="8" t="s">
        <x:v>489</x:v>
      </x:c>
      <x:c r="J52" s="9" t="s">
        <x:v>590</x:v>
      </x:c>
      <x:c r="K52" s="8" t="s">
        <x:v>622</x:v>
      </x:c>
      <x:c r="L52" s="9" t="s">
        <x:v>621</x:v>
      </x:c>
      <x:c r="M52" s="9" t="s">
        <x:v>529</x:v>
      </x:c>
      <x:c r="N52" s="8" t="s">
        <x:v>493</x:v>
      </x:c>
      <x:c r="O52" s="9" t="s">
        <x:v>494</x:v>
      </x:c>
      <x:c r="P52" s="9" t="s">
        <x:v>495</x:v>
      </x:c>
      <x:c r="Q52" s="9" t="s">
        <x:v>98</x:v>
      </x:c>
      <x:c r="R52" s="9" t="s">
        <x:v>534</x:v>
      </x:c>
      <x:c r="S52" s="9" t="s">
        <x:v>497</x:v>
      </x:c>
      <x:c r="T52" s="9" t="s">
        <x:v>498</x:v>
      </x:c>
      <x:c r="U52" s="9" t="s">
        <x:v>72</x:v>
      </x:c>
      <x:c r="V52" s="9" t="s">
        <x:v>66</x:v>
      </x:c>
      <x:c r="W52" s="9" t="s">
        <x:v>499</x:v>
      </x:c>
      <x:c r="X52" s="9" t="s">
        <x:v>551</x:v>
      </x:c>
      <x:c r="Y52" s="9" t="s">
        <x:v>269</x:v>
      </x:c>
      <x:c r="Z52" s="9" t="s">
        <x:v>270</x:v>
      </x:c>
      <x:c r="AA52" s="9" t="s">
        <x:v>73</x:v>
      </x:c>
      <x:c r="AB52" s="9" t="s">
        <x:v>74</x:v>
      </x:c>
      <x:c r="AC52" s="9" t="s">
        <x:v>201</x:v>
      </x:c>
      <x:c r="AD52" s="9" t="s">
        <x:v>583</x:v>
      </x:c>
    </x:row>
    <x:row r="53" ht="48" hidden="0" customHeight="1">
      <x:c r="A53" s="9" t="s">
        <x:v>281</x:v>
      </x:c>
      <x:c r="B53" s="9" t="s">
        <x:v>41</x:v>
      </x:c>
      <x:c r="C53" s="9" t="s">
        <x:v>486</x:v>
      </x:c>
      <x:c r="D53" s="9" t="s">
        <x:v>179</x:v>
      </x:c>
      <x:c r="E53" s="9" t="s">
        <x:v>278</x:v>
      </x:c>
      <x:c r="F53" s="9" t="s">
        <x:v>279</x:v>
      </x:c>
      <x:c r="G53" s="9" t="s">
        <x:v>623</x:v>
      </x:c>
      <x:c r="H53" s="8" t="s">
        <x:v>488</x:v>
      </x:c>
      <x:c r="I53" s="8" t="s">
        <x:v>489</x:v>
      </x:c>
      <x:c r="J53" s="9" t="s">
        <x:v>548</x:v>
      </x:c>
      <x:c r="K53" s="8" t="s">
        <x:v>624</x:v>
      </x:c>
      <x:c r="L53" s="9" t="s">
        <x:v>623</x:v>
      </x:c>
      <x:c r="M53" s="8" t="s">
        <x:v>492</x:v>
      </x:c>
      <x:c r="N53" s="8" t="s">
        <x:v>493</x:v>
      </x:c>
      <x:c r="O53" s="9" t="s">
        <x:v>494</x:v>
      </x:c>
      <x:c r="P53" s="9" t="s">
        <x:v>495</x:v>
      </x:c>
      <x:c r="Q53" s="9" t="s">
        <x:v>98</x:v>
      </x:c>
      <x:c r="R53" s="9" t="s">
        <x:v>534</x:v>
      </x:c>
      <x:c r="S53" s="9" t="s">
        <x:v>497</x:v>
      </x:c>
      <x:c r="T53" s="9" t="s">
        <x:v>498</x:v>
      </x:c>
      <x:c r="U53" s="9" t="s">
        <x:v>72</x:v>
      </x:c>
      <x:c r="V53" s="9" t="s">
        <x:v>66</x:v>
      </x:c>
      <x:c r="W53" s="9" t="s">
        <x:v>511</x:v>
      </x:c>
      <x:c r="X53" s="9" t="s">
        <x:v>551</x:v>
      </x:c>
      <x:c r="Y53" s="9" t="s">
        <x:v>282</x:v>
      </x:c>
      <x:c r="Z53" s="9" t="s">
        <x:v>283</x:v>
      </x:c>
      <x:c r="AA53" s="9" t="s">
        <x:v>73</x:v>
      </x:c>
      <x:c r="AB53" s="9" t="s">
        <x:v>74</x:v>
      </x:c>
      <x:c r="AC53" s="9" t="s">
        <x:v>75</x:v>
      </x:c>
      <x:c r="AD53" s="9" t="s">
        <x:v>552</x:v>
      </x:c>
    </x:row>
    <x:row r="54" ht="48" hidden="0" customHeight="1">
      <x:c r="A54" s="9" t="s">
        <x:v>275</x:v>
      </x:c>
      <x:c r="B54" s="9" t="s">
        <x:v>41</x:v>
      </x:c>
      <x:c r="C54" s="9" t="s">
        <x:v>486</x:v>
      </x:c>
      <x:c r="D54" s="9" t="s">
        <x:v>179</x:v>
      </x:c>
      <x:c r="E54" s="9" t="s">
        <x:v>271</x:v>
      </x:c>
      <x:c r="F54" s="9" t="s">
        <x:v>272</x:v>
      </x:c>
      <x:c r="G54" s="9" t="s">
        <x:v>625</x:v>
      </x:c>
      <x:c r="H54" s="8" t="s">
        <x:v>488</x:v>
      </x:c>
      <x:c r="I54" s="8" t="s">
        <x:v>489</x:v>
      </x:c>
      <x:c r="J54" s="9" t="s">
        <x:v>548</x:v>
      </x:c>
      <x:c r="K54" s="8" t="s">
        <x:v>626</x:v>
      </x:c>
      <x:c r="L54" s="9" t="s">
        <x:v>625</x:v>
      </x:c>
      <x:c r="M54" s="8" t="s">
        <x:v>550</x:v>
      </x:c>
      <x:c r="N54" s="8" t="s">
        <x:v>493</x:v>
      </x:c>
      <x:c r="O54" s="9" t="s">
        <x:v>494</x:v>
      </x:c>
      <x:c r="P54" s="9" t="s">
        <x:v>495</x:v>
      </x:c>
      <x:c r="Q54" s="9" t="s">
        <x:v>156</x:v>
      </x:c>
      <x:c r="R54" s="9" t="s">
        <x:v>516</x:v>
      </x:c>
      <x:c r="S54" s="9" t="s">
        <x:v>497</x:v>
      </x:c>
      <x:c r="T54" s="9" t="s">
        <x:v>498</x:v>
      </x:c>
      <x:c r="U54" s="9" t="s">
        <x:v>72</x:v>
      </x:c>
      <x:c r="V54" s="9" t="s">
        <x:v>66</x:v>
      </x:c>
      <x:c r="W54" s="9" t="s">
        <x:v>499</x:v>
      </x:c>
      <x:c r="X54" s="9" t="s">
        <x:v>551</x:v>
      </x:c>
      <x:c r="Y54" s="9" t="s">
        <x:v>276</x:v>
      </x:c>
      <x:c r="Z54" s="9" t="s">
        <x:v>277</x:v>
      </x:c>
      <x:c r="AA54" s="9" t="s">
        <x:v>73</x:v>
      </x:c>
      <x:c r="AB54" s="9" t="s">
        <x:v>74</x:v>
      </x:c>
      <x:c r="AC54" s="9" t="s">
        <x:v>201</x:v>
      </x:c>
      <x:c r="AD54" s="9" t="s">
        <x:v>552</x:v>
      </x:c>
    </x:row>
    <x:row r="55" ht="48" hidden="0" customHeight="1">
      <x:c r="A55" s="9" t="s">
        <x:v>397</x:v>
      </x:c>
      <x:c r="B55" s="9" t="s">
        <x:v>41</x:v>
      </x:c>
      <x:c r="C55" s="9" t="s">
        <x:v>486</x:v>
      </x:c>
      <x:c r="D55" s="9" t="s">
        <x:v>179</x:v>
      </x:c>
      <x:c r="E55" s="9" t="s">
        <x:v>393</x:v>
      </x:c>
      <x:c r="F55" s="9" t="s">
        <x:v>394</x:v>
      </x:c>
      <x:c r="G55" s="9" t="s">
        <x:v>627</x:v>
      </x:c>
      <x:c r="H55" s="8" t="s">
        <x:v>488</x:v>
      </x:c>
      <x:c r="I55" s="8" t="s">
        <x:v>489</x:v>
      </x:c>
      <x:c r="J55" s="9" t="s">
        <x:v>576</x:v>
      </x:c>
      <x:c r="K55" s="8" t="s">
        <x:v>628</x:v>
      </x:c>
      <x:c r="L55" s="9" t="s">
        <x:v>627</x:v>
      </x:c>
      <x:c r="M55" s="8" t="s">
        <x:v>629</x:v>
      </x:c>
      <x:c r="N55" s="8" t="s">
        <x:v>493</x:v>
      </x:c>
      <x:c r="O55" s="9" t="s">
        <x:v>494</x:v>
      </x:c>
      <x:c r="P55" s="9" t="s">
        <x:v>495</x:v>
      </x:c>
      <x:c r="Q55" s="9" t="s">
        <x:v>88</x:v>
      </x:c>
      <x:c r="R55" s="9" t="s">
        <x:v>505</x:v>
      </x:c>
      <x:c r="S55" s="9" t="s">
        <x:v>497</x:v>
      </x:c>
      <x:c r="T55" s="9" t="s">
        <x:v>498</x:v>
      </x:c>
      <x:c r="U55" s="9" t="s">
        <x:v>72</x:v>
      </x:c>
      <x:c r="V55" s="9" t="s">
        <x:v>89</x:v>
      </x:c>
      <x:c r="W55" s="9" t="s">
        <x:v>511</x:v>
      </x:c>
      <x:c r="X55" s="9" t="s">
        <x:v>551</x:v>
      </x:c>
      <x:c r="Y55" s="9" t="s">
        <x:v>398</x:v>
      </x:c>
      <x:c r="Z55" s="9" t="s">
        <x:v>399</x:v>
      </x:c>
      <x:c r="AA55" s="9" t="s">
        <x:v>73</x:v>
      </x:c>
      <x:c r="AB55" s="9" t="s">
        <x:v>74</x:v>
      </x:c>
      <x:c r="AC55" s="9" t="s">
        <x:v>140</x:v>
      </x:c>
      <x:c r="AD55" s="9" t="s">
        <x:v>578</x:v>
      </x:c>
    </x:row>
    <x:row r="56" ht="48" hidden="0" customHeight="1">
      <x:c r="A56" s="9" t="s">
        <x:v>630</x:v>
      </x:c>
      <x:c r="B56" s="9" t="s">
        <x:v>631</x:v>
      </x:c>
      <x:c r="C56" s="9" t="s">
        <x:v>632</x:v>
      </x:c>
      <x:c r="D56" s="9" t="s">
        <x:v>633</x:v>
      </x:c>
      <x:c r="E56" s="9" t="s">
        <x:v>634</x:v>
      </x:c>
      <x:c r="F56" s="9" t="s">
        <x:v>128</x:v>
      </x:c>
      <x:c r="G56" s="8" t="s">
        <x:v>635</x:v>
      </x:c>
      <x:c r="H56" s="8" t="s">
        <x:v>636</x:v>
      </x:c>
      <x:c r="I56" s="8" t="s">
        <x:v>637</x:v>
      </x:c>
      <x:c r="J56" s="8" t="s">
        <x:v>638</x:v>
      </x:c>
      <x:c r="K56" s="8" t="s">
        <x:v>639</x:v>
      </x:c>
      <x:c r="L56" s="8" t="s">
        <x:v>635</x:v>
      </x:c>
      <x:c r="M56" s="8" t="s">
        <x:v>640</x:v>
      </x:c>
      <x:c r="N56" s="9" t="s">
        <x:v>641</x:v>
      </x:c>
      <x:c r="O56" s="9" t="s">
        <x:v>494</x:v>
      </x:c>
      <x:c r="P56" s="9" t="s">
        <x:v>495</x:v>
      </x:c>
      <x:c r="Q56" s="9" t="s">
        <x:v>88</x:v>
      </x:c>
      <x:c r="R56" s="9" t="s">
        <x:v>505</x:v>
      </x:c>
      <x:c r="S56" s="9" t="s">
        <x:v>497</x:v>
      </x:c>
      <x:c r="T56" s="9" t="s">
        <x:v>642</x:v>
      </x:c>
      <x:c r="U56" s="9" t="s">
        <x:v>643</x:v>
      </x:c>
      <x:c r="V56" s="9" t="s">
        <x:v>644</x:v>
      </x:c>
      <x:c r="W56" s="9" t="s">
        <x:v>645</x:v>
      </x:c>
      <x:c r="X56" s="9" t="s">
        <x:v>646</x:v>
      </x:c>
      <x:c r="Y56" s="8"/>
      <x:c r="Z56" s="8"/>
      <x:c r="AA56" s="9" t="s">
        <x:v>414</x:v>
      </x:c>
      <x:c r="AB56" s="9" t="s">
        <x:v>74</x:v>
      </x:c>
      <x:c r="AC56" s="8"/>
      <x:c r="AD56" s="8"/>
    </x:row>
    <x:row r="57" ht="36" hidden="0" customHeight="1">
      <x:c r="A57" s="9" t="s">
        <x:v>647</x:v>
      </x:c>
      <x:c r="B57" s="9" t="s">
        <x:v>631</x:v>
      </x:c>
      <x:c r="C57" s="9" t="s">
        <x:v>632</x:v>
      </x:c>
      <x:c r="D57" s="9" t="s">
        <x:v>633</x:v>
      </x:c>
      <x:c r="E57" s="9" t="s">
        <x:v>634</x:v>
      </x:c>
      <x:c r="F57" s="9" t="s">
        <x:v>352</x:v>
      </x:c>
      <x:c r="G57" s="8" t="s">
        <x:v>648</x:v>
      </x:c>
      <x:c r="H57" s="8" t="s">
        <x:v>649</x:v>
      </x:c>
      <x:c r="I57" s="8" t="s">
        <x:v>637</x:v>
      </x:c>
      <x:c r="J57" s="8" t="s">
        <x:v>650</x:v>
      </x:c>
      <x:c r="K57" s="8" t="s">
        <x:v>651</x:v>
      </x:c>
      <x:c r="L57" s="8" t="s">
        <x:v>648</x:v>
      </x:c>
      <x:c r="M57" s="8" t="s">
        <x:v>652</x:v>
      </x:c>
      <x:c r="N57" s="9" t="s">
        <x:v>653</x:v>
      </x:c>
      <x:c r="O57" s="9" t="s">
        <x:v>494</x:v>
      </x:c>
      <x:c r="P57" s="9" t="s">
        <x:v>495</x:v>
      </x:c>
      <x:c r="Q57" s="9" t="s">
        <x:v>88</x:v>
      </x:c>
      <x:c r="R57" s="9" t="s">
        <x:v>505</x:v>
      </x:c>
      <x:c r="S57" s="9" t="s">
        <x:v>497</x:v>
      </x:c>
      <x:c r="T57" s="9" t="s">
        <x:v>642</x:v>
      </x:c>
      <x:c r="U57" s="9" t="s">
        <x:v>643</x:v>
      </x:c>
      <x:c r="V57" s="9" t="s">
        <x:v>644</x:v>
      </x:c>
      <x:c r="W57" s="9" t="s">
        <x:v>654</x:v>
      </x:c>
      <x:c r="X57" s="9" t="s">
        <x:v>655</x:v>
      </x:c>
      <x:c r="Y57" s="8"/>
      <x:c r="Z57" s="8"/>
      <x:c r="AA57" s="9" t="s">
        <x:v>414</x:v>
      </x:c>
      <x:c r="AB57" s="9" t="s">
        <x:v>74</x:v>
      </x:c>
      <x:c r="AC57" s="8"/>
      <x:c r="AD57" s="8"/>
    </x:row>
    <x:row r="58" ht="36" hidden="0" customHeight="1">
      <x:c r="A58" s="9" t="s">
        <x:v>656</x:v>
      </x:c>
      <x:c r="B58" s="9" t="s">
        <x:v>631</x:v>
      </x:c>
      <x:c r="C58" s="9" t="s">
        <x:v>632</x:v>
      </x:c>
      <x:c r="D58" s="9" t="s">
        <x:v>633</x:v>
      </x:c>
      <x:c r="E58" s="9" t="s">
        <x:v>634</x:v>
      </x:c>
      <x:c r="F58" s="9" t="s">
        <x:v>119</x:v>
      </x:c>
      <x:c r="G58" s="8" t="s">
        <x:v>657</x:v>
      </x:c>
      <x:c r="H58" s="8" t="s">
        <x:v>658</x:v>
      </x:c>
      <x:c r="I58" s="8" t="s">
        <x:v>637</x:v>
      </x:c>
      <x:c r="J58" s="8" t="s">
        <x:v>659</x:v>
      </x:c>
      <x:c r="K58" s="8" t="s">
        <x:v>660</x:v>
      </x:c>
      <x:c r="L58" s="8" t="s">
        <x:v>657</x:v>
      </x:c>
      <x:c r="M58" s="8" t="s">
        <x:v>661</x:v>
      </x:c>
      <x:c r="N58" s="8" t="s">
        <x:v>662</x:v>
      </x:c>
      <x:c r="O58" s="9" t="s">
        <x:v>494</x:v>
      </x:c>
      <x:c r="P58" s="9" t="s">
        <x:v>495</x:v>
      </x:c>
      <x:c r="Q58" s="9" t="s">
        <x:v>88</x:v>
      </x:c>
      <x:c r="R58" s="9" t="s">
        <x:v>505</x:v>
      </x:c>
      <x:c r="S58" s="9" t="s">
        <x:v>497</x:v>
      </x:c>
      <x:c r="T58" s="9" t="s">
        <x:v>642</x:v>
      </x:c>
      <x:c r="U58" s="9" t="s">
        <x:v>643</x:v>
      </x:c>
      <x:c r="V58" s="9" t="s">
        <x:v>644</x:v>
      </x:c>
      <x:c r="W58" s="9" t="s">
        <x:v>663</x:v>
      </x:c>
      <x:c r="X58" s="9" t="s">
        <x:v>664</x:v>
      </x:c>
      <x:c r="Y58" s="8"/>
      <x:c r="Z58" s="8"/>
      <x:c r="AA58" s="9" t="s">
        <x:v>414</x:v>
      </x:c>
      <x:c r="AB58" s="9" t="s">
        <x:v>74</x:v>
      </x:c>
      <x:c r="AC58" s="8"/>
      <x:c r="AD58" s="8"/>
    </x:row>
    <x:row r="59" ht="36" hidden="0" customHeight="1">
      <x:c r="A59" s="9" t="s">
        <x:v>665</x:v>
      </x:c>
      <x:c r="B59" s="9" t="s">
        <x:v>631</x:v>
      </x:c>
      <x:c r="C59" s="9" t="s">
        <x:v>632</x:v>
      </x:c>
      <x:c r="D59" s="9" t="s">
        <x:v>633</x:v>
      </x:c>
      <x:c r="E59" s="9" t="s">
        <x:v>634</x:v>
      </x:c>
      <x:c r="F59" s="9" t="s">
        <x:v>347</x:v>
      </x:c>
      <x:c r="G59" s="8" t="s">
        <x:v>666</x:v>
      </x:c>
      <x:c r="H59" s="8" t="s">
        <x:v>667</x:v>
      </x:c>
      <x:c r="I59" s="8" t="s">
        <x:v>637</x:v>
      </x:c>
      <x:c r="J59" s="8" t="s">
        <x:v>668</x:v>
      </x:c>
      <x:c r="K59" s="8" t="s">
        <x:v>669</x:v>
      </x:c>
      <x:c r="L59" s="8" t="s">
        <x:v>666</x:v>
      </x:c>
      <x:c r="M59" s="8" t="s">
        <x:v>670</x:v>
      </x:c>
      <x:c r="N59" s="8" t="s">
        <x:v>671</x:v>
      </x:c>
      <x:c r="O59" s="9" t="s">
        <x:v>494</x:v>
      </x:c>
      <x:c r="P59" s="9" t="s">
        <x:v>495</x:v>
      </x:c>
      <x:c r="Q59" s="9" t="s">
        <x:v>88</x:v>
      </x:c>
      <x:c r="R59" s="9" t="s">
        <x:v>505</x:v>
      </x:c>
      <x:c r="S59" s="9" t="s">
        <x:v>497</x:v>
      </x:c>
      <x:c r="T59" s="9" t="s">
        <x:v>642</x:v>
      </x:c>
      <x:c r="U59" s="9" t="s">
        <x:v>643</x:v>
      </x:c>
      <x:c r="V59" s="9" t="s">
        <x:v>644</x:v>
      </x:c>
      <x:c r="W59" s="9" t="s">
        <x:v>663</x:v>
      </x:c>
      <x:c r="X59" s="9" t="s">
        <x:v>672</x:v>
      </x:c>
      <x:c r="Y59" s="8"/>
      <x:c r="Z59" s="8"/>
      <x:c r="AA59" s="9" t="s">
        <x:v>414</x:v>
      </x:c>
      <x:c r="AB59" s="9" t="s">
        <x:v>74</x:v>
      </x:c>
      <x:c r="AC59" s="8"/>
      <x:c r="AD59" s="8"/>
    </x:row>
    <x:row r="60" ht="36" hidden="0" customHeight="1">
      <x:c r="A60" s="9" t="s">
        <x:v>673</x:v>
      </x:c>
      <x:c r="B60" s="9" t="s">
        <x:v>631</x:v>
      </x:c>
      <x:c r="C60" s="9" t="s">
        <x:v>632</x:v>
      </x:c>
      <x:c r="D60" s="9" t="s">
        <x:v>633</x:v>
      </x:c>
      <x:c r="E60" s="9" t="s">
        <x:v>634</x:v>
      </x:c>
      <x:c r="F60" s="9" t="s">
        <x:v>674</x:v>
      </x:c>
      <x:c r="G60" s="8" t="s">
        <x:v>675</x:v>
      </x:c>
      <x:c r="H60" s="8" t="s">
        <x:v>676</x:v>
      </x:c>
      <x:c r="I60" s="8" t="s">
        <x:v>637</x:v>
      </x:c>
      <x:c r="J60" s="8" t="s">
        <x:v>677</x:v>
      </x:c>
      <x:c r="K60" s="8" t="s">
        <x:v>678</x:v>
      </x:c>
      <x:c r="L60" s="8" t="s">
        <x:v>675</x:v>
      </x:c>
      <x:c r="M60" s="8" t="s">
        <x:v>679</x:v>
      </x:c>
      <x:c r="N60" s="9" t="s">
        <x:v>680</x:v>
      </x:c>
      <x:c r="O60" s="9" t="s">
        <x:v>494</x:v>
      </x:c>
      <x:c r="P60" s="9" t="s">
        <x:v>495</x:v>
      </x:c>
      <x:c r="Q60" s="9" t="s">
        <x:v>98</x:v>
      </x:c>
      <x:c r="R60" s="9" t="s">
        <x:v>516</x:v>
      </x:c>
      <x:c r="S60" s="9" t="s">
        <x:v>497</x:v>
      </x:c>
      <x:c r="T60" s="9" t="s">
        <x:v>642</x:v>
      </x:c>
      <x:c r="U60" s="9" t="s">
        <x:v>643</x:v>
      </x:c>
      <x:c r="V60" s="9" t="s">
        <x:v>644</x:v>
      </x:c>
      <x:c r="W60" s="9" t="s">
        <x:v>681</x:v>
      </x:c>
      <x:c r="X60" s="9" t="s">
        <x:v>682</x:v>
      </x:c>
      <x:c r="Y60" s="8"/>
      <x:c r="Z60" s="8"/>
      <x:c r="AA60" s="9" t="s">
        <x:v>414</x:v>
      </x:c>
      <x:c r="AB60" s="9" t="s">
        <x:v>74</x:v>
      </x:c>
      <x:c r="AC60" s="8"/>
      <x:c r="AD60" s="8"/>
    </x:row>
    <x:row r="61" ht="36" hidden="0" customHeight="1">
      <x:c r="A61" s="9" t="s">
        <x:v>683</x:v>
      </x:c>
      <x:c r="B61" s="9" t="s">
        <x:v>631</x:v>
      </x:c>
      <x:c r="C61" s="9" t="s">
        <x:v>632</x:v>
      </x:c>
      <x:c r="D61" s="9" t="s">
        <x:v>633</x:v>
      </x:c>
      <x:c r="E61" s="9" t="s">
        <x:v>634</x:v>
      </x:c>
      <x:c r="F61" s="9" t="s">
        <x:v>684</x:v>
      </x:c>
      <x:c r="G61" s="8" t="s">
        <x:v>685</x:v>
      </x:c>
      <x:c r="H61" s="8" t="s">
        <x:v>686</x:v>
      </x:c>
      <x:c r="I61" s="8" t="s">
        <x:v>637</x:v>
      </x:c>
      <x:c r="J61" s="8" t="s">
        <x:v>687</x:v>
      </x:c>
      <x:c r="K61" s="8" t="s">
        <x:v>688</x:v>
      </x:c>
      <x:c r="L61" s="8" t="s">
        <x:v>685</x:v>
      </x:c>
      <x:c r="M61" s="8" t="s">
        <x:v>689</x:v>
      </x:c>
      <x:c r="N61" s="9" t="s">
        <x:v>690</x:v>
      </x:c>
      <x:c r="O61" s="9" t="s">
        <x:v>494</x:v>
      </x:c>
      <x:c r="P61" s="9" t="s">
        <x:v>495</x:v>
      </x:c>
      <x:c r="Q61" s="9" t="s">
        <x:v>98</x:v>
      </x:c>
      <x:c r="R61" s="9" t="s">
        <x:v>516</x:v>
      </x:c>
      <x:c r="S61" s="9" t="s">
        <x:v>497</x:v>
      </x:c>
      <x:c r="T61" s="9" t="s">
        <x:v>642</x:v>
      </x:c>
      <x:c r="U61" s="9" t="s">
        <x:v>643</x:v>
      </x:c>
      <x:c r="V61" s="9" t="s">
        <x:v>644</x:v>
      </x:c>
      <x:c r="W61" s="9" t="s">
        <x:v>681</x:v>
      </x:c>
      <x:c r="X61" s="9" t="s">
        <x:v>691</x:v>
      </x:c>
      <x:c r="Y61" s="8"/>
      <x:c r="Z61" s="8"/>
      <x:c r="AA61" s="9" t="s">
        <x:v>414</x:v>
      </x:c>
      <x:c r="AB61" s="9" t="s">
        <x:v>74</x:v>
      </x:c>
      <x:c r="AC61" s="8"/>
      <x:c r="AD61" s="8"/>
    </x:row>
    <x:row r="62" ht="36" hidden="0" customHeight="1">
      <x:c r="A62" s="9" t="s">
        <x:v>692</x:v>
      </x:c>
      <x:c r="B62" s="9" t="s">
        <x:v>631</x:v>
      </x:c>
      <x:c r="C62" s="9" t="s">
        <x:v>632</x:v>
      </x:c>
      <x:c r="D62" s="9" t="s">
        <x:v>633</x:v>
      </x:c>
      <x:c r="E62" s="9" t="s">
        <x:v>634</x:v>
      </x:c>
      <x:c r="F62" s="9" t="s">
        <x:v>693</x:v>
      </x:c>
      <x:c r="G62" s="8" t="s">
        <x:v>694</x:v>
      </x:c>
      <x:c r="H62" s="8" t="s">
        <x:v>695</x:v>
      </x:c>
      <x:c r="I62" s="8" t="s">
        <x:v>637</x:v>
      </x:c>
      <x:c r="J62" s="8" t="s">
        <x:v>696</x:v>
      </x:c>
      <x:c r="K62" s="8" t="s">
        <x:v>697</x:v>
      </x:c>
      <x:c r="L62" s="8" t="s">
        <x:v>694</x:v>
      </x:c>
      <x:c r="M62" s="8" t="s">
        <x:v>698</x:v>
      </x:c>
      <x:c r="N62" s="9" t="s">
        <x:v>699</x:v>
      </x:c>
      <x:c r="O62" s="9" t="s">
        <x:v>494</x:v>
      </x:c>
      <x:c r="P62" s="9" t="s">
        <x:v>495</x:v>
      </x:c>
      <x:c r="Q62" s="9" t="s">
        <x:v>98</x:v>
      </x:c>
      <x:c r="R62" s="9" t="s">
        <x:v>516</x:v>
      </x:c>
      <x:c r="S62" s="9" t="s">
        <x:v>497</x:v>
      </x:c>
      <x:c r="T62" s="9" t="s">
        <x:v>642</x:v>
      </x:c>
      <x:c r="U62" s="9" t="s">
        <x:v>643</x:v>
      </x:c>
      <x:c r="V62" s="9" t="s">
        <x:v>644</x:v>
      </x:c>
      <x:c r="W62" s="9" t="s">
        <x:v>700</x:v>
      </x:c>
      <x:c r="X62" s="9" t="s">
        <x:v>701</x:v>
      </x:c>
      <x:c r="Y62" s="8"/>
      <x:c r="Z62" s="8"/>
      <x:c r="AA62" s="9" t="s">
        <x:v>414</x:v>
      </x:c>
      <x:c r="AB62" s="9" t="s">
        <x:v>74</x:v>
      </x:c>
      <x:c r="AC62" s="8"/>
      <x:c r="AD62" s="8"/>
    </x:row>
    <x:row r="63" ht="36" hidden="0" customHeight="1">
      <x:c r="A63" s="9" t="s">
        <x:v>702</x:v>
      </x:c>
      <x:c r="B63" s="9" t="s">
        <x:v>631</x:v>
      </x:c>
      <x:c r="C63" s="9" t="s">
        <x:v>632</x:v>
      </x:c>
      <x:c r="D63" s="9" t="s">
        <x:v>633</x:v>
      </x:c>
      <x:c r="E63" s="9" t="s">
        <x:v>634</x:v>
      </x:c>
      <x:c r="F63" s="9" t="s">
        <x:v>703</x:v>
      </x:c>
      <x:c r="G63" s="8" t="str">
        <x:v>对有效challenge使用错误签名/MAC或错误Key响应；同时读取soc_dbg_en_out并尝试实际Debug访问</x:v>
      </x:c>
      <x:c r="H63" s="8" t="s">
        <x:v>704</x:v>
      </x:c>
      <x:c r="I63" s="8" t="s">
        <x:v>637</x:v>
      </x:c>
      <x:c r="J63" s="8" t="str">
        <x:v>专用Debug测试环境与资源；初始Debug关闭；soc_dbg_en_out与实际Debug通道可观测</x:v>
      </x:c>
      <x:c r="K63" s="8" t="str">
        <x:v>确认soc_dbg_en_out关闭且实际Debug被拒绝；获取challenge并提交错误响应；保存原始结果；再次读取soc_dbg_en_out并尝试实际Debug访问；执行健康查询</x:v>
      </x:c>
      <x:c r="L63" s="8" t="str">
        <x:v>单点错误的challenge-response、soc_dbg_en_out前后快照、实际Debug访问结果</x:v>
      </x:c>
      <x:c r="M63" s="8" t="str">
        <x:v>认证失败；soc_dbg_en_out保持关闭；实际Debug仍被拒绝；无权限提升；后续健康命令可执行</x:v>
      </x:c>
      <x:c r="N63" s="8" t="str">
        <x:v>请求真实到达eHSM且原始认证失败，同时soc_dbg_en_out和实际Debug均未开启</x:v>
      </x:c>
      <x:c r="O63" s="9" t="s">
        <x:v>494</x:v>
      </x:c>
      <x:c r="P63" s="9" t="s">
        <x:v>495</x:v>
      </x:c>
      <x:c r="Q63" s="9" t="s">
        <x:v>88</x:v>
      </x:c>
      <x:c r="R63" s="9" t="s">
        <x:v>534</x:v>
      </x:c>
      <x:c r="S63" s="9" t="s">
        <x:v>497</x:v>
      </x:c>
      <x:c r="T63" s="9" t="s">
        <x:v>642</x:v>
      </x:c>
      <x:c r="U63" s="9" t="s">
        <x:v>643</x:v>
      </x:c>
      <x:c r="V63" s="9" t="s">
        <x:v>644</x:v>
      </x:c>
      <x:c r="W63" s="9" t="str">
        <x:v>NEEDS_DEBUG_AUTH_FIXTURE_AND_SOC_DBG_EN_OUT_BINDING</x:v>
      </x:c>
      <x:c r="X63" s="9" t="s">
        <x:v>705</x:v>
      </x:c>
      <x:c r="Y63" s="8"/>
      <x:c r="Z63" s="8"/>
      <x:c r="AA63" s="9" t="s">
        <x:v>414</x:v>
      </x:c>
      <x:c r="AB63" s="9" t="s">
        <x:v>74</x:v>
      </x:c>
      <x:c r="AC63" s="8"/>
      <x:c r="AD63" s="8"/>
    </x:row>
    <x:row r="64" ht="36" hidden="0" customHeight="1">
      <x:c r="A64" s="9" t="s">
        <x:v>706</x:v>
      </x:c>
      <x:c r="B64" s="9" t="s">
        <x:v>631</x:v>
      </x:c>
      <x:c r="C64" s="9" t="s">
        <x:v>632</x:v>
      </x:c>
      <x:c r="D64" s="9" t="s">
        <x:v>633</x:v>
      </x:c>
      <x:c r="E64" s="9" t="s">
        <x:v>634</x:v>
      </x:c>
      <x:c r="F64" s="9" t="s">
        <x:v>707</x:v>
      </x:c>
      <x:c r="G64" s="8" t="str">
        <x:v>有效challenge配错误签名/MAC或错误Key响应；同时读取soc_dbg_en_out并尝试实际Debug访问</x:v>
      </x:c>
      <x:c r="H64" s="8" t="s">
        <x:v>708</x:v>
      </x:c>
      <x:c r="I64" s="8" t="s">
        <x:v>637</x:v>
      </x:c>
      <x:c r="J64" s="8" t="str">
        <x:v>专用认证测试环境与资源；认证前Debug关闭；soc_dbg_en_out与实际Debug通道可观测</x:v>
      </x:c>
      <x:c r="K64" s="8" t="str">
        <x:v>确认soc_dbg_en_out关闭且实际Debug被拒绝；获取challenge并提交错误响应；读取原始结果；再次读取soc_dbg_en_out并尝试实际Debug访问；执行健康查询</x:v>
      </x:c>
      <x:c r="L64" s="8" t="str">
        <x:v>单点错误的challenge-response、soc_dbg_en_out前后快照、实际Debug访问结果</x:v>
      </x:c>
      <x:c r="M64" s="9" t="str">
        <x:v>AUTH失败；soc_dbg_en_out保持关闭；实际Debug仍被拒绝；受保护能力不开放；健康命令可执行</x:v>
      </x:c>
      <x:c r="N64" s="8" t="str">
        <x:v>请求真实到达eHSM且原始认证失败，同时soc_dbg_en_out和实际Debug均未开启</x:v>
      </x:c>
      <x:c r="O64" s="9" t="s">
        <x:v>494</x:v>
      </x:c>
      <x:c r="P64" s="9" t="s">
        <x:v>495</x:v>
      </x:c>
      <x:c r="Q64" s="9" t="s">
        <x:v>88</x:v>
      </x:c>
      <x:c r="R64" s="9" t="s">
        <x:v>534</x:v>
      </x:c>
      <x:c r="S64" s="9" t="s">
        <x:v>497</x:v>
      </x:c>
      <x:c r="T64" s="9" t="s">
        <x:v>642</x:v>
      </x:c>
      <x:c r="U64" s="9" t="s">
        <x:v>643</x:v>
      </x:c>
      <x:c r="V64" s="9" t="s">
        <x:v>644</x:v>
      </x:c>
      <x:c r="W64" s="9" t="str">
        <x:v>NEEDS_AUTH_PROFILE_AND_SOC_DBG_EN_OUT_BINDING</x:v>
      </x:c>
      <x:c r="X64" s="9" t="s">
        <x:v>709</x:v>
      </x:c>
      <x:c r="Y64" s="8"/>
      <x:c r="Z64" s="8"/>
      <x:c r="AA64" s="9" t="s">
        <x:v>414</x:v>
      </x:c>
      <x:c r="AB64" s="9" t="s">
        <x:v>74</x:v>
      </x:c>
      <x:c r="AC64" s="8"/>
      <x:c r="AD64" s="8"/>
    </x:row>
    <x:row r="65" ht="36" hidden="0" customHeight="1">
      <x:c r="A65" s="9" t="s">
        <x:v>710</x:v>
      </x:c>
      <x:c r="B65" s="9" t="s">
        <x:v>631</x:v>
      </x:c>
      <x:c r="C65" s="9" t="s">
        <x:v>632</x:v>
      </x:c>
      <x:c r="D65" s="9" t="s">
        <x:v>633</x:v>
      </x:c>
      <x:c r="E65" s="9" t="s">
        <x:v>634</x:v>
      </x:c>
      <x:c r="F65" s="9" t="s">
        <x:v>711</x:v>
      </x:c>
      <x:c r="G65" s="8" t="s">
        <x:v>712</x:v>
      </x:c>
      <x:c r="H65" s="8" t="s">
        <x:v>713</x:v>
      </x:c>
      <x:c r="I65" s="8" t="s">
        <x:v>637</x:v>
      </x:c>
      <x:c r="J65" s="8" t="s">
        <x:v>714</x:v>
      </x:c>
      <x:c r="K65" s="8" t="s">
        <x:v>715</x:v>
      </x:c>
      <x:c r="L65" s="8" t="s">
        <x:v>712</x:v>
      </x:c>
      <x:c r="M65" s="8" t="s">
        <x:v>716</x:v>
      </x:c>
      <x:c r="N65" s="8" t="s">
        <x:v>717</x:v>
      </x:c>
      <x:c r="O65" s="9" t="s">
        <x:v>494</x:v>
      </x:c>
      <x:c r="P65" s="9" t="s">
        <x:v>495</x:v>
      </x:c>
      <x:c r="Q65" s="9" t="s">
        <x:v>88</x:v>
      </x:c>
      <x:c r="R65" s="9" t="s">
        <x:v>534</x:v>
      </x:c>
      <x:c r="S65" s="9" t="s">
        <x:v>497</x:v>
      </x:c>
      <x:c r="T65" s="9" t="s">
        <x:v>642</x:v>
      </x:c>
      <x:c r="U65" s="9" t="s">
        <x:v>643</x:v>
      </x:c>
      <x:c r="V65" s="9" t="s">
        <x:v>644</x:v>
      </x:c>
      <x:c r="W65" s="9" t="s">
        <x:v>718</x:v>
      </x:c>
      <x:c r="X65" s="9" t="s">
        <x:v>719</x:v>
      </x:c>
      <x:c r="Y65" s="8"/>
      <x:c r="Z65" s="8"/>
      <x:c r="AA65" s="9" t="s">
        <x:v>414</x:v>
      </x:c>
      <x:c r="AB65" s="9" t="s">
        <x:v>74</x:v>
      </x:c>
      <x:c r="AC65" s="8"/>
      <x:c r="AD65" s="8"/>
    </x:row>
    <x:row r="66" ht="36" hidden="0" customHeight="1">
      <x:c r="A66" s="9" t="s">
        <x:v>720</x:v>
      </x:c>
      <x:c r="B66" s="9" t="s">
        <x:v>631</x:v>
      </x:c>
      <x:c r="C66" s="9" t="s">
        <x:v>632</x:v>
      </x:c>
      <x:c r="D66" s="9" t="s">
        <x:v>633</x:v>
      </x:c>
      <x:c r="E66" s="9" t="s">
        <x:v>634</x:v>
      </x:c>
      <x:c r="F66" s="9" t="s">
        <x:v>721</x:v>
      </x:c>
      <x:c r="G66" s="8" t="s">
        <x:v>722</x:v>
      </x:c>
      <x:c r="H66" s="8" t="s">
        <x:v>723</x:v>
      </x:c>
      <x:c r="I66" s="8" t="s">
        <x:v>637</x:v>
      </x:c>
      <x:c r="J66" s="8" t="s">
        <x:v>724</x:v>
      </x:c>
      <x:c r="K66" s="8" t="s">
        <x:v>725</x:v>
      </x:c>
      <x:c r="L66" s="8" t="s">
        <x:v>722</x:v>
      </x:c>
      <x:c r="M66" s="8" t="s">
        <x:v>726</x:v>
      </x:c>
      <x:c r="N66" s="8" t="s">
        <x:v>727</x:v>
      </x:c>
      <x:c r="O66" s="9" t="s">
        <x:v>494</x:v>
      </x:c>
      <x:c r="P66" s="9" t="s">
        <x:v>495</x:v>
      </x:c>
      <x:c r="Q66" s="9" t="s">
        <x:v>88</x:v>
      </x:c>
      <x:c r="R66" s="9" t="s">
        <x:v>534</x:v>
      </x:c>
      <x:c r="S66" s="9" t="s">
        <x:v>497</x:v>
      </x:c>
      <x:c r="T66" s="9" t="s">
        <x:v>642</x:v>
      </x:c>
      <x:c r="U66" s="9" t="s">
        <x:v>643</x:v>
      </x:c>
      <x:c r="V66" s="9" t="s">
        <x:v>644</x:v>
      </x:c>
      <x:c r="W66" s="9" t="s">
        <x:v>728</x:v>
      </x:c>
      <x:c r="X66" s="9" t="s">
        <x:v>719</x:v>
      </x:c>
      <x:c r="Y66" s="8"/>
      <x:c r="Z66" s="8"/>
      <x:c r="AA66" s="9" t="s">
        <x:v>414</x:v>
      </x:c>
      <x:c r="AB66" s="9" t="s">
        <x:v>74</x:v>
      </x:c>
      <x:c r="AC66" s="8"/>
      <x:c r="AD66" s="8"/>
    </x:row>
    <x:row r="67" ht="36" hidden="0" customHeight="1">
      <x:c r="A67" s="9" t="s">
        <x:v>729</x:v>
      </x:c>
      <x:c r="B67" s="9" t="s">
        <x:v>631</x:v>
      </x:c>
      <x:c r="C67" s="9" t="s">
        <x:v>632</x:v>
      </x:c>
      <x:c r="D67" s="9" t="s">
        <x:v>633</x:v>
      </x:c>
      <x:c r="E67" s="9" t="s">
        <x:v>634</x:v>
      </x:c>
      <x:c r="F67" s="9" t="s">
        <x:v>730</x:v>
      </x:c>
      <x:c r="G67" s="8" t="s">
        <x:v>731</x:v>
      </x:c>
      <x:c r="H67" s="8" t="s">
        <x:v>732</x:v>
      </x:c>
      <x:c r="I67" s="8" t="s">
        <x:v>637</x:v>
      </x:c>
      <x:c r="J67" s="9" t="s">
        <x:v>733</x:v>
      </x:c>
      <x:c r="K67" s="8" t="s">
        <x:v>734</x:v>
      </x:c>
      <x:c r="L67" s="8" t="s">
        <x:v>731</x:v>
      </x:c>
      <x:c r="M67" s="8" t="s">
        <x:v>735</x:v>
      </x:c>
      <x:c r="N67" s="9" t="s">
        <x:v>736</x:v>
      </x:c>
      <x:c r="O67" s="9" t="s">
        <x:v>494</x:v>
      </x:c>
      <x:c r="P67" s="9" t="s">
        <x:v>495</x:v>
      </x:c>
      <x:c r="Q67" s="9" t="s">
        <x:v>88</x:v>
      </x:c>
      <x:c r="R67" s="9" t="s">
        <x:v>534</x:v>
      </x:c>
      <x:c r="S67" s="9" t="s">
        <x:v>497</x:v>
      </x:c>
      <x:c r="T67" s="9" t="s">
        <x:v>642</x:v>
      </x:c>
      <x:c r="U67" s="9" t="s">
        <x:v>643</x:v>
      </x:c>
      <x:c r="V67" s="9" t="s">
        <x:v>644</x:v>
      </x:c>
      <x:c r="W67" s="9" t="s">
        <x:v>737</x:v>
      </x:c>
      <x:c r="X67" s="9" t="s">
        <x:v>738</x:v>
      </x:c>
      <x:c r="Y67" s="8"/>
      <x:c r="Z67" s="8"/>
      <x:c r="AA67" s="9" t="s">
        <x:v>414</x:v>
      </x:c>
      <x:c r="AB67" s="9" t="s">
        <x:v>74</x:v>
      </x:c>
      <x:c r="AC67" s="8"/>
      <x:c r="AD67" s="8"/>
    </x:row>
    <x:row r="68" ht="36" hidden="0" customHeight="1">
      <x:c r="A68" s="9" t="s">
        <x:v>739</x:v>
      </x:c>
      <x:c r="B68" s="9" t="s">
        <x:v>631</x:v>
      </x:c>
      <x:c r="C68" s="9" t="s">
        <x:v>632</x:v>
      </x:c>
      <x:c r="D68" s="9" t="s">
        <x:v>633</x:v>
      </x:c>
      <x:c r="E68" s="9" t="s">
        <x:v>634</x:v>
      </x:c>
      <x:c r="F68" s="9" t="s">
        <x:v>740</x:v>
      </x:c>
      <x:c r="G68" s="8" t="s">
        <x:v>741</x:v>
      </x:c>
      <x:c r="H68" s="8" t="s">
        <x:v>742</x:v>
      </x:c>
      <x:c r="I68" s="8" t="s">
        <x:v>637</x:v>
      </x:c>
      <x:c r="J68" s="8" t="s">
        <x:v>743</x:v>
      </x:c>
      <x:c r="K68" s="8" t="s">
        <x:v>744</x:v>
      </x:c>
      <x:c r="L68" s="8" t="s">
        <x:v>741</x:v>
      </x:c>
      <x:c r="M68" s="8" t="s">
        <x:v>745</x:v>
      </x:c>
      <x:c r="N68" s="8" t="s">
        <x:v>746</x:v>
      </x:c>
      <x:c r="O68" s="9" t="s">
        <x:v>494</x:v>
      </x:c>
      <x:c r="P68" s="9" t="s">
        <x:v>495</x:v>
      </x:c>
      <x:c r="Q68" s="9" t="s">
        <x:v>88</x:v>
      </x:c>
      <x:c r="R68" s="9" t="s">
        <x:v>534</x:v>
      </x:c>
      <x:c r="S68" s="9" t="s">
        <x:v>497</x:v>
      </x:c>
      <x:c r="T68" s="9" t="s">
        <x:v>642</x:v>
      </x:c>
      <x:c r="U68" s="9" t="s">
        <x:v>643</x:v>
      </x:c>
      <x:c r="V68" s="9" t="s">
        <x:v>644</x:v>
      </x:c>
      <x:c r="W68" s="9" t="s">
        <x:v>747</x:v>
      </x:c>
      <x:c r="X68" s="9" t="s">
        <x:v>748</x:v>
      </x:c>
      <x:c r="Y68" s="8"/>
      <x:c r="Z68" s="8"/>
      <x:c r="AA68" s="9" t="s">
        <x:v>414</x:v>
      </x:c>
      <x:c r="AB68" s="9" t="s">
        <x:v>74</x:v>
      </x:c>
      <x:c r="AC68" s="8"/>
      <x:c r="AD68" s="8"/>
    </x:row>
    <x:row r="69" ht="36" hidden="0" customHeight="1">
      <x:c r="A69" s="9" t="s">
        <x:v>749</x:v>
      </x:c>
      <x:c r="B69" s="9" t="s">
        <x:v>631</x:v>
      </x:c>
      <x:c r="C69" s="9" t="s">
        <x:v>632</x:v>
      </x:c>
      <x:c r="D69" s="9" t="s">
        <x:v>633</x:v>
      </x:c>
      <x:c r="E69" s="9" t="s">
        <x:v>634</x:v>
      </x:c>
      <x:c r="F69" s="8" t="s">
        <x:v>750</x:v>
      </x:c>
      <x:c r="G69" s="8" t="s">
        <x:v>751</x:v>
      </x:c>
      <x:c r="H69" s="8" t="s">
        <x:v>752</x:v>
      </x:c>
      <x:c r="I69" s="8" t="s">
        <x:v>637</x:v>
      </x:c>
      <x:c r="J69" s="8" t="s">
        <x:v>753</x:v>
      </x:c>
      <x:c r="K69" s="8" t="s">
        <x:v>754</x:v>
      </x:c>
      <x:c r="L69" s="8" t="s">
        <x:v>751</x:v>
      </x:c>
      <x:c r="M69" s="9" t="s">
        <x:v>755</x:v>
      </x:c>
      <x:c r="N69" s="9" t="s">
        <x:v>756</x:v>
      </x:c>
      <x:c r="O69" s="9" t="s">
        <x:v>494</x:v>
      </x:c>
      <x:c r="P69" s="9" t="s">
        <x:v>495</x:v>
      </x:c>
      <x:c r="Q69" s="9" t="s">
        <x:v>88</x:v>
      </x:c>
      <x:c r="R69" s="9" t="s">
        <x:v>516</x:v>
      </x:c>
      <x:c r="S69" s="9" t="s">
        <x:v>497</x:v>
      </x:c>
      <x:c r="T69" s="9" t="s">
        <x:v>642</x:v>
      </x:c>
      <x:c r="U69" s="9" t="s">
        <x:v>643</x:v>
      </x:c>
      <x:c r="V69" s="9" t="s">
        <x:v>644</x:v>
      </x:c>
      <x:c r="W69" s="9" t="s">
        <x:v>757</x:v>
      </x:c>
      <x:c r="X69" s="9" t="s">
        <x:v>758</x:v>
      </x:c>
      <x:c r="Y69" s="8"/>
      <x:c r="Z69" s="8"/>
      <x:c r="AA69" s="9" t="s">
        <x:v>414</x:v>
      </x:c>
      <x:c r="AB69" s="9" t="s">
        <x:v>74</x:v>
      </x:c>
      <x:c r="AC69" s="8"/>
      <x:c r="AD69" s="8"/>
    </x:row>
  </x:sheetData>
  <x:mergeCells>
    <x:mergeCell ref="A1:AD1"/>
  </x:mergeCells>
  <x:conditionalFormatting sqref="B4:W69">
    <x:cfRule type="containsText" dxfId="12" priority="2" aboveAverage="0" percent="0" bottom="0" operator="containsText" text="BLOCK" rank="0" equalAverage="0">
      <x:formula>NOT(ISERROR(SEARCH("BLOCK",B4)))</x:formula>
    </x:cfRule>
    <x:cfRule type="containsText" dxfId="13" priority="3" aboveAverage="0" percent="0" bottom="0" operator="containsText" text="NEEDS" rank="0" equalAverage="0">
      <x:formula>NOT(ISERROR(SEARCH("NEEDS",B4)))</x:formula>
    </x:cfRule>
    <x:cfRule type="containsText" dxfId="14" priority="4" aboveAverage="0" percent="0" bottom="0" operator="containsText" text="READY" rank="0" equalAverage="0">
      <x:formula>NOT(ISERROR(SEARCH("READY",B4)))</x:formula>
    </x:cfRule>
    <x:cfRule type="containsText" dxfId="15" priority="5" aboveAverage="0" percent="0" bottom="0" operator="containsText" text="COMPLETED" rank="0" equalAverage="0">
      <x:formula>NOT(ISERROR(SEARCH("COMPLETED",B4)))</x:formula>
    </x:cfRule>
    <x:cfRule type="containsText" dxfId="16" priority="6" aboveAverage="0" percent="0" bottom="0" operator="containsText" text="SUPERSEDED" rank="0" equalAverage="0">
      <x:formula>NOT(ISERROR(SEARCH("SUPERSEDED",B4)))</x:formula>
    </x:cfRule>
    <x:cfRule type="containsText" dxfId="17" priority="7" aboveAverage="0" percent="0" bottom="0" operator="containsText" text="N/A" rank="0" equalAverage="0">
      <x:formula>NOT(ISERROR(SEARCH("N/A",B4)))</x:formula>
    </x:cfRule>
  </x:conditionalFormatting>
  <x:dataValidations count="2">
    <x:dataValidation type="list" operator="between" allowBlank="0" showDropDown="0" showInputMessage="0" showErrorMessage="0" sqref="T4:T69">
      <x:formula1>"待移植,手工执行,自动执行"</x:formula1>
      <x:formula2>0</x:formula2>
    </x:dataValidation>
    <x:dataValidation type="list" operator="between" allowBlank="0" showDropDown="0" showInputMessage="0" showErrorMessage="0" sqref="U4:U69">
      <x:formula1>"已规划,已就绪,阻塞,已实现,已执行"</x:formula1>
      <x:formula2>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9546035badb74c01"/>
  </x:tableParts>
</x:worksheet>
</file>

<file path=xl/worksheets/sheet5.xml><?xml version="1.0" encoding="utf-8"?>
<x:worksheet xmlns:x="http://schemas.openxmlformats.org/spreadsheetml/2006/main">
  <x:sheetViews>
    <x:sheetView showGridLines="1" workbookViewId="0"/>
  </x:sheetViews>
  <x:sheetFormatPr defaultColWidth="10.76953125" defaultRowHeight="15"/>
  <x:cols>
    <x:col min="1" max="2" width="30.239999771118164" hidden="0" customWidth="1"/>
    <x:col min="3" max="3" width="40.33000183105469" hidden="0" customWidth="1"/>
    <x:col min="4" max="8" width="42.849998474121094" hidden="0" customWidth="1"/>
    <x:col min="9" max="9" width="15.119999885559082" hidden="0" customWidth="1"/>
    <x:col min="10" max="11" width="30.239999771118164" hidden="0" customWidth="1"/>
    <x:col min="12" max="14" width="20.170000076293945" hidden="0" customWidth="1"/>
    <x:col min="15" max="16" width="35.290000915527344" hidden="0" customWidth="1"/>
  </x:cols>
  <x:sheetData>
    <x:row r="1" ht="19.200000762939453" hidden="0" customHeight="1">
      <x:c r="A1" s="1" t="str">
        <x:v>SoC安全方案相关软件/协同测试用例（7条）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/>
    <x:row r="3" ht="15" hidden="0" customHeight="1">
      <x:c r="A3" s="2" t="s">
        <x:v>467</x:v>
      </x:c>
      <x:c r="B3" s="11" t="s">
        <x:v>759</x:v>
      </x:c>
      <x:c r="C3" s="11" t="s">
        <x:v>760</x:v>
      </x:c>
      <x:c r="D3" s="11" t="s">
        <x:v>472</x:v>
      </x:c>
      <x:c r="E3" s="11" t="s">
        <x:v>474</x:v>
      </x:c>
      <x:c r="F3" s="11" t="s">
        <x:v>475</x:v>
      </x:c>
      <x:c r="G3" s="11" t="s">
        <x:v>476</x:v>
      </x:c>
      <x:c r="H3" s="11" t="s">
        <x:v>477</x:v>
      </x:c>
      <x:c r="I3" s="11" t="s">
        <x:v>479</x:v>
      </x:c>
      <x:c r="J3" s="11" t="s">
        <x:v>480</x:v>
      </x:c>
      <x:c r="K3" s="11" t="s">
        <x:v>481</x:v>
      </x:c>
      <x:c r="L3" s="11" t="s">
        <x:v>482</x:v>
      </x:c>
      <x:c r="M3" s="11" t="s">
        <x:v>761</x:v>
      </x:c>
      <x:c r="N3" s="11" t="s">
        <x:v>762</x:v>
      </x:c>
      <x:c r="O3" s="11" t="s">
        <x:v>484</x:v>
      </x:c>
      <x:c r="P3" s="3" t="s">
        <x:v>46</x:v>
      </x:c>
    </x:row>
    <x:row r="4" ht="48" hidden="0" customHeight="1">
      <x:c r="A4" s="7" t="str">
        <x:v>SOC-SECCFG-001</x:v>
      </x:c>
      <x:c r="B4" s="7" t="str">
        <x:v>SEC_CFG</x:v>
      </x:c>
      <x:c r="C4" s="7" t="str">
        <x:v>SEC_CFG全部寄存器查询与值比较</x:v>
      </x:c>
      <x:c r="D4" s="5" t="str">
        <x:v>通过一次软件用例遍历SEC_CFG全部17个32-bit寄存器，保存原始快照并按当前启动阶段/LCS/测试资源期望表逐项比较；不按寄存器拆用例或参数。</x:v>
      </x:c>
      <x:c r="E4" s="5" t="str">
        <x:v>SEC_CFG地址、17个offset、读取属性和当前场景期望表已冻结；OPEN-CONFLICT-015未关闭时结果为INCONCLUSIVE。</x:v>
      </x:c>
      <x:c r="F4" s="5" t="str">
        <x:v>进入稳定场景；从0x000到0x040顺序读取全部17个寄存器；拼接status/err/UID/soc_dbg_en_out；保存原始值；与场景期望表逐项比较；必要时重复读取检查稳定性。</x:v>
      </x:c>
      <x:c r="G4" s="7" t="str">
        <x:v>默认查询全部17个寄存器，无寄存器选择参数；测试场景只决定期望表。</x:v>
      </x:c>
      <x:c r="H4" s="5" t="str">
        <x:v>17个访问全部成功；每个原始值及拼接值符合场景期望；无总线错误或不可解释变化；未冻结字段不得猜测PASS。</x:v>
      </x:c>
      <x:c r="I4" s="7" t="str">
        <x:v>P0</x:v>
      </x:c>
      <x:c r="J4" s="7" t="str">
        <x:v>L3_EMU_INTEGRATION</x:v>
      </x:c>
      <x:c r="K4" s="7" t="str">
        <x:v>WAVE0_DAY0_SMOKE</x:v>
      </x:c>
      <x:c r="L4" s="7" t="str">
        <x:v>GSP</x:v>
      </x:c>
      <x:c r="M4" s="5" t="str">
        <x:v>待移植</x:v>
      </x:c>
      <x:c r="N4" s="7" t="str">
        <x:v>PLANNED</x:v>
      </x:c>
      <x:c r="O4" s="7" t="str">
        <x:v>NEEDS_SECCFG_ADDRESS_AND_EXPECTED_SNAPSHOT</x:v>
      </x:c>
      <x:c r="P4" s="7" t="str">
        <x:v>SRC-0026；SRC-0027；OPEN-CONFLICT-015</x:v>
      </x:c>
    </x:row>
    <x:row r="5" ht="48" hidden="0" customHeight="1">
      <x:c r="A5" s="9" t="str">
        <x:v>SOC-SECCFG-DBG-001</x:v>
      </x:c>
      <x:c r="B5" s="9" t="str">
        <x:v>SEC_CFG_DEBUG</x:v>
      </x:c>
      <x:c r="C5" s="9" t="str">
        <x:v>dbg_en_cfg从Die Debug开关功能</x:v>
      </x:c>
      <x:c r="D5" s="8" t="str">
        <x:v>验证dbg_en_cfg默认关闭、主Die可正常写入和回读，并通过Debug模块证明从Die Debug通道在打开前关闭、打开后联通、恢复关闭后再次断开。</x:v>
      </x:c>
      <x:c r="E5" s="9" t="str">
        <x:v>主Die写路径、从Die Debug通道、Debug模块探测方法和可恢复测试环境已冻结；本用例不使用soc_dbg_en_out作为判据。</x:v>
      </x:c>
      <x:c r="F5" s="8" t="str">
        <x:v>读取dbg_en_cfg确认默认0；尝试从Die Debug访问并确认拒绝；主Die写打开值并回读；再次访问确认联通；写回关闭值并回读；再次确认访问拒绝。</x:v>
      </x:c>
      <x:c r="G5" s="8" t="str">
        <x:v>dbg_en_cfg关闭/打开/恢复关闭三个阶段；实际Debug访问事务。</x:v>
      </x:c>
      <x:c r="H5" s="8" t="str">
        <x:v>默认值关闭；主Die写入和回读一致；实际从Die Debug通道严格随dbg_en_cfg关闭→开放→关闭；仅寄存器回读正确但实际通道不同步即FAIL。</x:v>
      </x:c>
      <x:c r="I5" s="9" t="str">
        <x:v>P0</x:v>
      </x:c>
      <x:c r="J5" s="9" t="str">
        <x:v>L3_EMU_EDA_CO_TEST</x:v>
      </x:c>
      <x:c r="K5" s="9" t="str">
        <x:v>WAVE3_MULTIDIE_FIREWALL_FAULT</x:v>
      </x:c>
      <x:c r="L5" s="9" t="str">
        <x:v>GSP/Debug/RTL-DV</x:v>
      </x:c>
      <x:c r="M5" s="8" t="str">
        <x:v>半自动</x:v>
      </x:c>
      <x:c r="N5" s="9" t="str">
        <x:v>PLANNED</x:v>
      </x:c>
      <x:c r="O5" s="9" t="str">
        <x:v>NEEDS_DEBUG_MODULE_AND_DIE_PATH_BINDING</x:v>
      </x:c>
      <x:c r="P5" s="9" t="str">
        <x:v>SRC-0026；SRC-0027；OPEN-CONFLICT-015</x:v>
      </x:c>
    </x:row>
    <x:row r="6" ht="48" hidden="0" customHeight="1">
      <x:c r="A6" s="9" t="str">
        <x:v>SOC-FW-SECCFG-001</x:v>
      </x:c>
      <x:c r="B6" s="9" t="str">
        <x:v>FIREWALL</x:v>
      </x:c>
      <x:c r="C6" s="9" t="str">
        <x:v>SEC_CFG Firewall默认权限</x:v>
      </x:c>
      <x:c r="D6" s="8" t="str">
        <x:v>验证不修改Firewall配置时，默认仅启动核和eHSM可以对SEC_CFG执行批准的读写访问，其他所有核均无读写权限。</x:v>
      </x:c>
      <x:c r="E6" s="8" t="str">
        <x:v>SEC_CFG Firewall默认authority、启动核/eHSM/其他核Master ID和可恢复读写目标已冻结；本用例禁止修改该Firewall配置。</x:v>
      </x:c>
      <x:c r="F6" s="9" t="str">
        <x:v>保持默认配置；启动核执行批准读写并确认；通过现有eHSM路径执行等价访问；其余核逐一执行读写；检查响应、读数据和写后状态；恢复测试寄存器。</x:v>
      </x:c>
      <x:c r="G6" s="8" t="str">
        <x:v>启动核、eHSM、所有其他核发起方矩阵；Firewall配置保持默认。</x:v>
      </x:c>
      <x:c r="H6" s="9" t="str">
        <x:v>启动核和eHSM访问成功；其他核读不获得受保护真值、写不产生副作用；Firewall配置始终未改变。没有eHSM公开路径时其子项转EDA-FW补充而非伪造软件PASS。</x:v>
      </x:c>
      <x:c r="I6" s="9" t="str">
        <x:v>P0</x:v>
      </x:c>
      <x:c r="J6" s="9" t="str">
        <x:v>L3_EMU_INTEGRATION</x:v>
      </x:c>
      <x:c r="K6" s="9" t="str">
        <x:v>WAVE3_MULTIDIE_FIREWALL_FAULT</x:v>
      </x:c>
      <x:c r="L6" s="9" t="str">
        <x:v>GSP</x:v>
      </x:c>
      <x:c r="M6" s="8" t="str">
        <x:v>待移植</x:v>
      </x:c>
      <x:c r="N6" s="9" t="str">
        <x:v>PLANNED</x:v>
      </x:c>
      <x:c r="O6" s="9" t="str">
        <x:v>NEEDS_SECCFG_FIREWALL_DEFAULT_MATRIX</x:v>
      </x:c>
      <x:c r="P6" s="8" t="str">
        <x:v>SRC-0025；SRC-0027；OPEN-CONFLICT-014/015</x:v>
      </x:c>
    </x:row>
    <x:row r="7" ht="48" hidden="0" customHeight="1">
      <x:c r="A7" s="9" t="str">
        <x:v>SOC-FW-SPIFC-001</x:v>
      </x:c>
      <x:c r="B7" s="9" t="str">
        <x:v>FIREWALL</x:v>
      </x:c>
      <x:c r="C7" s="9" t="str">
        <x:v>SPIFC Firewall默认权限</x:v>
      </x:c>
      <x:c r="D7" s="8" t="str">
        <x:v>验证不修改Firewall配置时，默认仅启动核和eHSM可以对SPIFC执行批准的读写访问，其他所有核均无读写权限。</x:v>
      </x:c>
      <x:c r="E7" s="8" t="str">
        <x:v>SPIFC Firewall默认authority、启动核/eHSM/其他核Master ID和无破坏测试目标已冻结；本用例禁止修改该Firewall配置。</x:v>
      </x:c>
      <x:c r="F7" s="9" t="str">
        <x:v>保持默认配置；启动核执行批准读写；通过现有eHSM路径执行等价访问；其余核逐一执行读写；检查响应、返回数据和持久内容/控制状态无未授权变化。</x:v>
      </x:c>
      <x:c r="G7" s="8" t="str">
        <x:v>启动核、eHSM、所有其他核发起方矩阵；Firewall配置保持默认。</x:v>
      </x:c>
      <x:c r="H7" s="8" t="str">
        <x:v>启动核和eHSM批准访问成功；其他核读不获得受保护真值、写不产生副作用；Firewall配置始终未改变。没有eHSM公开路径时其子项由EDA补齐。</x:v>
      </x:c>
      <x:c r="I7" s="9" t="str">
        <x:v>P0</x:v>
      </x:c>
      <x:c r="J7" s="9" t="str">
        <x:v>L3_EMU_INTEGRATION</x:v>
      </x:c>
      <x:c r="K7" s="9" t="str">
        <x:v>WAVE3_MULTIDIE_FIREWALL_FAULT</x:v>
      </x:c>
      <x:c r="L7" s="9" t="str">
        <x:v>GSP</x:v>
      </x:c>
      <x:c r="M7" s="8" t="str">
        <x:v>待移植</x:v>
      </x:c>
      <x:c r="N7" s="9" t="str">
        <x:v>PLANNED</x:v>
      </x:c>
      <x:c r="O7" s="9" t="str">
        <x:v>NEEDS_SPIFC_FIREWALL_DEFAULT_MATRIX</x:v>
      </x:c>
      <x:c r="P7" s="9" t="str">
        <x:v>SRC-0025；SRC-0027；OPEN-CONFLICT-014</x:v>
      </x:c>
    </x:row>
    <x:row r="8" ht="48" hidden="0" customHeight="1">
      <x:c r="A8" s="9" t="str">
        <x:v>SOC-FW-SRAM-001</x:v>
      </x:c>
      <x:c r="B8" s="9" t="str">
        <x:v>FIREWALL</x:v>
      </x:c>
      <x:c r="C8" s="9" t="str">
        <x:v>SRAM Firewall五Region默认权限</x:v>
      </x:c>
      <x:c r="D8" s="8" t="str">
        <x:v>在同一用例内遍历Region0～Region4，逐Region验证默认仅启动核和eHSM可读写，其他所有核均无读写权限；五个Region不拆成独立Case。</x:v>
      </x:c>
      <x:c r="E8" s="8" t="str">
        <x:v>5个Region默认范围/authority、Master ID和可恢复测试地址已冻结；每个Region有目标数据和相邻保护哨兵。</x:v>
      </x:c>
      <x:c r="F8" s="8" t="str">
        <x:v>对Region0～4循环：记录默认配置；启动核写读比对；通过现有eHSM路径写读比对；其他核逐一读写；检查目标与相邻哨兵；恢复数据后进入下一个Region。</x:v>
      </x:c>
      <x:c r="G8" s="8" t="str">
        <x:v>固定遍历5个Region；每个Region使用启动核、eHSM和所有其他核发起方矩阵。</x:v>
      </x:c>
      <x:c r="H8" s="8" t="str">
        <x:v>每个Region均满足启动核/eHSM可读写、其他核读不到受保护真值且写无副作用；相邻Region和哨兵不变；五组记录齐全才PASS。</x:v>
      </x:c>
      <x:c r="I8" s="9" t="str">
        <x:v>P0</x:v>
      </x:c>
      <x:c r="J8" s="9" t="str">
        <x:v>L3_EMU_INTEGRATION</x:v>
      </x:c>
      <x:c r="K8" s="9" t="str">
        <x:v>WAVE3_MULTIDIE_FIREWALL_FAULT</x:v>
      </x:c>
      <x:c r="L8" s="9" t="str">
        <x:v>GSP</x:v>
      </x:c>
      <x:c r="M8" s="8" t="str">
        <x:v>待移植</x:v>
      </x:c>
      <x:c r="N8" s="9" t="str">
        <x:v>PLANNED</x:v>
      </x:c>
      <x:c r="O8" s="9" t="str">
        <x:v>NEEDS_SRAM_FIVE_REGION_DEFAULT_MATRIX</x:v>
      </x:c>
      <x:c r="P8" s="9" t="str">
        <x:v>SRC-0025；SRC-0027；OPEN-CONFLICT-014</x:v>
      </x:c>
    </x:row>
    <x:row r="9" ht="48" hidden="0" customHeight="1">
      <x:c r="A9" s="9" t="str">
        <x:v>SOC-FW-SRAM-RECFG-001</x:v>
      </x:c>
      <x:c r="B9" s="9" t="str">
        <x:v>FIREWALL</x:v>
      </x:c>
      <x:c r="C9" s="8" t="str">
        <x:v>SRAM Firewall五Region重新配置</x:v>
      </x:c>
      <x:c r="D9" s="8" t="str">
        <x:v>在同一用例内遍历Region0～Region4，逐Region修改地址范围和允许通过的Master ID，验证新增授权核可访问、未授权核和范围外地址仍被阻断；不拆成5条Case。</x:v>
      </x:c>
      <x:c r="E9" s="8" t="str">
        <x:v>启动核具备SRAM Firewall配置权限；5个Region配置格式、地址粒度、Master ID、原始基线和恢复方法已冻结。</x:v>
      </x:c>
      <x:c r="F9" s="8" t="str">
        <x:v>对Region0～4循环：保存原配置；修改起止地址范围并在authority中保留启动核/eHSM、加入目标其他核；读回；验证新授权核访问新范围；验证未授权核和范围外地址被拒绝；确认其他Region不受影响；恢复原配置并读回。</x:v>
      </x:c>
      <x:c r="G9" s="8" t="str">
        <x:v>固定遍历5个Region；每个Region同时覆盖地址范围修改和允许Master ID修改。</x:v>
      </x:c>
      <x:c r="H9" s="9" t="str">
        <x:v>五个Region均完成配置读回；新授权核仅能访问新范围；未授权核及范围外地址仍被阻断；其他Region无副作用；每轮和最终配置均恢复默认。</x:v>
      </x:c>
      <x:c r="I9" s="9" t="str">
        <x:v>P0</x:v>
      </x:c>
      <x:c r="J9" s="9" t="str">
        <x:v>L3_EMU_INTEGRATION</x:v>
      </x:c>
      <x:c r="K9" s="9" t="str">
        <x:v>WAVE3_MULTIDIE_FIREWALL_FAULT</x:v>
      </x:c>
      <x:c r="L9" s="9" t="str">
        <x:v>GSP</x:v>
      </x:c>
      <x:c r="M9" s="8" t="str">
        <x:v>待移植</x:v>
      </x:c>
      <x:c r="N9" s="9" t="str">
        <x:v>PLANNED</x:v>
      </x:c>
      <x:c r="O9" s="9" t="str">
        <x:v>NEEDS_SRAM_FIVE_REGION_RECONFIG_CONTRACT</x:v>
      </x:c>
      <x:c r="P9" s="9" t="str">
        <x:v>SRC-0025；SRC-0027；OPEN-CONFLICT-014</x:v>
      </x:c>
    </x:row>
    <x:row r="10" ht="60" hidden="0" customHeight="1">
      <x:c r="A10" s="9" t="str">
        <x:v>SOC-MAILBOX-IRQ-001</x:v>
      </x:c>
      <x:c r="B10" s="9" t="str">
        <x:v>MAILBOX_IRQ</x:v>
      </x:c>
      <x:c r="C10" s="8" t="str">
        <x:v>eHSM Mailbox中断路由与清除</x:v>
      </x:c>
      <x:c r="D10" s="8" t="str">
        <x:v>通过真实eHSM响应验证适用Mailbox通道到SoC中断的路由、屏蔽、清除和再次触发；不使用软件伪中断。</x:v>
      </x:c>
      <x:c r="E10" s="8" t="str">
        <x:v>16路Mailbox IRQ映射、APLIC配置、清除语义和测试用无副作用命令已冻结；eHSM FW阶段允许中断测试，完成后恢复poll。</x:v>
      </x:c>
      <x:c r="F10" s="8" t="str">
        <x:v>逐适用通道注册中断并使能；提交真实无副作用Mailbox命令；检查ISR来源和计数；清除后确认不风暴；再次提交确认重触发；屏蔽阶段确认不进入ISR但轮询仍可完成；恢复poll。</x:v>
      </x:c>
      <x:c r="G10" s="9" t="str">
        <x:v>适用Mailbox通道、正常/屏蔽/解除屏蔽/重触发阶段作为同一用例内部循环。</x:v>
      </x:c>
      <x:c r="H10" s="8" t="str">
        <x:v>只有目标通道ISR计数增加；清除后中断撤销且可再次触发；屏蔽时不进入ISR但事务不丢；无跨通道串扰；APLIC软件置位或C908自写Mailbox不算PASS。</x:v>
      </x:c>
      <x:c r="I10" s="9" t="str">
        <x:v>P0</x:v>
      </x:c>
      <x:c r="J10" s="9" t="str">
        <x:v>L3_EMU_INTEGRATION</x:v>
      </x:c>
      <x:c r="K10" s="9" t="str">
        <x:v>WAVE0_DAY0_SMOKE</x:v>
      </x:c>
      <x:c r="L10" s="9" t="str">
        <x:v>GSP</x:v>
      </x:c>
      <x:c r="M10" s="8" t="str">
        <x:v>待移植</x:v>
      </x:c>
      <x:c r="N10" s="9" t="str">
        <x:v>PLANNED</x:v>
      </x:c>
      <x:c r="O10" s="9" t="str">
        <x:v>NEEDS_MAILBOX_IRQ_CHANNEL_AND_CLEAR_MAP</x:v>
      </x:c>
      <x:c r="P10" s="9" t="str">
        <x:v>SRC-0022；SRC-0027；CE-SEC-010</x:v>
      </x:c>
    </x:row>
    <x:row r="11" ht="60" hidden="0" customHeight="1">
      <x:c r="A11" s="9"/>
      <x:c r="B11" s="9"/>
      <x:c r="C11" s="9"/>
      <x:c r="D11" s="8"/>
      <x:c r="E11" s="9"/>
      <x:c r="F11" s="8"/>
      <x:c r="G11" s="8"/>
      <x:c r="H11" s="8"/>
      <x:c r="I11" s="9"/>
      <x:c r="J11" s="9"/>
      <x:c r="K11" s="9"/>
      <x:c r="L11" s="9"/>
      <x:c r="M11" s="8"/>
      <x:c r="N11" s="9"/>
      <x:c r="O11" s="9"/>
      <x:c r="P11" s="9"/>
    </x:row>
  </x:sheetData>
  <x:mergeCells>
    <x:mergeCell ref="A1:P1"/>
  </x:mergeCells>
  <x:conditionalFormatting sqref="O4:O11">
    <x:cfRule type="containsText" dxfId="18" priority="2" aboveAverage="0" percent="0" bottom="0" operator="containsText" text="BLOCK" rank="0" equalAverage="0">
      <x:formula>NOT(ISERROR(SEARCH("BLOCK",O4)))</x:formula>
    </x:cfRule>
    <x:cfRule type="containsText" dxfId="19" priority="3" aboveAverage="0" percent="0" bottom="0" operator="containsText" text="NEEDS" rank="0" equalAverage="0">
      <x:formula>NOT(ISERROR(SEARCH("NEEDS",O4)))</x:formula>
    </x:cfRule>
    <x:cfRule type="containsText" dxfId="20" priority="4" aboveAverage="0" percent="0" bottom="0" operator="containsText" text="READY" rank="0" equalAverage="0">
      <x:formula>NOT(ISERROR(SEARCH("READY",O4)))</x:formula>
    </x:cfRule>
    <x:cfRule type="containsText" dxfId="21" priority="5" aboveAverage="0" percent="0" bottom="0" operator="containsText" text="COMPLETED" rank="0" equalAverage="0">
      <x:formula>NOT(ISERROR(SEARCH("COMPLETED",O4)))</x:formula>
    </x:cfRule>
    <x:cfRule type="containsText" dxfId="22" priority="6" aboveAverage="0" percent="0" bottom="0" operator="containsText" text="SUPERSEDED" rank="0" equalAverage="0">
      <x:formula>NOT(ISERROR(SEARCH("SUPERSEDED",O4)))</x:formula>
    </x:cfRule>
    <x:cfRule type="containsText" dxfId="23" priority="7" aboveAverage="0" percent="0" bottom="0" operator="containsText" text="N/A" rank="0" equalAverage="0">
      <x:formula>NOT(ISERROR(SEARCH("N/A",O4)))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8ec098d22fd43e7"/>
  </x:tableParts>
</x:worksheet>
</file>

<file path=xl/worksheets/sheet6.xml><?xml version="1.0" encoding="utf-8"?>
<x:worksheet xmlns:x="http://schemas.openxmlformats.org/spreadsheetml/2006/main">
  <x:sheetViews>
    <x:sheetView showGridLines="1" workbookViewId="0"/>
  </x:sheetViews>
  <x:sheetFormatPr defaultColWidth="10.76953125" defaultRowHeight="15"/>
  <x:cols>
    <x:col min="1" max="2" width="25.209999084472656" hidden="0" customWidth="1"/>
    <x:col min="3" max="3" width="42.849998474121094" hidden="0" customWidth="1"/>
    <x:col min="4" max="7" width="52.91999816894531" hidden="0" customWidth="1"/>
    <x:col min="8" max="8" width="22.690000534057617" hidden="0" customWidth="1"/>
    <x:col min="9" max="9" width="47.88999938964844" hidden="0" customWidth="1"/>
    <x:col min="10" max="11" width="25.209999084472656" hidden="0" customWidth="1"/>
    <x:col min="12" max="12" width="52.91999816894531" hidden="0" customWidth="1"/>
  </x:cols>
  <x:sheetData>
    <x:row r="1" ht="19.200000762939453" hidden="0" customHeight="1">
      <x:c r="A1" s="1" t="str">
        <x:v>SoC安全方案 EDA必测与硬件协同验证需求（3项）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/>
    <x:row r="3" ht="15" hidden="0" customHeight="1">
      <x:c r="A3" s="2" t="str">
        <x:v>需求 ID</x:v>
      </x:c>
      <x:c r="B3" s="11" t="str">
        <x:v>分组</x:v>
      </x:c>
      <x:c r="C3" s="11" t="str">
        <x:v>验证目标</x:v>
      </x:c>
      <x:c r="D3" s="11" t="str">
        <x:v>关联软件用例/观察器</x:v>
      </x:c>
      <x:c r="E3" s="11" t="str">
        <x:v>软件承担内容</x:v>
      </x:c>
      <x:c r="F3" s="11" t="str">
        <x:v>联合通过判据</x:v>
      </x:c>
      <x:c r="G3" s="11" t="str">
        <x:v>EDA/硬件必须覆盖的内容</x:v>
      </x:c>
      <x:c r="H3" s="11" t="str">
        <x:v>建议责任人</x:v>
      </x:c>
      <x:c r="I3" s="11" t="str">
        <x:v>来源/待绑定</x:v>
      </x:c>
      <x:c r="J3" s="11" t="str">
        <x:v>分层结论</x:v>
      </x:c>
      <x:c r="K3" s="11" t="str">
        <x:v>状态</x:v>
      </x:c>
      <x:c r="L3" s="3" t="str">
        <x:v>禁止事项</x:v>
      </x:c>
    </x:row>
    <x:row r="4" ht="36" hidden="0" customHeight="1">
      <x:c r="A4" s="7" t="str">
        <x:v>EDA-ERR-CRITICAL-IRQ-001</x:v>
      </x:c>
      <x:c r="B4" s="7" t="str">
        <x:v>ERROR_IRQ</x:v>
      </x:c>
      <x:c r="C4" s="7" t="str">
        <x:v>严重错误组合中断与o_hsm_err_hw映射</x:v>
      </x:c>
      <x:c r="D4" s="7" t="str">
        <x:v>SOC-SECCFG-001仅作寄存器观察器；无独立Codex刺激Case</x:v>
      </x:c>
      <x:c r="E4" s="5" t="str">
        <x:v>软件读取基线、记录IRQ/原始寄存器并执行批准的清除；错误源由EDA逐项及组合注入</x:v>
      </x:c>
      <x:c r="F4" s="5" t="str">
        <x:v>注入源对应bit置位；严重错误组合中断正确；清除/保持/再次触发符合冻结合同；无无关bit串扰</x:v>
      </x:c>
      <x:c r="G4" s="5" t="str">
        <x:v>逐源覆盖wdt、OTP Key CRC、TRNG warning/fail/HT fail及PKE0～3/KMU/DRAM/IRAM/IROM不可纠正ECC；覆盖多源同时、锁存/清除和重触发</x:v>
      </x:c>
      <x:c r="H4" s="7" t="str">
        <x:v>RTL/DV + SoC集成</x:v>
      </x:c>
      <x:c r="I4" s="7" t="str">
        <x:v>SRC-0026；SRC-0027；需IRQ/清除映射</x:v>
      </x:c>
      <x:c r="J4" s="5" t="str">
        <x:v>EDA必测；软件不能合法稳定构造</x:v>
      </x:c>
      <x:c r="K4" s="5" t="str">
        <x:v>EDA_REQUIRED / NOT_EXECUTED</x:v>
      </x:c>
      <x:c r="L4" s="5" t="str">
        <x:v>不得修改eHSM固件、增加测试命令、用业务错误或软件伪中断替代硬件故障</x:v>
      </x:c>
    </x:row>
    <x:row r="5" ht="36" hidden="0" customHeight="1">
      <x:c r="A5" s="9" t="str">
        <x:v>EDA-ERR-ECC1B-IRQ-001</x:v>
      </x:c>
      <x:c r="B5" s="9" t="str">
        <x:v>ECC1B_IRQ</x:v>
      </x:c>
      <x:c r="C5" s="9" t="str">
        <x:v>ECC 1-bit独立脉冲、外部锁存/计数和可清除中断</x:v>
      </x:c>
      <x:c r="D5" s="9" t="str">
        <x:v>SOC-SECCFG-001仅作状态读取；软件观察/清除辅助不形成独立Codex Case</x:v>
      </x:c>
      <x:c r="E5" s="8" t="str">
        <x:v>软件读取外部状态/计数、记录IRQ并清除；每个RAM的ECC 1-bit错误由EDA注入</x:v>
      </x:c>
      <x:c r="F5" s="8" t="str">
        <x:v>每次注入产生预期脉冲并被SoC锁存/计数；软件可查询和清除；清除后可再次触发；计数符合注入次数</x:v>
      </x:c>
      <x:c r="G5" s="8" t="str">
        <x:v>逐RAM覆盖PKE0～3/KMU/DRAM/IRAM/IROM；验证脉冲宽度、脉冲转电平、计数、清除、连续/密集注入、溢出和复位语义</x:v>
      </x:c>
      <x:c r="H5" s="9" t="str">
        <x:v>RTL/DV + SoC集成</x:v>
      </x:c>
      <x:c r="I5" s="9" t="str">
        <x:v>SRC-0026；SRC-0027；需计数器/清除CSR</x:v>
      </x:c>
      <x:c r="J5" s="8" t="str">
        <x:v>EDA必测；软件只负责观察和清除</x:v>
      </x:c>
      <x:c r="K5" s="8" t="str">
        <x:v>EDA_REQUIRED / NOT_EXECUTED</x:v>
      </x:c>
      <x:c r="L5" s="8" t="str">
        <x:v>不得以ISR次数代替未冻结的硬件计数；计数器合同未冻结时相关子项INCONCLUSIVE</x:v>
      </x:c>
    </x:row>
    <x:row r="6" ht="36" hidden="0" customHeight="1">
      <x:c r="A6" s="9" t="str">
        <x:v>EDA-FW-EHSM-MASTER-001</x:v>
      </x:c>
      <x:c r="B6" s="9" t="str">
        <x:v>FIREWALL</x:v>
      </x:c>
      <x:c r="C6" s="9" t="str">
        <x:v>eHSM Master默认允许权限补充</x:v>
      </x:c>
      <x:c r="D6" s="9" t="str">
        <x:v>SOC-FW-SECCFG-001、SOC-FW-SPIFC-001、SOC-FW-SRAM-001</x:v>
      </x:c>
      <x:c r="E6" s="9" t="str">
        <x:v>优先复用现有公开eHSM操作自然发起访问；若没有覆盖目标aperture的公开路径，则由EDA以真实eHSM Master ID发起事务</x:v>
      </x:c>
      <x:c r="F6" s="9" t="str">
        <x:v>SEC_CFG、SPIFC及SRAM五Region默认策略下eHSM允许访问；其他Master结果仍由软件用例闭环</x:v>
      </x:c>
      <x:c r="G6" s="9" t="str">
        <x:v>补齐软件无法发起的eHSM Master事务、Master ID命中和实际Slave到达证据；不扩展Firewall IP其他细节</x:v>
      </x:c>
      <x:c r="H6" s="9" t="str">
        <x:v>RTL/DV + eHSM集成</x:v>
      </x:c>
      <x:c r="I6" s="8" t="str">
        <x:v>SRC-0025；SRC-0027；需eHSM Master ID/访问路径</x:v>
      </x:c>
      <x:c r="J6" s="8" t="str">
        <x:v>条件性EDA：无公开软件路径时必做</x:v>
      </x:c>
      <x:c r="K6" s="8" t="str">
        <x:v>CONDITIONAL_EDA / NOT_EXECUTED</x:v>
      </x:c>
      <x:c r="L6" s="8" t="str">
        <x:v>不得由C908伪造eHSM Master ID，不得修改eHSM固件增加访问命令</x:v>
      </x:c>
    </x:row>
    <x:row r="7" ht="36" hidden="0" customHeight="1">
      <x:c r="A7" s="9"/>
      <x:c r="B7" s="9"/>
      <x:c r="C7" s="9"/>
      <x:c r="D7" s="9"/>
      <x:c r="E7" s="8"/>
      <x:c r="F7" s="8"/>
      <x:c r="G7" s="8"/>
      <x:c r="H7" s="9"/>
      <x:c r="I7" s="9"/>
      <x:c r="J7" s="8"/>
      <x:c r="K7" s="8"/>
      <x:c r="L7" s="8"/>
    </x:row>
    <x:row r="8" ht="36" hidden="0" customHeight="1">
      <x:c r="A8" s="9"/>
      <x:c r="B8" s="9"/>
      <x:c r="C8" s="8"/>
      <x:c r="D8" s="9"/>
      <x:c r="E8" s="8"/>
      <x:c r="F8" s="8"/>
      <x:c r="G8" s="8"/>
      <x:c r="H8" s="9"/>
      <x:c r="I8" s="9"/>
      <x:c r="J8" s="8"/>
      <x:c r="K8" s="8"/>
      <x:c r="L8" s="8"/>
    </x:row>
    <x:row r="9" ht="36" hidden="0" customHeight="1">
      <x:c r="A9" s="9"/>
      <x:c r="B9" s="9"/>
      <x:c r="C9" s="8"/>
      <x:c r="D9" s="9"/>
      <x:c r="E9" s="8"/>
      <x:c r="F9" s="8"/>
      <x:c r="G9" s="9"/>
      <x:c r="H9" s="9"/>
      <x:c r="I9" s="8"/>
      <x:c r="J9" s="8"/>
      <x:c r="K9" s="8"/>
      <x:c r="L9" s="8"/>
    </x:row>
    <x:row r="10" ht="36" hidden="0" customHeight="1">
      <x:c r="A10" s="9"/>
      <x:c r="B10" s="9"/>
      <x:c r="C10" s="8"/>
      <x:c r="D10" s="9"/>
      <x:c r="E10" s="8"/>
      <x:c r="F10" s="8"/>
      <x:c r="G10" s="8"/>
      <x:c r="H10" s="9"/>
      <x:c r="I10" s="9"/>
      <x:c r="J10" s="8"/>
      <x:c r="K10" s="8"/>
      <x:c r="L10" s="8"/>
    </x:row>
    <x:row r="11" ht="36" hidden="0" customHeight="1">
      <x:c r="A11" s="9"/>
      <x:c r="B11" s="9"/>
      <x:c r="C11" s="9"/>
      <x:c r="D11" s="9"/>
      <x:c r="E11" s="8"/>
      <x:c r="F11" s="8"/>
      <x:c r="G11" s="8"/>
      <x:c r="H11" s="9"/>
      <x:c r="I11" s="9"/>
      <x:c r="J11" s="8"/>
      <x:c r="K11" s="8"/>
      <x:c r="L11" s="8"/>
    </x:row>
  </x:sheetData>
  <x:mergeCells>
    <x:mergeCell ref="A1:L1"/>
  </x:mergeCells>
  <x:conditionalFormatting sqref="J4:K11">
    <x:cfRule type="containsText" dxfId="24" priority="2" aboveAverage="0" percent="0" bottom="0" operator="containsText" text="BLOCK" rank="0" equalAverage="0">
      <x:formula>NOT(ISERROR(SEARCH("BLOCK",J4)))</x:formula>
    </x:cfRule>
    <x:cfRule type="containsText" dxfId="25" priority="3" aboveAverage="0" percent="0" bottom="0" operator="containsText" text="NEEDS" rank="0" equalAverage="0">
      <x:formula>NOT(ISERROR(SEARCH("NEEDS",J4)))</x:formula>
    </x:cfRule>
    <x:cfRule type="containsText" dxfId="26" priority="4" aboveAverage="0" percent="0" bottom="0" operator="containsText" text="READY" rank="0" equalAverage="0">
      <x:formula>NOT(ISERROR(SEARCH("READY",J4)))</x:formula>
    </x:cfRule>
    <x:cfRule type="containsText" dxfId="27" priority="5" aboveAverage="0" percent="0" bottom="0" operator="containsText" text="COMPLETED" rank="0" equalAverage="0">
      <x:formula>NOT(ISERROR(SEARCH("COMPLETED",J4)))</x:formula>
    </x:cfRule>
    <x:cfRule type="containsText" dxfId="28" priority="6" aboveAverage="0" percent="0" bottom="0" operator="containsText" text="SUPERSEDED" rank="0" equalAverage="0">
      <x:formula>NOT(ISERROR(SEARCH("SUPERSEDED",J4)))</x:formula>
    </x:cfRule>
    <x:cfRule type="containsText" dxfId="29" priority="7" aboveAverage="0" percent="0" bottom="0" operator="containsText" text="N/A" rank="0" equalAverage="0">
      <x:formula>NOT(ISERROR(SEARCH("N/A",J4)))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d8240ca28354f56"/>
  </x:tableParts>
</x:worksheet>
</file>

<file path=xl/worksheets/sheet7.xml><?xml version="1.0" encoding="utf-8"?>
<x:worksheet xmlns:x="http://schemas.openxmlformats.org/spreadsheetml/2006/main">
  <x:sheetViews>
    <x:sheetView showGridLines="1" workbookViewId="0"/>
  </x:sheetViews>
  <x:sheetFormatPr defaultColWidth="10.76953125" defaultRowHeight="15"/>
  <x:cols>
    <x:col min="1" max="1" width="27.729999542236328" hidden="0" customWidth="1"/>
    <x:col min="2" max="4" width="25.209999084472656" hidden="0" customWidth="1"/>
    <x:col min="5" max="5" width="52.91999816894531" hidden="0" customWidth="1"/>
    <x:col min="6" max="6" width="12.600000381469727" hidden="0" customWidth="1"/>
    <x:col min="7" max="13" width="30.239999771118164" hidden="0" customWidth="1"/>
    <x:col min="14" max="19" width="52.91999816894531" hidden="0" customWidth="1"/>
    <x:col min="20" max="20" width="35.290000915527344" hidden="0" customWidth="1"/>
    <x:col min="21" max="21" width="18.3700008392334" hidden="0" customWidth="1"/>
    <x:col min="22" max="22" width="26.530000686645508" hidden="0" customWidth="1"/>
    <x:col min="23" max="23" width="30.6200008392334" hidden="0" customWidth="1"/>
    <x:col min="24" max="25" width="21.43000030517578" hidden="0" customWidth="1"/>
    <x:col min="26" max="26" width="38.779998779296875" hidden="0" customWidth="1"/>
  </x:cols>
  <x:sheetData>
    <x:row r="1" ht="19.200000762939453" hidden="0" customHeight="1">
      <x:c r="A1" s="10" t="str">
        <x:v>Codex移植指导：66条Mailbox + 7条SoC软件/协同用例（EDA需求不移植）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  <x:c r="L1" s="10"/>
      <x:c r="M1" s="10"/>
      <x:c r="N1" s="10"/>
      <x:c r="O1" s="10"/>
      <x:c r="P1" s="10"/>
      <x:c r="Q1" s="10"/>
      <x:c r="R1" s="10"/>
      <x:c r="S1" s="10"/>
      <x:c r="T1" s="10"/>
      <x:c r="U1" s="10"/>
      <x:c r="V1" s="10"/>
      <x:c r="W1" s="10"/>
      <x:c r="X1" s="10"/>
      <x:c r="Y1" s="10"/>
      <x:c r="Z1" s="10"/>
    </x:row>
    <x:row r="2"/>
    <x:row r="3" ht="15" hidden="0" customHeight="1">
      <x:c r="A3" s="2" t="s">
        <x:v>467</x:v>
      </x:c>
      <x:c r="B3" s="11" t="s">
        <x:v>763</x:v>
      </x:c>
      <x:c r="C3" s="11" t="s">
        <x:v>764</x:v>
      </x:c>
      <x:c r="D3" s="11" t="s">
        <x:v>759</x:v>
      </x:c>
      <x:c r="E3" s="11" t="s">
        <x:v>760</x:v>
      </x:c>
      <x:c r="F3" s="11" t="s">
        <x:v>479</x:v>
      </x:c>
      <x:c r="G3" s="11" t="s">
        <x:v>44</x:v>
      </x:c>
      <x:c r="H3" s="11" t="s">
        <x:v>480</x:v>
      </x:c>
      <x:c r="I3" s="11" t="s">
        <x:v>481</x:v>
      </x:c>
      <x:c r="J3" s="11" t="s">
        <x:v>765</x:v>
      </x:c>
      <x:c r="K3" s="11" t="s">
        <x:v>766</x:v>
      </x:c>
      <x:c r="L3" s="11" t="s">
        <x:v>45</x:v>
      </x:c>
      <x:c r="M3" s="11" t="s">
        <x:v>484</x:v>
      </x:c>
      <x:c r="N3" s="11" t="s">
        <x:v>767</x:v>
      </x:c>
      <x:c r="O3" s="11" t="s">
        <x:v>768</x:v>
      </x:c>
      <x:c r="P3" s="11" t="s">
        <x:v>769</x:v>
      </x:c>
      <x:c r="Q3" s="11" t="s">
        <x:v>770</x:v>
      </x:c>
      <x:c r="R3" s="11" t="s">
        <x:v>771</x:v>
      </x:c>
      <x:c r="S3" s="12" t="s">
        <x:v>772</x:v>
      </x:c>
      <x:c r="T3" s="3" t="s">
        <x:v>47</x:v>
      </x:c>
      <x:c r="U3" s="3" t="s">
        <x:v>51</x:v>
      </x:c>
      <x:c r="V3" s="3" t="s">
        <x:v>49</x:v>
      </x:c>
      <x:c r="W3" s="3" t="s">
        <x:v>50</x:v>
      </x:c>
      <x:c r="X3" s="3" t="s">
        <x:v>52</x:v>
      </x:c>
      <x:c r="Y3" s="3" t="s">
        <x:v>53</x:v>
      </x:c>
      <x:c r="Z3" s="13" t="s">
        <x:v>54</x:v>
      </x:c>
    </x:row>
    <x:row r="4" ht="48" hidden="0" customHeight="1">
      <x:c r="A4" s="7" t="s">
        <x:v>158</x:v>
      </x:c>
      <x:c r="B4" s="7" t="s">
        <x:v>773</x:v>
      </x:c>
      <x:c r="C4" s="7" t="s">
        <x:v>774</x:v>
      </x:c>
      <x:c r="D4" s="7" t="s">
        <x:v>41</x:v>
      </x:c>
      <x:c r="E4" s="7" t="s">
        <x:v>775</x:v>
      </x:c>
      <x:c r="F4" s="7" t="s">
        <x:v>494</x:v>
      </x:c>
      <x:c r="G4" s="7" t="s">
        <x:v>156</x:v>
      </x:c>
      <x:c r="H4" s="7" t="s">
        <x:v>495</x:v>
      </x:c>
      <x:c r="I4" s="7" t="s">
        <x:v>496</x:v>
      </x:c>
      <x:c r="J4" s="7" t="s">
        <x:v>776</x:v>
      </x:c>
      <x:c r="K4" s="7" t="s">
        <x:v>777</x:v>
      </x:c>
      <x:c r="L4" s="7" t="s">
        <x:v>66</x:v>
      </x:c>
      <x:c r="M4" s="7" t="s">
        <x:v>499</x:v>
      </x:c>
      <x:c r="N4" s="5" t="s">
        <x:v>778</x:v>
      </x:c>
      <x:c r="O4" s="7" t="s">
        <x:v>779</x:v>
      </x:c>
      <x:c r="P4" s="5" t="s">
        <x:v>780</x:v>
      </x:c>
      <x:c r="Q4" s="5" t="s">
        <x:v>781</x:v>
      </x:c>
      <x:c r="R4" s="5" t="s">
        <x:v>782</x:v>
      </x:c>
      <x:c r="S4" s="5" t="s">
        <x:v>783</x:v>
      </x:c>
      <x:c r="T4" s="5"/>
      <x:c r="U4" s="7" t="s">
        <x:v>72</x:v>
      </x:c>
      <x:c r="V4" s="7" t="s">
        <x:v>159</x:v>
      </x:c>
      <x:c r="W4" s="7" t="s">
        <x:v>160</x:v>
      </x:c>
      <x:c r="X4" s="7" t="s">
        <x:v>73</x:v>
      </x:c>
      <x:c r="Y4" s="7" t="s">
        <x:v>74</x:v>
      </x:c>
      <x:c r="Z4" s="7" t="s">
        <x:v>75</x:v>
      </x:c>
    </x:row>
    <x:row r="5" ht="48" hidden="0" customHeight="1">
      <x:c r="A5" s="9" t="s">
        <x:v>100</x:v>
      </x:c>
      <x:c r="B5" s="9" t="s">
        <x:v>773</x:v>
      </x:c>
      <x:c r="C5" s="9" t="s">
        <x:v>774</x:v>
      </x:c>
      <x:c r="D5" s="9" t="s">
        <x:v>41</x:v>
      </x:c>
      <x:c r="E5" s="9" t="s">
        <x:v>784</x:v>
      </x:c>
      <x:c r="F5" s="9" t="s">
        <x:v>494</x:v>
      </x:c>
      <x:c r="G5" s="9" t="s">
        <x:v>98</x:v>
      </x:c>
      <x:c r="H5" s="9" t="s">
        <x:v>495</x:v>
      </x:c>
      <x:c r="I5" s="9" t="s">
        <x:v>505</x:v>
      </x:c>
      <x:c r="J5" s="9" t="s">
        <x:v>776</x:v>
      </x:c>
      <x:c r="K5" s="9" t="s">
        <x:v>777</x:v>
      </x:c>
      <x:c r="L5" s="9" t="s">
        <x:v>66</x:v>
      </x:c>
      <x:c r="M5" s="9" t="s">
        <x:v>499</x:v>
      </x:c>
      <x:c r="N5" s="8" t="s">
        <x:v>778</x:v>
      </x:c>
      <x:c r="O5" s="9" t="s">
        <x:v>779</x:v>
      </x:c>
      <x:c r="P5" s="8" t="s">
        <x:v>780</x:v>
      </x:c>
      <x:c r="Q5" s="8" t="s">
        <x:v>781</x:v>
      </x:c>
      <x:c r="R5" s="8" t="s">
        <x:v>782</x:v>
      </x:c>
      <x:c r="S5" s="8" t="s">
        <x:v>783</x:v>
      </x:c>
      <x:c r="T5" s="8"/>
      <x:c r="U5" s="9" t="s">
        <x:v>72</x:v>
      </x:c>
      <x:c r="V5" s="9" t="s">
        <x:v>101</x:v>
      </x:c>
      <x:c r="W5" s="9" t="s">
        <x:v>102</x:v>
      </x:c>
      <x:c r="X5" s="9" t="s">
        <x:v>73</x:v>
      </x:c>
      <x:c r="Y5" s="9" t="s">
        <x:v>74</x:v>
      </x:c>
      <x:c r="Z5" s="9" t="s">
        <x:v>103</x:v>
      </x:c>
    </x:row>
    <x:row r="6" ht="48" hidden="0" customHeight="1">
      <x:c r="A6" s="9" t="s">
        <x:v>91</x:v>
      </x:c>
      <x:c r="B6" s="9" t="s">
        <x:v>773</x:v>
      </x:c>
      <x:c r="C6" s="9" t="s">
        <x:v>774</x:v>
      </x:c>
      <x:c r="D6" s="9" t="s">
        <x:v>41</x:v>
      </x:c>
      <x:c r="E6" s="9" t="s">
        <x:v>785</x:v>
      </x:c>
      <x:c r="F6" s="9" t="s">
        <x:v>494</x:v>
      </x:c>
      <x:c r="G6" s="9" t="s">
        <x:v>88</x:v>
      </x:c>
      <x:c r="H6" s="9" t="s">
        <x:v>495</x:v>
      </x:c>
      <x:c r="I6" s="9" t="s">
        <x:v>505</x:v>
      </x:c>
      <x:c r="J6" s="9" t="s">
        <x:v>776</x:v>
      </x:c>
      <x:c r="K6" s="9" t="s">
        <x:v>777</x:v>
      </x:c>
      <x:c r="L6" s="9" t="s">
        <x:v>89</x:v>
      </x:c>
      <x:c r="M6" s="9" t="s">
        <x:v>511</x:v>
      </x:c>
      <x:c r="N6" s="8" t="s">
        <x:v>778</x:v>
      </x:c>
      <x:c r="O6" s="9" t="s">
        <x:v>786</x:v>
      </x:c>
      <x:c r="P6" s="8" t="s">
        <x:v>780</x:v>
      </x:c>
      <x:c r="Q6" s="8" t="s">
        <x:v>781</x:v>
      </x:c>
      <x:c r="R6" s="8" t="s">
        <x:v>782</x:v>
      </x:c>
      <x:c r="S6" s="8" t="s">
        <x:v>783</x:v>
      </x:c>
      <x:c r="T6" s="8"/>
      <x:c r="U6" s="9" t="s">
        <x:v>72</x:v>
      </x:c>
      <x:c r="V6" s="9" t="s">
        <x:v>92</x:v>
      </x:c>
      <x:c r="W6" s="9" t="s">
        <x:v>93</x:v>
      </x:c>
      <x:c r="X6" s="9" t="s">
        <x:v>73</x:v>
      </x:c>
      <x:c r="Y6" s="9" t="s">
        <x:v>74</x:v>
      </x:c>
      <x:c r="Z6" s="9" t="s">
        <x:v>94</x:v>
      </x:c>
    </x:row>
    <x:row r="7" ht="48" hidden="0" customHeight="1">
      <x:c r="A7" s="9" t="s">
        <x:v>176</x:v>
      </x:c>
      <x:c r="B7" s="9" t="s">
        <x:v>773</x:v>
      </x:c>
      <x:c r="C7" s="9" t="s">
        <x:v>774</x:v>
      </x:c>
      <x:c r="D7" s="9" t="s">
        <x:v>41</x:v>
      </x:c>
      <x:c r="E7" s="9" t="s">
        <x:v>787</x:v>
      </x:c>
      <x:c r="F7" s="9" t="s">
        <x:v>494</x:v>
      </x:c>
      <x:c r="G7" s="9" t="s">
        <x:v>98</x:v>
      </x:c>
      <x:c r="H7" s="9" t="s">
        <x:v>495</x:v>
      </x:c>
      <x:c r="I7" s="9" t="s">
        <x:v>516</x:v>
      </x:c>
      <x:c r="J7" s="9" t="s">
        <x:v>776</x:v>
      </x:c>
      <x:c r="K7" s="9" t="s">
        <x:v>777</x:v>
      </x:c>
      <x:c r="L7" s="9" t="s">
        <x:v>66</x:v>
      </x:c>
      <x:c r="M7" s="9" t="s">
        <x:v>499</x:v>
      </x:c>
      <x:c r="N7" s="8" t="s">
        <x:v>778</x:v>
      </x:c>
      <x:c r="O7" s="9" t="s">
        <x:v>779</x:v>
      </x:c>
      <x:c r="P7" s="8" t="s">
        <x:v>780</x:v>
      </x:c>
      <x:c r="Q7" s="8" t="s">
        <x:v>781</x:v>
      </x:c>
      <x:c r="R7" s="8" t="s">
        <x:v>782</x:v>
      </x:c>
      <x:c r="S7" s="8" t="s">
        <x:v>783</x:v>
      </x:c>
      <x:c r="T7" s="8"/>
      <x:c r="U7" s="9" t="s">
        <x:v>72</x:v>
      </x:c>
      <x:c r="V7" s="9" t="s">
        <x:v>177</x:v>
      </x:c>
      <x:c r="W7" s="9" t="s">
        <x:v>178</x:v>
      </x:c>
      <x:c r="X7" s="9" t="s">
        <x:v>73</x:v>
      </x:c>
      <x:c r="Y7" s="9" t="s">
        <x:v>74</x:v>
      </x:c>
      <x:c r="Z7" s="9" t="s">
        <x:v>126</x:v>
      </x:c>
    </x:row>
    <x:row r="8" ht="48" hidden="0" customHeight="1">
      <x:c r="A8" s="9" t="s">
        <x:v>170</x:v>
      </x:c>
      <x:c r="B8" s="9" t="s">
        <x:v>773</x:v>
      </x:c>
      <x:c r="C8" s="9" t="s">
        <x:v>774</x:v>
      </x:c>
      <x:c r="D8" s="9" t="s">
        <x:v>41</x:v>
      </x:c>
      <x:c r="E8" s="9" t="s">
        <x:v>788</x:v>
      </x:c>
      <x:c r="F8" s="9" t="s">
        <x:v>494</x:v>
      </x:c>
      <x:c r="G8" s="9" t="s">
        <x:v>98</x:v>
      </x:c>
      <x:c r="H8" s="9" t="s">
        <x:v>495</x:v>
      </x:c>
      <x:c r="I8" s="9" t="s">
        <x:v>516</x:v>
      </x:c>
      <x:c r="J8" s="9" t="s">
        <x:v>776</x:v>
      </x:c>
      <x:c r="K8" s="9" t="s">
        <x:v>777</x:v>
      </x:c>
      <x:c r="L8" s="9" t="s">
        <x:v>66</x:v>
      </x:c>
      <x:c r="M8" s="9" t="s">
        <x:v>511</x:v>
      </x:c>
      <x:c r="N8" s="8" t="s">
        <x:v>778</x:v>
      </x:c>
      <x:c r="O8" s="9" t="s">
        <x:v>786</x:v>
      </x:c>
      <x:c r="P8" s="8" t="s">
        <x:v>780</x:v>
      </x:c>
      <x:c r="Q8" s="8" t="s">
        <x:v>781</x:v>
      </x:c>
      <x:c r="R8" s="8" t="s">
        <x:v>782</x:v>
      </x:c>
      <x:c r="S8" s="8" t="s">
        <x:v>783</x:v>
      </x:c>
      <x:c r="T8" s="8"/>
      <x:c r="U8" s="9" t="s">
        <x:v>72</x:v>
      </x:c>
      <x:c r="V8" s="9" t="s">
        <x:v>171</x:v>
      </x:c>
      <x:c r="W8" s="9" t="s">
        <x:v>172</x:v>
      </x:c>
      <x:c r="X8" s="9" t="s">
        <x:v>73</x:v>
      </x:c>
      <x:c r="Y8" s="9" t="s">
        <x:v>74</x:v>
      </x:c>
      <x:c r="Z8" s="9" t="s">
        <x:v>126</x:v>
      </x:c>
    </x:row>
    <x:row r="9" ht="48" hidden="0" customHeight="1">
      <x:c r="A9" s="9" t="s">
        <x:v>122</x:v>
      </x:c>
      <x:c r="B9" s="9" t="s">
        <x:v>773</x:v>
      </x:c>
      <x:c r="C9" s="9" t="s">
        <x:v>774</x:v>
      </x:c>
      <x:c r="D9" s="9" t="s">
        <x:v>41</x:v>
      </x:c>
      <x:c r="E9" s="9" t="s">
        <x:v>789</x:v>
      </x:c>
      <x:c r="F9" s="9" t="s">
        <x:v>494</x:v>
      </x:c>
      <x:c r="G9" s="9" t="s">
        <x:v>88</x:v>
      </x:c>
      <x:c r="H9" s="9" t="s">
        <x:v>495</x:v>
      </x:c>
      <x:c r="I9" s="9" t="s">
        <x:v>505</x:v>
      </x:c>
      <x:c r="J9" s="9" t="s">
        <x:v>776</x:v>
      </x:c>
      <x:c r="K9" s="9" t="s">
        <x:v>777</x:v>
      </x:c>
      <x:c r="L9" s="9" t="s">
        <x:v>89</x:v>
      </x:c>
      <x:c r="M9" s="9" t="s">
        <x:v>511</x:v>
      </x:c>
      <x:c r="N9" s="8" t="s">
        <x:v>778</x:v>
      </x:c>
      <x:c r="O9" s="9" t="s">
        <x:v>786</x:v>
      </x:c>
      <x:c r="P9" s="8" t="s">
        <x:v>780</x:v>
      </x:c>
      <x:c r="Q9" s="8" t="s">
        <x:v>781</x:v>
      </x:c>
      <x:c r="R9" s="8" t="s">
        <x:v>782</x:v>
      </x:c>
      <x:c r="S9" s="8" t="s">
        <x:v>783</x:v>
      </x:c>
      <x:c r="T9" s="8"/>
      <x:c r="U9" s="9" t="s">
        <x:v>125</x:v>
      </x:c>
      <x:c r="V9" s="9" t="s">
        <x:v>123</x:v>
      </x:c>
      <x:c r="W9" s="9" t="s">
        <x:v>124</x:v>
      </x:c>
      <x:c r="X9" s="9" t="s">
        <x:v>73</x:v>
      </x:c>
      <x:c r="Y9" s="9" t="s">
        <x:v>74</x:v>
      </x:c>
      <x:c r="Z9" s="9" t="s">
        <x:v>126</x:v>
      </x:c>
    </x:row>
    <x:row r="10" ht="48" hidden="0" customHeight="1">
      <x:c r="A10" s="9" t="s">
        <x:v>130</x:v>
      </x:c>
      <x:c r="B10" s="9" t="s">
        <x:v>773</x:v>
      </x:c>
      <x:c r="C10" s="9" t="s">
        <x:v>774</x:v>
      </x:c>
      <x:c r="D10" s="9" t="s">
        <x:v>41</x:v>
      </x:c>
      <x:c r="E10" s="9" t="s">
        <x:v>790</x:v>
      </x:c>
      <x:c r="F10" s="9" t="s">
        <x:v>494</x:v>
      </x:c>
      <x:c r="G10" s="9" t="s">
        <x:v>98</x:v>
      </x:c>
      <x:c r="H10" s="9" t="s">
        <x:v>495</x:v>
      </x:c>
      <x:c r="I10" s="9" t="s">
        <x:v>505</x:v>
      </x:c>
      <x:c r="J10" s="9" t="s">
        <x:v>776</x:v>
      </x:c>
      <x:c r="K10" s="9" t="s">
        <x:v>777</x:v>
      </x:c>
      <x:c r="L10" s="9" t="s">
        <x:v>66</x:v>
      </x:c>
      <x:c r="M10" s="9" t="s">
        <x:v>499</x:v>
      </x:c>
      <x:c r="N10" s="8" t="s">
        <x:v>778</x:v>
      </x:c>
      <x:c r="O10" s="9" t="s">
        <x:v>779</x:v>
      </x:c>
      <x:c r="P10" s="8" t="s">
        <x:v>780</x:v>
      </x:c>
      <x:c r="Q10" s="8" t="s">
        <x:v>781</x:v>
      </x:c>
      <x:c r="R10" s="8" t="s">
        <x:v>782</x:v>
      </x:c>
      <x:c r="S10" s="8" t="s">
        <x:v>783</x:v>
      </x:c>
      <x:c r="T10" s="8"/>
      <x:c r="U10" s="9" t="s">
        <x:v>72</x:v>
      </x:c>
      <x:c r="V10" s="9" t="s">
        <x:v>131</x:v>
      </x:c>
      <x:c r="W10" s="9" t="s">
        <x:v>132</x:v>
      </x:c>
      <x:c r="X10" s="9" t="s">
        <x:v>73</x:v>
      </x:c>
      <x:c r="Y10" s="9" t="s">
        <x:v>74</x:v>
      </x:c>
      <x:c r="Z10" s="9" t="s">
        <x:v>126</x:v>
      </x:c>
    </x:row>
    <x:row r="11" ht="48" hidden="0" customHeight="1">
      <x:c r="A11" s="9" t="s">
        <x:v>137</x:v>
      </x:c>
      <x:c r="B11" s="9" t="s">
        <x:v>773</x:v>
      </x:c>
      <x:c r="C11" s="9" t="s">
        <x:v>774</x:v>
      </x:c>
      <x:c r="D11" s="9" t="s">
        <x:v>41</x:v>
      </x:c>
      <x:c r="E11" s="9" t="s">
        <x:v>791</x:v>
      </x:c>
      <x:c r="F11" s="9" t="s">
        <x:v>494</x:v>
      </x:c>
      <x:c r="G11" s="9" t="s">
        <x:v>98</x:v>
      </x:c>
      <x:c r="H11" s="9" t="s">
        <x:v>495</x:v>
      </x:c>
      <x:c r="I11" s="9" t="s">
        <x:v>534</x:v>
      </x:c>
      <x:c r="J11" s="9" t="s">
        <x:v>776</x:v>
      </x:c>
      <x:c r="K11" s="9" t="s">
        <x:v>777</x:v>
      </x:c>
      <x:c r="L11" s="9" t="s">
        <x:v>66</x:v>
      </x:c>
      <x:c r="M11" s="9" t="s">
        <x:v>499</x:v>
      </x:c>
      <x:c r="N11" s="8" t="s">
        <x:v>778</x:v>
      </x:c>
      <x:c r="O11" s="9" t="s">
        <x:v>779</x:v>
      </x:c>
      <x:c r="P11" s="8" t="s">
        <x:v>780</x:v>
      </x:c>
      <x:c r="Q11" s="8" t="s">
        <x:v>781</x:v>
      </x:c>
      <x:c r="R11" s="8" t="s">
        <x:v>782</x:v>
      </x:c>
      <x:c r="S11" s="8" t="s">
        <x:v>783</x:v>
      </x:c>
      <x:c r="T11" s="8"/>
      <x:c r="U11" s="9" t="s">
        <x:v>72</x:v>
      </x:c>
      <x:c r="V11" s="9" t="s">
        <x:v>138</x:v>
      </x:c>
      <x:c r="W11" s="9" t="s">
        <x:v>139</x:v>
      </x:c>
      <x:c r="X11" s="9" t="s">
        <x:v>73</x:v>
      </x:c>
      <x:c r="Y11" s="9" t="s">
        <x:v>74</x:v>
      </x:c>
      <x:c r="Z11" s="9" t="s">
        <x:v>140</x:v>
      </x:c>
    </x:row>
    <x:row r="12" ht="48" hidden="0" customHeight="1">
      <x:c r="A12" s="9" t="s">
        <x:v>144</x:v>
      </x:c>
      <x:c r="B12" s="9" t="s">
        <x:v>773</x:v>
      </x:c>
      <x:c r="C12" s="9" t="s">
        <x:v>774</x:v>
      </x:c>
      <x:c r="D12" s="9" t="s">
        <x:v>41</x:v>
      </x:c>
      <x:c r="E12" s="9" t="s">
        <x:v>792</x:v>
      </x:c>
      <x:c r="F12" s="9" t="s">
        <x:v>494</x:v>
      </x:c>
      <x:c r="G12" s="9" t="s">
        <x:v>98</x:v>
      </x:c>
      <x:c r="H12" s="9" t="s">
        <x:v>495</x:v>
      </x:c>
      <x:c r="I12" s="9" t="s">
        <x:v>534</x:v>
      </x:c>
      <x:c r="J12" s="9" t="s">
        <x:v>776</x:v>
      </x:c>
      <x:c r="K12" s="9" t="s">
        <x:v>777</x:v>
      </x:c>
      <x:c r="L12" s="9" t="s">
        <x:v>66</x:v>
      </x:c>
      <x:c r="M12" s="9" t="s">
        <x:v>499</x:v>
      </x:c>
      <x:c r="N12" s="8" t="s">
        <x:v>778</x:v>
      </x:c>
      <x:c r="O12" s="9" t="s">
        <x:v>779</x:v>
      </x:c>
      <x:c r="P12" s="8" t="s">
        <x:v>780</x:v>
      </x:c>
      <x:c r="Q12" s="8" t="s">
        <x:v>781</x:v>
      </x:c>
      <x:c r="R12" s="8" t="s">
        <x:v>782</x:v>
      </x:c>
      <x:c r="S12" s="8" t="s">
        <x:v>783</x:v>
      </x:c>
      <x:c r="T12" s="8"/>
      <x:c r="U12" s="9" t="s">
        <x:v>72</x:v>
      </x:c>
      <x:c r="V12" s="9" t="s">
        <x:v>145</x:v>
      </x:c>
      <x:c r="W12" s="9" t="s">
        <x:v>146</x:v>
      </x:c>
      <x:c r="X12" s="9" t="s">
        <x:v>73</x:v>
      </x:c>
      <x:c r="Y12" s="9" t="s">
        <x:v>74</x:v>
      </x:c>
      <x:c r="Z12" s="9" t="s">
        <x:v>140</x:v>
      </x:c>
    </x:row>
    <x:row r="13" ht="48" hidden="0" customHeight="1">
      <x:c r="A13" s="9" t="s">
        <x:v>108</x:v>
      </x:c>
      <x:c r="B13" s="9" t="s">
        <x:v>773</x:v>
      </x:c>
      <x:c r="C13" s="9" t="s">
        <x:v>774</x:v>
      </x:c>
      <x:c r="D13" s="9" t="s">
        <x:v>41</x:v>
      </x:c>
      <x:c r="E13" s="9" t="s">
        <x:v>793</x:v>
      </x:c>
      <x:c r="F13" s="9" t="s">
        <x:v>494</x:v>
      </x:c>
      <x:c r="G13" s="9" t="s">
        <x:v>98</x:v>
      </x:c>
      <x:c r="H13" s="9" t="s">
        <x:v>495</x:v>
      </x:c>
      <x:c r="I13" s="9" t="s">
        <x:v>534</x:v>
      </x:c>
      <x:c r="J13" s="9" t="s">
        <x:v>776</x:v>
      </x:c>
      <x:c r="K13" s="9" t="s">
        <x:v>777</x:v>
      </x:c>
      <x:c r="L13" s="9" t="s">
        <x:v>66</x:v>
      </x:c>
      <x:c r="M13" s="9" t="s">
        <x:v>499</x:v>
      </x:c>
      <x:c r="N13" s="8" t="s">
        <x:v>778</x:v>
      </x:c>
      <x:c r="O13" s="9" t="s">
        <x:v>779</x:v>
      </x:c>
      <x:c r="P13" s="8" t="s">
        <x:v>780</x:v>
      </x:c>
      <x:c r="Q13" s="8" t="s">
        <x:v>781</x:v>
      </x:c>
      <x:c r="R13" s="8" t="s">
        <x:v>782</x:v>
      </x:c>
      <x:c r="S13" s="8" t="s">
        <x:v>783</x:v>
      </x:c>
      <x:c r="T13" s="8"/>
      <x:c r="U13" s="9" t="s">
        <x:v>72</x:v>
      </x:c>
      <x:c r="V13" s="9" t="s">
        <x:v>109</x:v>
      </x:c>
      <x:c r="W13" s="9" t="s">
        <x:v>110</x:v>
      </x:c>
      <x:c r="X13" s="9" t="s">
        <x:v>73</x:v>
      </x:c>
      <x:c r="Y13" s="9" t="s">
        <x:v>74</x:v>
      </x:c>
      <x:c r="Z13" s="9" t="s">
        <x:v>75</x:v>
      </x:c>
    </x:row>
    <x:row r="14" ht="48" hidden="0" customHeight="1">
      <x:c r="A14" s="9" t="s">
        <x:v>114</x:v>
      </x:c>
      <x:c r="B14" s="9" t="s">
        <x:v>773</x:v>
      </x:c>
      <x:c r="C14" s="9" t="s">
        <x:v>774</x:v>
      </x:c>
      <x:c r="D14" s="9" t="s">
        <x:v>41</x:v>
      </x:c>
      <x:c r="E14" s="9" t="s">
        <x:v>794</x:v>
      </x:c>
      <x:c r="F14" s="9" t="s">
        <x:v>494</x:v>
      </x:c>
      <x:c r="G14" s="9" t="s">
        <x:v>98</x:v>
      </x:c>
      <x:c r="H14" s="9" t="s">
        <x:v>495</x:v>
      </x:c>
      <x:c r="I14" s="9" t="s">
        <x:v>534</x:v>
      </x:c>
      <x:c r="J14" s="9" t="s">
        <x:v>776</x:v>
      </x:c>
      <x:c r="K14" s="9" t="s">
        <x:v>777</x:v>
      </x:c>
      <x:c r="L14" s="9" t="s">
        <x:v>66</x:v>
      </x:c>
      <x:c r="M14" s="9" t="s">
        <x:v>499</x:v>
      </x:c>
      <x:c r="N14" s="8" t="str">
        <x:v>鉴权前后读取soc_dbg_en_out，并以实际Debug访问确认成功状态；结束时CLOSE_DEBUG恢复</x:v>
      </x:c>
      <x:c r="O14" s="9" t="str">
        <x:v>需soc_dbg_en_out地址/期望位、Debug访问方法和可恢复fixture</x:v>
      </x:c>
      <x:c r="P14" s="8" t="s">
        <x:v>780</x:v>
      </x:c>
      <x:c r="Q14" s="8" t="str">
        <x:v>原始成功、soc_dbg_en_out开放和实际Debug可访问同时满足；清理后同步关闭</x:v>
      </x:c>
      <x:c r="R14" s="8" t="str">
        <x:v>保存鉴权前后soc_dbg_en_out、实际Debug访问、原始返回和CLOSE_DEBUG清理证据</x:v>
      </x:c>
      <x:c r="S14" s="8" t="s">
        <x:v>783</x:v>
      </x:c>
      <x:c r="T14" s="8"/>
      <x:c r="U14" s="9" t="s">
        <x:v>72</x:v>
      </x:c>
      <x:c r="V14" s="9" t="s">
        <x:v>115</x:v>
      </x:c>
      <x:c r="W14" s="9" t="s">
        <x:v>116</x:v>
      </x:c>
      <x:c r="X14" s="9" t="s">
        <x:v>73</x:v>
      </x:c>
      <x:c r="Y14" s="9" t="s">
        <x:v>74</x:v>
      </x:c>
      <x:c r="Z14" s="9" t="s">
        <x:v>117</x:v>
      </x:c>
    </x:row>
    <x:row r="15" ht="48" hidden="0" customHeight="1">
      <x:c r="A15" s="9" t="s">
        <x:v>150</x:v>
      </x:c>
      <x:c r="B15" s="9" t="s">
        <x:v>773</x:v>
      </x:c>
      <x:c r="C15" s="9" t="s">
        <x:v>774</x:v>
      </x:c>
      <x:c r="D15" s="9" t="s">
        <x:v>41</x:v>
      </x:c>
      <x:c r="E15" s="9" t="s">
        <x:v>795</x:v>
      </x:c>
      <x:c r="F15" s="9" t="s">
        <x:v>494</x:v>
      </x:c>
      <x:c r="G15" s="9" t="s">
        <x:v>98</x:v>
      </x:c>
      <x:c r="H15" s="9" t="s">
        <x:v>495</x:v>
      </x:c>
      <x:c r="I15" s="9" t="s">
        <x:v>534</x:v>
      </x:c>
      <x:c r="J15" s="9" t="s">
        <x:v>776</x:v>
      </x:c>
      <x:c r="K15" s="9" t="s">
        <x:v>777</x:v>
      </x:c>
      <x:c r="L15" s="9" t="s">
        <x:v>66</x:v>
      </x:c>
      <x:c r="M15" s="9" t="s">
        <x:v>499</x:v>
      </x:c>
      <x:c r="N15" s="8" t="str">
        <x:v>执行CLOSE_DEBUG后读取soc_dbg_en_out并再次尝试实际Debug访问</x:v>
      </x:c>
      <x:c r="O15" s="9" t="str">
        <x:v>需soc_dbg_en_out和实际Debug通道观测方法</x:v>
      </x:c>
      <x:c r="P15" s="8" t="s">
        <x:v>780</x:v>
      </x:c>
      <x:c r="Q15" s="8" t="str">
        <x:v>命令成功、soc_dbg_en_out关闭且实际Debug拒绝同时满足</x:v>
      </x:c>
      <x:c r="R15" s="8" t="str">
        <x:v>保存关闭前后寄存器、实际访问、原始返回和健康查询证据</x:v>
      </x:c>
      <x:c r="S15" s="8" t="s">
        <x:v>783</x:v>
      </x:c>
      <x:c r="T15" s="8"/>
      <x:c r="U15" s="9" t="s">
        <x:v>72</x:v>
      </x:c>
      <x:c r="V15" s="9" t="s">
        <x:v>151</x:v>
      </x:c>
      <x:c r="W15" s="9" t="s">
        <x:v>152</x:v>
      </x:c>
      <x:c r="X15" s="9" t="s">
        <x:v>73</x:v>
      </x:c>
      <x:c r="Y15" s="9" t="s">
        <x:v>74</x:v>
      </x:c>
      <x:c r="Z15" s="9" t="s">
        <x:v>140</x:v>
      </x:c>
    </x:row>
    <x:row r="16" ht="48" hidden="0" customHeight="1">
      <x:c r="A16" s="9" t="s">
        <x:v>80</x:v>
      </x:c>
      <x:c r="B16" s="9" t="s">
        <x:v>773</x:v>
      </x:c>
      <x:c r="C16" s="9" t="s">
        <x:v>774</x:v>
      </x:c>
      <x:c r="D16" s="9" t="s">
        <x:v>41</x:v>
      </x:c>
      <x:c r="E16" s="9" t="s">
        <x:v>796</x:v>
      </x:c>
      <x:c r="F16" s="9" t="s">
        <x:v>494</x:v>
      </x:c>
      <x:c r="G16" s="9" t="s">
        <x:v>65</x:v>
      </x:c>
      <x:c r="H16" s="9" t="s">
        <x:v>495</x:v>
      </x:c>
      <x:c r="I16" s="9" t="s">
        <x:v>516</x:v>
      </x:c>
      <x:c r="J16" s="9" t="s">
        <x:v>776</x:v>
      </x:c>
      <x:c r="K16" s="9" t="s">
        <x:v>777</x:v>
      </x:c>
      <x:c r="L16" s="9" t="s">
        <x:v>66</x:v>
      </x:c>
      <x:c r="M16" s="9" t="s">
        <x:v>499</x:v>
      </x:c>
      <x:c r="N16" s="8" t="s">
        <x:v>778</x:v>
      </x:c>
      <x:c r="O16" s="9" t="s">
        <x:v>779</x:v>
      </x:c>
      <x:c r="P16" s="8" t="s">
        <x:v>780</x:v>
      </x:c>
      <x:c r="Q16" s="8" t="s">
        <x:v>781</x:v>
      </x:c>
      <x:c r="R16" s="8" t="s">
        <x:v>782</x:v>
      </x:c>
      <x:c r="S16" s="8" t="s">
        <x:v>783</x:v>
      </x:c>
      <x:c r="T16" s="8"/>
      <x:c r="U16" s="9" t="s">
        <x:v>72</x:v>
      </x:c>
      <x:c r="V16" s="9" t="s">
        <x:v>81</x:v>
      </x:c>
      <x:c r="W16" s="9" t="s">
        <x:v>82</x:v>
      </x:c>
      <x:c r="X16" s="9" t="s">
        <x:v>73</x:v>
      </x:c>
      <x:c r="Y16" s="9" t="s">
        <x:v>74</x:v>
      </x:c>
      <x:c r="Z16" s="9" t="s">
        <x:v>75</x:v>
      </x:c>
    </x:row>
    <x:row r="17" ht="48" hidden="0" customHeight="1">
      <x:c r="A17" s="9" t="s">
        <x:v>69</x:v>
      </x:c>
      <x:c r="B17" s="9" t="s">
        <x:v>773</x:v>
      </x:c>
      <x:c r="C17" s="9" t="s">
        <x:v>774</x:v>
      </x:c>
      <x:c r="D17" s="9" t="s">
        <x:v>41</x:v>
      </x:c>
      <x:c r="E17" s="9" t="s">
        <x:v>797</x:v>
      </x:c>
      <x:c r="F17" s="9" t="s">
        <x:v>494</x:v>
      </x:c>
      <x:c r="G17" s="9" t="s">
        <x:v>65</x:v>
      </x:c>
      <x:c r="H17" s="9" t="s">
        <x:v>495</x:v>
      </x:c>
      <x:c r="I17" s="9" t="s">
        <x:v>496</x:v>
      </x:c>
      <x:c r="J17" s="9" t="s">
        <x:v>776</x:v>
      </x:c>
      <x:c r="K17" s="9" t="s">
        <x:v>777</x:v>
      </x:c>
      <x:c r="L17" s="9" t="s">
        <x:v>66</x:v>
      </x:c>
      <x:c r="M17" s="9" t="s">
        <x:v>499</x:v>
      </x:c>
      <x:c r="N17" s="8" t="s">
        <x:v>778</x:v>
      </x:c>
      <x:c r="O17" s="9" t="s">
        <x:v>779</x:v>
      </x:c>
      <x:c r="P17" s="8" t="s">
        <x:v>780</x:v>
      </x:c>
      <x:c r="Q17" s="8" t="s">
        <x:v>781</x:v>
      </x:c>
      <x:c r="R17" s="8" t="s">
        <x:v>782</x:v>
      </x:c>
      <x:c r="S17" s="8" t="s">
        <x:v>783</x:v>
      </x:c>
      <x:c r="T17" s="8"/>
      <x:c r="U17" s="9" t="s">
        <x:v>72</x:v>
      </x:c>
      <x:c r="V17" s="9" t="s">
        <x:v>70</x:v>
      </x:c>
      <x:c r="W17" s="9" t="s">
        <x:v>71</x:v>
      </x:c>
      <x:c r="X17" s="9" t="s">
        <x:v>73</x:v>
      </x:c>
      <x:c r="Y17" s="9" t="s">
        <x:v>74</x:v>
      </x:c>
      <x:c r="Z17" s="9" t="s">
        <x:v>75</x:v>
      </x:c>
    </x:row>
    <x:row r="18" ht="48" hidden="0" customHeight="1">
      <x:c r="A18" s="9" t="s">
        <x:v>164</x:v>
      </x:c>
      <x:c r="B18" s="9" t="s">
        <x:v>773</x:v>
      </x:c>
      <x:c r="C18" s="9" t="s">
        <x:v>774</x:v>
      </x:c>
      <x:c r="D18" s="9" t="s">
        <x:v>41</x:v>
      </x:c>
      <x:c r="E18" s="9" t="s">
        <x:v>798</x:v>
      </x:c>
      <x:c r="F18" s="9" t="s">
        <x:v>494</x:v>
      </x:c>
      <x:c r="G18" s="9" t="s">
        <x:v>65</x:v>
      </x:c>
      <x:c r="H18" s="9" t="s">
        <x:v>495</x:v>
      </x:c>
      <x:c r="I18" s="9" t="s">
        <x:v>496</x:v>
      </x:c>
      <x:c r="J18" s="9" t="s">
        <x:v>776</x:v>
      </x:c>
      <x:c r="K18" s="9" t="s">
        <x:v>777</x:v>
      </x:c>
      <x:c r="L18" s="9" t="s">
        <x:v>66</x:v>
      </x:c>
      <x:c r="M18" s="9" t="s">
        <x:v>499</x:v>
      </x:c>
      <x:c r="N18" s="8" t="s">
        <x:v>778</x:v>
      </x:c>
      <x:c r="O18" s="9" t="s">
        <x:v>779</x:v>
      </x:c>
      <x:c r="P18" s="8" t="s">
        <x:v>780</x:v>
      </x:c>
      <x:c r="Q18" s="8" t="s">
        <x:v>781</x:v>
      </x:c>
      <x:c r="R18" s="8" t="s">
        <x:v>782</x:v>
      </x:c>
      <x:c r="S18" s="8" t="s">
        <x:v>783</x:v>
      </x:c>
      <x:c r="T18" s="8"/>
      <x:c r="U18" s="9" t="s">
        <x:v>72</x:v>
      </x:c>
      <x:c r="V18" s="9" t="s">
        <x:v>165</x:v>
      </x:c>
      <x:c r="W18" s="9" t="s">
        <x:v>166</x:v>
      </x:c>
      <x:c r="X18" s="9" t="s">
        <x:v>73</x:v>
      </x:c>
      <x:c r="Y18" s="9" t="s">
        <x:v>74</x:v>
      </x:c>
      <x:c r="Z18" s="9" t="s">
        <x:v>75</x:v>
      </x:c>
    </x:row>
    <x:row r="19" ht="48" hidden="0" customHeight="1">
      <x:c r="A19" s="9" t="s">
        <x:v>191</x:v>
      </x:c>
      <x:c r="B19" s="9" t="s">
        <x:v>773</x:v>
      </x:c>
      <x:c r="C19" s="9" t="s">
        <x:v>774</x:v>
      </x:c>
      <x:c r="D19" s="9" t="s">
        <x:v>41</x:v>
      </x:c>
      <x:c r="E19" s="9" t="s">
        <x:v>799</x:v>
      </x:c>
      <x:c r="F19" s="9" t="s">
        <x:v>494</x:v>
      </x:c>
      <x:c r="G19" s="9" t="s">
        <x:v>65</x:v>
      </x:c>
      <x:c r="H19" s="9" t="s">
        <x:v>495</x:v>
      </x:c>
      <x:c r="I19" s="9" t="s">
        <x:v>516</x:v>
      </x:c>
      <x:c r="J19" s="9" t="s">
        <x:v>776</x:v>
      </x:c>
      <x:c r="K19" s="9" t="s">
        <x:v>777</x:v>
      </x:c>
      <x:c r="L19" s="9" t="s">
        <x:v>66</x:v>
      </x:c>
      <x:c r="M19" s="9" t="s">
        <x:v>499</x:v>
      </x:c>
      <x:c r="N19" s="8" t="s">
        <x:v>778</x:v>
      </x:c>
      <x:c r="O19" s="9" t="s">
        <x:v>779</x:v>
      </x:c>
      <x:c r="P19" s="8" t="s">
        <x:v>780</x:v>
      </x:c>
      <x:c r="Q19" s="8" t="s">
        <x:v>781</x:v>
      </x:c>
      <x:c r="R19" s="8" t="s">
        <x:v>782</x:v>
      </x:c>
      <x:c r="S19" s="8" t="s">
        <x:v>783</x:v>
      </x:c>
      <x:c r="T19" s="8"/>
      <x:c r="U19" s="9" t="s">
        <x:v>72</x:v>
      </x:c>
      <x:c r="V19" s="9" t="s">
        <x:v>192</x:v>
      </x:c>
      <x:c r="W19" s="9" t="s">
        <x:v>193</x:v>
      </x:c>
      <x:c r="X19" s="9" t="s">
        <x:v>73</x:v>
      </x:c>
      <x:c r="Y19" s="9" t="s">
        <x:v>74</x:v>
      </x:c>
      <x:c r="Z19" s="9" t="s">
        <x:v>194</x:v>
      </x:c>
    </x:row>
    <x:row r="20" ht="48" hidden="0" customHeight="1">
      <x:c r="A20" s="9" t="s">
        <x:v>198</x:v>
      </x:c>
      <x:c r="B20" s="9" t="s">
        <x:v>773</x:v>
      </x:c>
      <x:c r="C20" s="9" t="s">
        <x:v>774</x:v>
      </x:c>
      <x:c r="D20" s="9" t="s">
        <x:v>41</x:v>
      </x:c>
      <x:c r="E20" s="9" t="s">
        <x:v>800</x:v>
      </x:c>
      <x:c r="F20" s="9" t="s">
        <x:v>494</x:v>
      </x:c>
      <x:c r="G20" s="9" t="s">
        <x:v>65</x:v>
      </x:c>
      <x:c r="H20" s="9" t="s">
        <x:v>495</x:v>
      </x:c>
      <x:c r="I20" s="9" t="s">
        <x:v>516</x:v>
      </x:c>
      <x:c r="J20" s="9" t="s">
        <x:v>776</x:v>
      </x:c>
      <x:c r="K20" s="9" t="s">
        <x:v>777</x:v>
      </x:c>
      <x:c r="L20" s="9" t="s">
        <x:v>66</x:v>
      </x:c>
      <x:c r="M20" s="9" t="s">
        <x:v>499</x:v>
      </x:c>
      <x:c r="N20" s="8" t="s">
        <x:v>778</x:v>
      </x:c>
      <x:c r="O20" s="9" t="s">
        <x:v>779</x:v>
      </x:c>
      <x:c r="P20" s="8" t="s">
        <x:v>780</x:v>
      </x:c>
      <x:c r="Q20" s="8" t="s">
        <x:v>781</x:v>
      </x:c>
      <x:c r="R20" s="8" t="s">
        <x:v>782</x:v>
      </x:c>
      <x:c r="S20" s="8" t="s">
        <x:v>783</x:v>
      </x:c>
      <x:c r="T20" s="8"/>
      <x:c r="U20" s="9" t="s">
        <x:v>72</x:v>
      </x:c>
      <x:c r="V20" s="9" t="s">
        <x:v>199</x:v>
      </x:c>
      <x:c r="W20" s="9" t="s">
        <x:v>200</x:v>
      </x:c>
      <x:c r="X20" s="9" t="s">
        <x:v>73</x:v>
      </x:c>
      <x:c r="Y20" s="9" t="s">
        <x:v>74</x:v>
      </x:c>
      <x:c r="Z20" s="9" t="s">
        <x:v>201</x:v>
      </x:c>
    </x:row>
    <x:row r="21" ht="48" hidden="0" customHeight="1">
      <x:c r="A21" s="9" t="s">
        <x:v>205</x:v>
      </x:c>
      <x:c r="B21" s="9" t="s">
        <x:v>773</x:v>
      </x:c>
      <x:c r="C21" s="9" t="s">
        <x:v>774</x:v>
      </x:c>
      <x:c r="D21" s="9" t="s">
        <x:v>41</x:v>
      </x:c>
      <x:c r="E21" s="9" t="s">
        <x:v>801</x:v>
      </x:c>
      <x:c r="F21" s="9" t="s">
        <x:v>494</x:v>
      </x:c>
      <x:c r="G21" s="9" t="s">
        <x:v>65</x:v>
      </x:c>
      <x:c r="H21" s="9" t="s">
        <x:v>495</x:v>
      </x:c>
      <x:c r="I21" s="9" t="s">
        <x:v>516</x:v>
      </x:c>
      <x:c r="J21" s="9" t="s">
        <x:v>776</x:v>
      </x:c>
      <x:c r="K21" s="9" t="s">
        <x:v>777</x:v>
      </x:c>
      <x:c r="L21" s="9" t="s">
        <x:v>66</x:v>
      </x:c>
      <x:c r="M21" s="9" t="s">
        <x:v>499</x:v>
      </x:c>
      <x:c r="N21" s="8" t="s">
        <x:v>778</x:v>
      </x:c>
      <x:c r="O21" s="9" t="s">
        <x:v>779</x:v>
      </x:c>
      <x:c r="P21" s="8" t="s">
        <x:v>780</x:v>
      </x:c>
      <x:c r="Q21" s="8" t="s">
        <x:v>781</x:v>
      </x:c>
      <x:c r="R21" s="8" t="s">
        <x:v>782</x:v>
      </x:c>
      <x:c r="S21" s="8" t="s">
        <x:v>783</x:v>
      </x:c>
      <x:c r="T21" s="8"/>
      <x:c r="U21" s="9" t="s">
        <x:v>72</x:v>
      </x:c>
      <x:c r="V21" s="9" t="s">
        <x:v>206</x:v>
      </x:c>
      <x:c r="W21" s="9" t="s">
        <x:v>207</x:v>
      </x:c>
      <x:c r="X21" s="9" t="s">
        <x:v>73</x:v>
      </x:c>
      <x:c r="Y21" s="9" t="s">
        <x:v>74</x:v>
      </x:c>
      <x:c r="Z21" s="9" t="s">
        <x:v>201</x:v>
      </x:c>
    </x:row>
    <x:row r="22" ht="48" hidden="0" customHeight="1">
      <x:c r="A22" s="9" t="s">
        <x:v>218</x:v>
      </x:c>
      <x:c r="B22" s="9" t="s">
        <x:v>773</x:v>
      </x:c>
      <x:c r="C22" s="9" t="s">
        <x:v>774</x:v>
      </x:c>
      <x:c r="D22" s="9" t="s">
        <x:v>41</x:v>
      </x:c>
      <x:c r="E22" s="9" t="s">
        <x:v>802</x:v>
      </x:c>
      <x:c r="F22" s="9" t="s">
        <x:v>494</x:v>
      </x:c>
      <x:c r="G22" s="9" t="s">
        <x:v>65</x:v>
      </x:c>
      <x:c r="H22" s="9" t="s">
        <x:v>495</x:v>
      </x:c>
      <x:c r="I22" s="9" t="s">
        <x:v>516</x:v>
      </x:c>
      <x:c r="J22" s="9" t="s">
        <x:v>776</x:v>
      </x:c>
      <x:c r="K22" s="9" t="s">
        <x:v>777</x:v>
      </x:c>
      <x:c r="L22" s="9" t="s">
        <x:v>66</x:v>
      </x:c>
      <x:c r="M22" s="9" t="s">
        <x:v>499</x:v>
      </x:c>
      <x:c r="N22" s="8" t="s">
        <x:v>778</x:v>
      </x:c>
      <x:c r="O22" s="9" t="s">
        <x:v>779</x:v>
      </x:c>
      <x:c r="P22" s="8" t="s">
        <x:v>780</x:v>
      </x:c>
      <x:c r="Q22" s="8" t="s">
        <x:v>781</x:v>
      </x:c>
      <x:c r="R22" s="8" t="s">
        <x:v>782</x:v>
      </x:c>
      <x:c r="S22" s="8" t="s">
        <x:v>783</x:v>
      </x:c>
      <x:c r="T22" s="8"/>
      <x:c r="U22" s="9" t="s">
        <x:v>72</x:v>
      </x:c>
      <x:c r="V22" s="9" t="s">
        <x:v>219</x:v>
      </x:c>
      <x:c r="W22" s="9" t="s">
        <x:v>220</x:v>
      </x:c>
      <x:c r="X22" s="9" t="s">
        <x:v>73</x:v>
      </x:c>
      <x:c r="Y22" s="9" t="s">
        <x:v>74</x:v>
      </x:c>
      <x:c r="Z22" s="9" t="s">
        <x:v>201</x:v>
      </x:c>
    </x:row>
    <x:row r="23" ht="48" hidden="0" customHeight="1">
      <x:c r="A23" s="9" t="s">
        <x:v>224</x:v>
      </x:c>
      <x:c r="B23" s="9" t="s">
        <x:v>773</x:v>
      </x:c>
      <x:c r="C23" s="9" t="s">
        <x:v>774</x:v>
      </x:c>
      <x:c r="D23" s="9" t="s">
        <x:v>41</x:v>
      </x:c>
      <x:c r="E23" s="9" t="s">
        <x:v>803</x:v>
      </x:c>
      <x:c r="F23" s="9" t="s">
        <x:v>494</x:v>
      </x:c>
      <x:c r="G23" s="9" t="s">
        <x:v>65</x:v>
      </x:c>
      <x:c r="H23" s="9" t="s">
        <x:v>495</x:v>
      </x:c>
      <x:c r="I23" s="9" t="s">
        <x:v>516</x:v>
      </x:c>
      <x:c r="J23" s="9" t="s">
        <x:v>776</x:v>
      </x:c>
      <x:c r="K23" s="9" t="s">
        <x:v>777</x:v>
      </x:c>
      <x:c r="L23" s="9" t="s">
        <x:v>66</x:v>
      </x:c>
      <x:c r="M23" s="9" t="s">
        <x:v>499</x:v>
      </x:c>
      <x:c r="N23" s="8" t="s">
        <x:v>778</x:v>
      </x:c>
      <x:c r="O23" s="9" t="s">
        <x:v>779</x:v>
      </x:c>
      <x:c r="P23" s="8" t="s">
        <x:v>780</x:v>
      </x:c>
      <x:c r="Q23" s="8" t="s">
        <x:v>781</x:v>
      </x:c>
      <x:c r="R23" s="8" t="s">
        <x:v>782</x:v>
      </x:c>
      <x:c r="S23" s="8" t="s">
        <x:v>783</x:v>
      </x:c>
      <x:c r="T23" s="8"/>
      <x:c r="U23" s="9" t="s">
        <x:v>72</x:v>
      </x:c>
      <x:c r="V23" s="9" t="s">
        <x:v>225</x:v>
      </x:c>
      <x:c r="W23" s="9" t="s">
        <x:v>226</x:v>
      </x:c>
      <x:c r="X23" s="9" t="s">
        <x:v>73</x:v>
      </x:c>
      <x:c r="Y23" s="9" t="s">
        <x:v>74</x:v>
      </x:c>
      <x:c r="Z23" s="9" t="s">
        <x:v>201</x:v>
      </x:c>
    </x:row>
    <x:row r="24" ht="48" hidden="0" customHeight="1">
      <x:c r="A24" s="9" t="s">
        <x:v>211</x:v>
      </x:c>
      <x:c r="B24" s="9" t="s">
        <x:v>773</x:v>
      </x:c>
      <x:c r="C24" s="9" t="s">
        <x:v>774</x:v>
      </x:c>
      <x:c r="D24" s="9" t="s">
        <x:v>41</x:v>
      </x:c>
      <x:c r="E24" s="9" t="s">
        <x:v>804</x:v>
      </x:c>
      <x:c r="F24" s="9" t="s">
        <x:v>494</x:v>
      </x:c>
      <x:c r="G24" s="9" t="s">
        <x:v>65</x:v>
      </x:c>
      <x:c r="H24" s="9" t="s">
        <x:v>495</x:v>
      </x:c>
      <x:c r="I24" s="9" t="s">
        <x:v>516</x:v>
      </x:c>
      <x:c r="J24" s="9" t="s">
        <x:v>776</x:v>
      </x:c>
      <x:c r="K24" s="9" t="s">
        <x:v>777</x:v>
      </x:c>
      <x:c r="L24" s="9" t="s">
        <x:v>66</x:v>
      </x:c>
      <x:c r="M24" s="9" t="s">
        <x:v>499</x:v>
      </x:c>
      <x:c r="N24" s="8" t="s">
        <x:v>778</x:v>
      </x:c>
      <x:c r="O24" s="9" t="s">
        <x:v>779</x:v>
      </x:c>
      <x:c r="P24" s="8" t="s">
        <x:v>780</x:v>
      </x:c>
      <x:c r="Q24" s="8" t="s">
        <x:v>781</x:v>
      </x:c>
      <x:c r="R24" s="8" t="s">
        <x:v>782</x:v>
      </x:c>
      <x:c r="S24" s="8" t="s">
        <x:v>783</x:v>
      </x:c>
      <x:c r="T24" s="8"/>
      <x:c r="U24" s="9" t="s">
        <x:v>72</x:v>
      </x:c>
      <x:c r="V24" s="9" t="s">
        <x:v>212</x:v>
      </x:c>
      <x:c r="W24" s="9" t="s">
        <x:v>213</x:v>
      </x:c>
      <x:c r="X24" s="9" t="s">
        <x:v>73</x:v>
      </x:c>
      <x:c r="Y24" s="9" t="s">
        <x:v>74</x:v>
      </x:c>
      <x:c r="Z24" s="9" t="s">
        <x:v>201</x:v>
      </x:c>
    </x:row>
    <x:row r="25" ht="48" hidden="0" customHeight="1">
      <x:c r="A25" s="9" t="s">
        <x:v>231</x:v>
      </x:c>
      <x:c r="B25" s="9" t="s">
        <x:v>773</x:v>
      </x:c>
      <x:c r="C25" s="9" t="s">
        <x:v>774</x:v>
      </x:c>
      <x:c r="D25" s="9" t="s">
        <x:v>41</x:v>
      </x:c>
      <x:c r="E25" s="9" t="s">
        <x:v>805</x:v>
      </x:c>
      <x:c r="F25" s="9" t="s">
        <x:v>494</x:v>
      </x:c>
      <x:c r="G25" s="9" t="s">
        <x:v>65</x:v>
      </x:c>
      <x:c r="H25" s="9" t="s">
        <x:v>495</x:v>
      </x:c>
      <x:c r="I25" s="9" t="s">
        <x:v>516</x:v>
      </x:c>
      <x:c r="J25" s="9" t="s">
        <x:v>776</x:v>
      </x:c>
      <x:c r="K25" s="9" t="s">
        <x:v>777</x:v>
      </x:c>
      <x:c r="L25" s="9" t="s">
        <x:v>66</x:v>
      </x:c>
      <x:c r="M25" s="9" t="s">
        <x:v>499</x:v>
      </x:c>
      <x:c r="N25" s="8" t="s">
        <x:v>778</x:v>
      </x:c>
      <x:c r="O25" s="9" t="s">
        <x:v>779</x:v>
      </x:c>
      <x:c r="P25" s="8" t="s">
        <x:v>780</x:v>
      </x:c>
      <x:c r="Q25" s="8" t="s">
        <x:v>781</x:v>
      </x:c>
      <x:c r="R25" s="8" t="s">
        <x:v>782</x:v>
      </x:c>
      <x:c r="S25" s="8" t="s">
        <x:v>783</x:v>
      </x:c>
      <x:c r="T25" s="8"/>
      <x:c r="U25" s="9" t="s">
        <x:v>72</x:v>
      </x:c>
      <x:c r="V25" s="9" t="s">
        <x:v>232</x:v>
      </x:c>
      <x:c r="W25" s="9" t="s">
        <x:v>233</x:v>
      </x:c>
      <x:c r="X25" s="9" t="s">
        <x:v>73</x:v>
      </x:c>
      <x:c r="Y25" s="9" t="s">
        <x:v>74</x:v>
      </x:c>
      <x:c r="Z25" s="9" t="s">
        <x:v>201</x:v>
      </x:c>
    </x:row>
    <x:row r="26" ht="48" hidden="0" customHeight="1">
      <x:c r="A26" s="9" t="s">
        <x:v>237</x:v>
      </x:c>
      <x:c r="B26" s="9" t="s">
        <x:v>773</x:v>
      </x:c>
      <x:c r="C26" s="9" t="s">
        <x:v>774</x:v>
      </x:c>
      <x:c r="D26" s="9" t="s">
        <x:v>41</x:v>
      </x:c>
      <x:c r="E26" s="9" t="s">
        <x:v>806</x:v>
      </x:c>
      <x:c r="F26" s="9" t="s">
        <x:v>494</x:v>
      </x:c>
      <x:c r="G26" s="9" t="s">
        <x:v>65</x:v>
      </x:c>
      <x:c r="H26" s="9" t="s">
        <x:v>495</x:v>
      </x:c>
      <x:c r="I26" s="9" t="s">
        <x:v>516</x:v>
      </x:c>
      <x:c r="J26" s="9" t="s">
        <x:v>776</x:v>
      </x:c>
      <x:c r="K26" s="9" t="s">
        <x:v>777</x:v>
      </x:c>
      <x:c r="L26" s="9" t="s">
        <x:v>66</x:v>
      </x:c>
      <x:c r="M26" s="9" t="s">
        <x:v>499</x:v>
      </x:c>
      <x:c r="N26" s="8" t="s">
        <x:v>778</x:v>
      </x:c>
      <x:c r="O26" s="9" t="s">
        <x:v>779</x:v>
      </x:c>
      <x:c r="P26" s="8" t="s">
        <x:v>780</x:v>
      </x:c>
      <x:c r="Q26" s="8" t="s">
        <x:v>781</x:v>
      </x:c>
      <x:c r="R26" s="8" t="s">
        <x:v>782</x:v>
      </x:c>
      <x:c r="S26" s="8" t="s">
        <x:v>783</x:v>
      </x:c>
      <x:c r="T26" s="8"/>
      <x:c r="U26" s="9" t="s">
        <x:v>72</x:v>
      </x:c>
      <x:c r="V26" s="9" t="s">
        <x:v>238</x:v>
      </x:c>
      <x:c r="W26" s="9" t="s">
        <x:v>239</x:v>
      </x:c>
      <x:c r="X26" s="9" t="s">
        <x:v>73</x:v>
      </x:c>
      <x:c r="Y26" s="9" t="s">
        <x:v>74</x:v>
      </x:c>
      <x:c r="Z26" s="9" t="s">
        <x:v>240</x:v>
      </x:c>
    </x:row>
    <x:row r="27" ht="48" hidden="0" customHeight="1">
      <x:c r="A27" s="9" t="s">
        <x:v>244</x:v>
      </x:c>
      <x:c r="B27" s="9" t="s">
        <x:v>773</x:v>
      </x:c>
      <x:c r="C27" s="9" t="s">
        <x:v>774</x:v>
      </x:c>
      <x:c r="D27" s="9" t="s">
        <x:v>41</x:v>
      </x:c>
      <x:c r="E27" s="9" t="s">
        <x:v>807</x:v>
      </x:c>
      <x:c r="F27" s="9" t="s">
        <x:v>494</x:v>
      </x:c>
      <x:c r="G27" s="9" t="s">
        <x:v>65</x:v>
      </x:c>
      <x:c r="H27" s="9" t="s">
        <x:v>495</x:v>
      </x:c>
      <x:c r="I27" s="9" t="s">
        <x:v>516</x:v>
      </x:c>
      <x:c r="J27" s="9" t="s">
        <x:v>776</x:v>
      </x:c>
      <x:c r="K27" s="9" t="s">
        <x:v>777</x:v>
      </x:c>
      <x:c r="L27" s="9" t="s">
        <x:v>66</x:v>
      </x:c>
      <x:c r="M27" s="9" t="s">
        <x:v>499</x:v>
      </x:c>
      <x:c r="N27" s="8" t="s">
        <x:v>778</x:v>
      </x:c>
      <x:c r="O27" s="9" t="s">
        <x:v>779</x:v>
      </x:c>
      <x:c r="P27" s="8" t="s">
        <x:v>780</x:v>
      </x:c>
      <x:c r="Q27" s="8" t="s">
        <x:v>781</x:v>
      </x:c>
      <x:c r="R27" s="8" t="s">
        <x:v>782</x:v>
      </x:c>
      <x:c r="S27" s="8" t="s">
        <x:v>783</x:v>
      </x:c>
      <x:c r="T27" s="8"/>
      <x:c r="U27" s="9" t="s">
        <x:v>72</x:v>
      </x:c>
      <x:c r="V27" s="9" t="s">
        <x:v>245</x:v>
      </x:c>
      <x:c r="W27" s="9" t="s">
        <x:v>246</x:v>
      </x:c>
      <x:c r="X27" s="9" t="s">
        <x:v>73</x:v>
      </x:c>
      <x:c r="Y27" s="9" t="s">
        <x:v>74</x:v>
      </x:c>
      <x:c r="Z27" s="9" t="s">
        <x:v>201</x:v>
      </x:c>
    </x:row>
    <x:row r="28" ht="48" hidden="0" customHeight="1">
      <x:c r="A28" s="9" t="s">
        <x:v>250</x:v>
      </x:c>
      <x:c r="B28" s="9" t="s">
        <x:v>773</x:v>
      </x:c>
      <x:c r="C28" s="9" t="s">
        <x:v>774</x:v>
      </x:c>
      <x:c r="D28" s="9" t="s">
        <x:v>41</x:v>
      </x:c>
      <x:c r="E28" s="9" t="s">
        <x:v>808</x:v>
      </x:c>
      <x:c r="F28" s="9" t="s">
        <x:v>494</x:v>
      </x:c>
      <x:c r="G28" s="9" t="s">
        <x:v>65</x:v>
      </x:c>
      <x:c r="H28" s="9" t="s">
        <x:v>495</x:v>
      </x:c>
      <x:c r="I28" s="9" t="s">
        <x:v>516</x:v>
      </x:c>
      <x:c r="J28" s="9" t="s">
        <x:v>776</x:v>
      </x:c>
      <x:c r="K28" s="9" t="s">
        <x:v>777</x:v>
      </x:c>
      <x:c r="L28" s="9" t="s">
        <x:v>66</x:v>
      </x:c>
      <x:c r="M28" s="9" t="s">
        <x:v>499</x:v>
      </x:c>
      <x:c r="N28" s="8" t="s">
        <x:v>778</x:v>
      </x:c>
      <x:c r="O28" s="9" t="s">
        <x:v>779</x:v>
      </x:c>
      <x:c r="P28" s="8" t="s">
        <x:v>780</x:v>
      </x:c>
      <x:c r="Q28" s="8" t="s">
        <x:v>781</x:v>
      </x:c>
      <x:c r="R28" s="8" t="s">
        <x:v>782</x:v>
      </x:c>
      <x:c r="S28" s="8" t="s">
        <x:v>783</x:v>
      </x:c>
      <x:c r="T28" s="8"/>
      <x:c r="U28" s="9" t="s">
        <x:v>72</x:v>
      </x:c>
      <x:c r="V28" s="9" t="s">
        <x:v>251</x:v>
      </x:c>
      <x:c r="W28" s="9" t="s">
        <x:v>252</x:v>
      </x:c>
      <x:c r="X28" s="9" t="s">
        <x:v>73</x:v>
      </x:c>
      <x:c r="Y28" s="9" t="s">
        <x:v>74</x:v>
      </x:c>
      <x:c r="Z28" s="9" t="s">
        <x:v>240</x:v>
      </x:c>
    </x:row>
    <x:row r="29" ht="48" hidden="0" customHeight="1">
      <x:c r="A29" s="9" t="s">
        <x:v>256</x:v>
      </x:c>
      <x:c r="B29" s="9" t="s">
        <x:v>773</x:v>
      </x:c>
      <x:c r="C29" s="9" t="s">
        <x:v>774</x:v>
      </x:c>
      <x:c r="D29" s="9" t="s">
        <x:v>41</x:v>
      </x:c>
      <x:c r="E29" s="9" t="s">
        <x:v>809</x:v>
      </x:c>
      <x:c r="F29" s="9" t="s">
        <x:v>494</x:v>
      </x:c>
      <x:c r="G29" s="9" t="s">
        <x:v>65</x:v>
      </x:c>
      <x:c r="H29" s="9" t="s">
        <x:v>495</x:v>
      </x:c>
      <x:c r="I29" s="9" t="s">
        <x:v>516</x:v>
      </x:c>
      <x:c r="J29" s="9" t="s">
        <x:v>776</x:v>
      </x:c>
      <x:c r="K29" s="9" t="s">
        <x:v>777</x:v>
      </x:c>
      <x:c r="L29" s="9" t="s">
        <x:v>66</x:v>
      </x:c>
      <x:c r="M29" s="9" t="s">
        <x:v>499</x:v>
      </x:c>
      <x:c r="N29" s="8" t="s">
        <x:v>778</x:v>
      </x:c>
      <x:c r="O29" s="9" t="s">
        <x:v>779</x:v>
      </x:c>
      <x:c r="P29" s="8" t="s">
        <x:v>780</x:v>
      </x:c>
      <x:c r="Q29" s="8" t="s">
        <x:v>781</x:v>
      </x:c>
      <x:c r="R29" s="8" t="s">
        <x:v>782</x:v>
      </x:c>
      <x:c r="S29" s="8" t="s">
        <x:v>783</x:v>
      </x:c>
      <x:c r="T29" s="8"/>
      <x:c r="U29" s="9" t="s">
        <x:v>72</x:v>
      </x:c>
      <x:c r="V29" s="9" t="s">
        <x:v>257</x:v>
      </x:c>
      <x:c r="W29" s="9" t="s">
        <x:v>258</x:v>
      </x:c>
      <x:c r="X29" s="9" t="s">
        <x:v>73</x:v>
      </x:c>
      <x:c r="Y29" s="9" t="s">
        <x:v>74</x:v>
      </x:c>
      <x:c r="Z29" s="9" t="s">
        <x:v>240</x:v>
      </x:c>
    </x:row>
    <x:row r="30" ht="48" hidden="0" customHeight="1">
      <x:c r="A30" s="9" t="s">
        <x:v>306</x:v>
      </x:c>
      <x:c r="B30" s="9" t="s">
        <x:v>773</x:v>
      </x:c>
      <x:c r="C30" s="9" t="s">
        <x:v>774</x:v>
      </x:c>
      <x:c r="D30" s="9" t="s">
        <x:v>41</x:v>
      </x:c>
      <x:c r="E30" s="9" t="s">
        <x:v>810</x:v>
      </x:c>
      <x:c r="F30" s="9" t="s">
        <x:v>494</x:v>
      </x:c>
      <x:c r="G30" s="9" t="s">
        <x:v>65</x:v>
      </x:c>
      <x:c r="H30" s="9" t="s">
        <x:v>495</x:v>
      </x:c>
      <x:c r="I30" s="9" t="s">
        <x:v>496</x:v>
      </x:c>
      <x:c r="J30" s="9" t="s">
        <x:v>776</x:v>
      </x:c>
      <x:c r="K30" s="9" t="s">
        <x:v>777</x:v>
      </x:c>
      <x:c r="L30" s="9" t="s">
        <x:v>66</x:v>
      </x:c>
      <x:c r="M30" s="9" t="s">
        <x:v>499</x:v>
      </x:c>
      <x:c r="N30" s="8" t="s">
        <x:v>778</x:v>
      </x:c>
      <x:c r="O30" s="9" t="s">
        <x:v>779</x:v>
      </x:c>
      <x:c r="P30" s="8" t="s">
        <x:v>780</x:v>
      </x:c>
      <x:c r="Q30" s="8" t="s">
        <x:v>781</x:v>
      </x:c>
      <x:c r="R30" s="8" t="s">
        <x:v>782</x:v>
      </x:c>
      <x:c r="S30" s="8" t="s">
        <x:v>783</x:v>
      </x:c>
      <x:c r="T30" s="8"/>
      <x:c r="U30" s="9" t="s">
        <x:v>72</x:v>
      </x:c>
      <x:c r="V30" s="9" t="s">
        <x:v>307</x:v>
      </x:c>
      <x:c r="W30" s="9" t="s">
        <x:v>308</x:v>
      </x:c>
      <x:c r="X30" s="9" t="s">
        <x:v>73</x:v>
      </x:c>
      <x:c r="Y30" s="9" t="s">
        <x:v>74</x:v>
      </x:c>
      <x:c r="Z30" s="9" t="s">
        <x:v>201</x:v>
      </x:c>
    </x:row>
    <x:row r="31" ht="48" hidden="0" customHeight="1">
      <x:c r="A31" s="9" t="s">
        <x:v>329</x:v>
      </x:c>
      <x:c r="B31" s="9" t="s">
        <x:v>773</x:v>
      </x:c>
      <x:c r="C31" s="9" t="s">
        <x:v>774</x:v>
      </x:c>
      <x:c r="D31" s="9" t="s">
        <x:v>41</x:v>
      </x:c>
      <x:c r="E31" s="9" t="s">
        <x:v>811</x:v>
      </x:c>
      <x:c r="F31" s="9" t="s">
        <x:v>494</x:v>
      </x:c>
      <x:c r="G31" s="9" t="s">
        <x:v>88</x:v>
      </x:c>
      <x:c r="H31" s="9" t="s">
        <x:v>495</x:v>
      </x:c>
      <x:c r="I31" s="9" t="s">
        <x:v>505</x:v>
      </x:c>
      <x:c r="J31" s="9" t="s">
        <x:v>776</x:v>
      </x:c>
      <x:c r="K31" s="9" t="s">
        <x:v>777</x:v>
      </x:c>
      <x:c r="L31" s="9" t="s">
        <x:v>89</x:v>
      </x:c>
      <x:c r="M31" s="9" t="s">
        <x:v>511</x:v>
      </x:c>
      <x:c r="N31" s="8" t="s">
        <x:v>778</x:v>
      </x:c>
      <x:c r="O31" s="9" t="s">
        <x:v>786</x:v>
      </x:c>
      <x:c r="P31" s="8" t="s">
        <x:v>780</x:v>
      </x:c>
      <x:c r="Q31" s="8" t="s">
        <x:v>781</x:v>
      </x:c>
      <x:c r="R31" s="8" t="s">
        <x:v>782</x:v>
      </x:c>
      <x:c r="S31" s="8" t="s">
        <x:v>783</x:v>
      </x:c>
      <x:c r="T31" s="8"/>
      <x:c r="U31" s="9" t="s">
        <x:v>72</x:v>
      </x:c>
      <x:c r="V31" s="9" t="s">
        <x:v>330</x:v>
      </x:c>
      <x:c r="W31" s="9" t="s">
        <x:v>331</x:v>
      </x:c>
      <x:c r="X31" s="9" t="s">
        <x:v>73</x:v>
      </x:c>
      <x:c r="Y31" s="9" t="s">
        <x:v>74</x:v>
      </x:c>
      <x:c r="Z31" s="9" t="s">
        <x:v>140</x:v>
      </x:c>
    </x:row>
    <x:row r="32" ht="48" hidden="0" customHeight="1">
      <x:c r="A32" s="9" t="s">
        <x:v>334</x:v>
      </x:c>
      <x:c r="B32" s="9" t="s">
        <x:v>773</x:v>
      </x:c>
      <x:c r="C32" s="9" t="s">
        <x:v>774</x:v>
      </x:c>
      <x:c r="D32" s="9" t="s">
        <x:v>41</x:v>
      </x:c>
      <x:c r="E32" s="9" t="s">
        <x:v>812</x:v>
      </x:c>
      <x:c r="F32" s="9" t="s">
        <x:v>494</x:v>
      </x:c>
      <x:c r="G32" s="9" t="s">
        <x:v>98</x:v>
      </x:c>
      <x:c r="H32" s="9" t="s">
        <x:v>495</x:v>
      </x:c>
      <x:c r="I32" s="9" t="s">
        <x:v>505</x:v>
      </x:c>
      <x:c r="J32" s="9" t="s">
        <x:v>776</x:v>
      </x:c>
      <x:c r="K32" s="9" t="s">
        <x:v>777</x:v>
      </x:c>
      <x:c r="L32" s="9" t="s">
        <x:v>66</x:v>
      </x:c>
      <x:c r="M32" s="9" t="s">
        <x:v>499</x:v>
      </x:c>
      <x:c r="N32" s="8" t="s">
        <x:v>778</x:v>
      </x:c>
      <x:c r="O32" s="9" t="s">
        <x:v>779</x:v>
      </x:c>
      <x:c r="P32" s="8" t="s">
        <x:v>780</x:v>
      </x:c>
      <x:c r="Q32" s="8" t="s">
        <x:v>781</x:v>
      </x:c>
      <x:c r="R32" s="8" t="s">
        <x:v>782</x:v>
      </x:c>
      <x:c r="S32" s="8" t="s">
        <x:v>783</x:v>
      </x:c>
      <x:c r="T32" s="8"/>
      <x:c r="U32" s="9" t="s">
        <x:v>72</x:v>
      </x:c>
      <x:c r="V32" s="9" t="s">
        <x:v>335</x:v>
      </x:c>
      <x:c r="W32" s="9" t="s">
        <x:v>336</x:v>
      </x:c>
      <x:c r="X32" s="9" t="s">
        <x:v>73</x:v>
      </x:c>
      <x:c r="Y32" s="9" t="s">
        <x:v>74</x:v>
      </x:c>
      <x:c r="Z32" s="9" t="s">
        <x:v>103</x:v>
      </x:c>
    </x:row>
    <x:row r="33" ht="48" hidden="0" customHeight="1">
      <x:c r="A33" s="9" t="s">
        <x:v>339</x:v>
      </x:c>
      <x:c r="B33" s="9" t="s">
        <x:v>773</x:v>
      </x:c>
      <x:c r="C33" s="9" t="s">
        <x:v>774</x:v>
      </x:c>
      <x:c r="D33" s="9" t="s">
        <x:v>41</x:v>
      </x:c>
      <x:c r="E33" s="9" t="s">
        <x:v>813</x:v>
      </x:c>
      <x:c r="F33" s="9" t="s">
        <x:v>494</x:v>
      </x:c>
      <x:c r="G33" s="9" t="s">
        <x:v>98</x:v>
      </x:c>
      <x:c r="H33" s="9" t="s">
        <x:v>495</x:v>
      </x:c>
      <x:c r="I33" s="9" t="s">
        <x:v>534</x:v>
      </x:c>
      <x:c r="J33" s="9" t="s">
        <x:v>776</x:v>
      </x:c>
      <x:c r="K33" s="9" t="s">
        <x:v>777</x:v>
      </x:c>
      <x:c r="L33" s="9" t="s">
        <x:v>66</x:v>
      </x:c>
      <x:c r="M33" s="9" t="s">
        <x:v>499</x:v>
      </x:c>
      <x:c r="N33" s="8" t="s">
        <x:v>778</x:v>
      </x:c>
      <x:c r="O33" s="9" t="s">
        <x:v>779</x:v>
      </x:c>
      <x:c r="P33" s="8" t="s">
        <x:v>780</x:v>
      </x:c>
      <x:c r="Q33" s="8" t="s">
        <x:v>781</x:v>
      </x:c>
      <x:c r="R33" s="8" t="s">
        <x:v>782</x:v>
      </x:c>
      <x:c r="S33" s="8" t="s">
        <x:v>783</x:v>
      </x:c>
      <x:c r="T33" s="8"/>
      <x:c r="U33" s="9" t="s">
        <x:v>72</x:v>
      </x:c>
      <x:c r="V33" s="9" t="s">
        <x:v>340</x:v>
      </x:c>
      <x:c r="W33" s="9" t="s">
        <x:v>341</x:v>
      </x:c>
      <x:c r="X33" s="9" t="s">
        <x:v>73</x:v>
      </x:c>
      <x:c r="Y33" s="9" t="s">
        <x:v>74</x:v>
      </x:c>
      <x:c r="Z33" s="9" t="s">
        <x:v>75</x:v>
      </x:c>
    </x:row>
    <x:row r="34" ht="48" hidden="0" customHeight="1">
      <x:c r="A34" s="9" t="s">
        <x:v>344</x:v>
      </x:c>
      <x:c r="B34" s="9" t="s">
        <x:v>773</x:v>
      </x:c>
      <x:c r="C34" s="9" t="s">
        <x:v>774</x:v>
      </x:c>
      <x:c r="D34" s="9" t="s">
        <x:v>41</x:v>
      </x:c>
      <x:c r="E34" s="9" t="s">
        <x:v>814</x:v>
      </x:c>
      <x:c r="F34" s="9" t="s">
        <x:v>494</x:v>
      </x:c>
      <x:c r="G34" s="9" t="s">
        <x:v>98</x:v>
      </x:c>
      <x:c r="H34" s="9" t="s">
        <x:v>495</x:v>
      </x:c>
      <x:c r="I34" s="9" t="s">
        <x:v>534</x:v>
      </x:c>
      <x:c r="J34" s="9" t="s">
        <x:v>776</x:v>
      </x:c>
      <x:c r="K34" s="9" t="s">
        <x:v>777</x:v>
      </x:c>
      <x:c r="L34" s="9" t="s">
        <x:v>66</x:v>
      </x:c>
      <x:c r="M34" s="9" t="s">
        <x:v>499</x:v>
      </x:c>
      <x:c r="N34" s="8" t="str">
        <x:v>鉴权前后读取soc_dbg_en_out，并以实际Debug访问确认成功状态；结束时CLOSE_DEBUG恢复</x:v>
      </x:c>
      <x:c r="O34" s="9" t="str">
        <x:v>需soc_dbg_en_out地址/期望位、Debug访问方法和可恢复fixture</x:v>
      </x:c>
      <x:c r="P34" s="8" t="s">
        <x:v>780</x:v>
      </x:c>
      <x:c r="Q34" s="8" t="str">
        <x:v>原始成功、soc_dbg_en_out开放和实际Debug可访问同时满足；清理后同步关闭</x:v>
      </x:c>
      <x:c r="R34" s="8" t="str">
        <x:v>保存鉴权前后soc_dbg_en_out、实际Debug访问、原始返回和CLOSE_DEBUG清理证据</x:v>
      </x:c>
      <x:c r="S34" s="8" t="s">
        <x:v>783</x:v>
      </x:c>
      <x:c r="T34" s="8"/>
      <x:c r="U34" s="9" t="s">
        <x:v>72</x:v>
      </x:c>
      <x:c r="V34" s="9" t="s">
        <x:v>345</x:v>
      </x:c>
      <x:c r="W34" s="9" t="s">
        <x:v>346</x:v>
      </x:c>
      <x:c r="X34" s="9" t="s">
        <x:v>73</x:v>
      </x:c>
      <x:c r="Y34" s="9" t="s">
        <x:v>74</x:v>
      </x:c>
      <x:c r="Z34" s="9" t="s">
        <x:v>117</x:v>
      </x:c>
    </x:row>
    <x:row r="35" ht="48" hidden="0" customHeight="1">
      <x:c r="A35" s="9" t="s">
        <x:v>369</x:v>
      </x:c>
      <x:c r="B35" s="9" t="s">
        <x:v>773</x:v>
      </x:c>
      <x:c r="C35" s="9" t="s">
        <x:v>774</x:v>
      </x:c>
      <x:c r="D35" s="9" t="s">
        <x:v>41</x:v>
      </x:c>
      <x:c r="E35" s="9" t="s">
        <x:v>815</x:v>
      </x:c>
      <x:c r="F35" s="9" t="s">
        <x:v>494</x:v>
      </x:c>
      <x:c r="G35" s="9" t="s">
        <x:v>98</x:v>
      </x:c>
      <x:c r="H35" s="9" t="s">
        <x:v>495</x:v>
      </x:c>
      <x:c r="I35" s="9" t="s">
        <x:v>534</x:v>
      </x:c>
      <x:c r="J35" s="9" t="s">
        <x:v>776</x:v>
      </x:c>
      <x:c r="K35" s="9" t="s">
        <x:v>777</x:v>
      </x:c>
      <x:c r="L35" s="9" t="s">
        <x:v>66</x:v>
      </x:c>
      <x:c r="M35" s="9" t="s">
        <x:v>499</x:v>
      </x:c>
      <x:c r="N35" s="8" t="str">
        <x:v>执行CLOSE_DEBUG后读取soc_dbg_en_out并再次尝试实际Debug访问</x:v>
      </x:c>
      <x:c r="O35" s="9" t="str">
        <x:v>需soc_dbg_en_out和实际Debug通道观测方法</x:v>
      </x:c>
      <x:c r="P35" s="8" t="s">
        <x:v>780</x:v>
      </x:c>
      <x:c r="Q35" s="8" t="str">
        <x:v>命令成功、soc_dbg_en_out关闭且实际Debug拒绝同时满足</x:v>
      </x:c>
      <x:c r="R35" s="8" t="str">
        <x:v>保存关闭前后寄存器、实际访问、原始返回和健康查询证据</x:v>
      </x:c>
      <x:c r="S35" s="8" t="s">
        <x:v>783</x:v>
      </x:c>
      <x:c r="T35" s="8"/>
      <x:c r="U35" s="9" t="s">
        <x:v>72</x:v>
      </x:c>
      <x:c r="V35" s="9" t="s">
        <x:v>370</x:v>
      </x:c>
      <x:c r="W35" s="9" t="s">
        <x:v>371</x:v>
      </x:c>
      <x:c r="X35" s="9" t="s">
        <x:v>73</x:v>
      </x:c>
      <x:c r="Y35" s="9" t="s">
        <x:v>74</x:v>
      </x:c>
      <x:c r="Z35" s="9" t="s">
        <x:v>140</x:v>
      </x:c>
    </x:row>
    <x:row r="36" ht="48" hidden="0" customHeight="1">
      <x:c r="A36" s="9" t="s">
        <x:v>349</x:v>
      </x:c>
      <x:c r="B36" s="9" t="s">
        <x:v>773</x:v>
      </x:c>
      <x:c r="C36" s="9" t="s">
        <x:v>774</x:v>
      </x:c>
      <x:c r="D36" s="9" t="s">
        <x:v>41</x:v>
      </x:c>
      <x:c r="E36" s="9" t="s">
        <x:v>816</x:v>
      </x:c>
      <x:c r="F36" s="9" t="s">
        <x:v>494</x:v>
      </x:c>
      <x:c r="G36" s="9" t="s">
        <x:v>88</x:v>
      </x:c>
      <x:c r="H36" s="9" t="s">
        <x:v>495</x:v>
      </x:c>
      <x:c r="I36" s="9" t="s">
        <x:v>505</x:v>
      </x:c>
      <x:c r="J36" s="9" t="s">
        <x:v>776</x:v>
      </x:c>
      <x:c r="K36" s="9" t="s">
        <x:v>777</x:v>
      </x:c>
      <x:c r="L36" s="9" t="s">
        <x:v>89</x:v>
      </x:c>
      <x:c r="M36" s="9" t="s">
        <x:v>511</x:v>
      </x:c>
      <x:c r="N36" s="8" t="s">
        <x:v>778</x:v>
      </x:c>
      <x:c r="O36" s="9" t="s">
        <x:v>786</x:v>
      </x:c>
      <x:c r="P36" s="8" t="s">
        <x:v>780</x:v>
      </x:c>
      <x:c r="Q36" s="8" t="s">
        <x:v>781</x:v>
      </x:c>
      <x:c r="R36" s="8" t="s">
        <x:v>782</x:v>
      </x:c>
      <x:c r="S36" s="8" t="s">
        <x:v>783</x:v>
      </x:c>
      <x:c r="T36" s="8"/>
      <x:c r="U36" s="9" t="s">
        <x:v>72</x:v>
      </x:c>
      <x:c r="V36" s="9" t="s">
        <x:v>350</x:v>
      </x:c>
      <x:c r="W36" s="9" t="s">
        <x:v>351</x:v>
      </x:c>
      <x:c r="X36" s="9" t="s">
        <x:v>73</x:v>
      </x:c>
      <x:c r="Y36" s="9" t="s">
        <x:v>74</x:v>
      </x:c>
      <x:c r="Z36" s="9" t="s">
        <x:v>140</x:v>
      </x:c>
    </x:row>
    <x:row r="37" ht="48" hidden="0" customHeight="1">
      <x:c r="A37" s="9" t="s">
        <x:v>354</x:v>
      </x:c>
      <x:c r="B37" s="9" t="s">
        <x:v>773</x:v>
      </x:c>
      <x:c r="C37" s="9" t="s">
        <x:v>774</x:v>
      </x:c>
      <x:c r="D37" s="9" t="s">
        <x:v>41</x:v>
      </x:c>
      <x:c r="E37" s="9" t="s">
        <x:v>817</x:v>
      </x:c>
      <x:c r="F37" s="9" t="s">
        <x:v>494</x:v>
      </x:c>
      <x:c r="G37" s="9" t="s">
        <x:v>98</x:v>
      </x:c>
      <x:c r="H37" s="9" t="s">
        <x:v>495</x:v>
      </x:c>
      <x:c r="I37" s="9" t="s">
        <x:v>505</x:v>
      </x:c>
      <x:c r="J37" s="9" t="s">
        <x:v>776</x:v>
      </x:c>
      <x:c r="K37" s="9" t="s">
        <x:v>777</x:v>
      </x:c>
      <x:c r="L37" s="9" t="s">
        <x:v>66</x:v>
      </x:c>
      <x:c r="M37" s="9" t="s">
        <x:v>499</x:v>
      </x:c>
      <x:c r="N37" s="8" t="s">
        <x:v>778</x:v>
      </x:c>
      <x:c r="O37" s="9" t="s">
        <x:v>779</x:v>
      </x:c>
      <x:c r="P37" s="8" t="s">
        <x:v>780</x:v>
      </x:c>
      <x:c r="Q37" s="8" t="s">
        <x:v>781</x:v>
      </x:c>
      <x:c r="R37" s="8" t="s">
        <x:v>782</x:v>
      </x:c>
      <x:c r="S37" s="8" t="s">
        <x:v>783</x:v>
      </x:c>
      <x:c r="T37" s="8"/>
      <x:c r="U37" s="9" t="s">
        <x:v>72</x:v>
      </x:c>
      <x:c r="V37" s="9" t="s">
        <x:v>355</x:v>
      </x:c>
      <x:c r="W37" s="9" t="s">
        <x:v>356</x:v>
      </x:c>
      <x:c r="X37" s="9" t="s">
        <x:v>73</x:v>
      </x:c>
      <x:c r="Y37" s="9" t="s">
        <x:v>74</x:v>
      </x:c>
      <x:c r="Z37" s="9" t="s">
        <x:v>75</x:v>
      </x:c>
    </x:row>
    <x:row r="38" ht="48" hidden="0" customHeight="1">
      <x:c r="A38" s="9" t="s">
        <x:v>359</x:v>
      </x:c>
      <x:c r="B38" s="9" t="s">
        <x:v>773</x:v>
      </x:c>
      <x:c r="C38" s="9" t="s">
        <x:v>774</x:v>
      </x:c>
      <x:c r="D38" s="9" t="s">
        <x:v>41</x:v>
      </x:c>
      <x:c r="E38" s="9" t="s">
        <x:v>818</x:v>
      </x:c>
      <x:c r="F38" s="9" t="s">
        <x:v>494</x:v>
      </x:c>
      <x:c r="G38" s="9" t="s">
        <x:v>98</x:v>
      </x:c>
      <x:c r="H38" s="9" t="s">
        <x:v>495</x:v>
      </x:c>
      <x:c r="I38" s="9" t="s">
        <x:v>534</x:v>
      </x:c>
      <x:c r="J38" s="9" t="s">
        <x:v>776</x:v>
      </x:c>
      <x:c r="K38" s="9" t="s">
        <x:v>777</x:v>
      </x:c>
      <x:c r="L38" s="9" t="s">
        <x:v>66</x:v>
      </x:c>
      <x:c r="M38" s="9" t="s">
        <x:v>511</x:v>
      </x:c>
      <x:c r="N38" s="8" t="s">
        <x:v>778</x:v>
      </x:c>
      <x:c r="O38" s="9" t="s">
        <x:v>786</x:v>
      </x:c>
      <x:c r="P38" s="8" t="s">
        <x:v>780</x:v>
      </x:c>
      <x:c r="Q38" s="8" t="s">
        <x:v>781</x:v>
      </x:c>
      <x:c r="R38" s="8" t="s">
        <x:v>782</x:v>
      </x:c>
      <x:c r="S38" s="8" t="s">
        <x:v>783</x:v>
      </x:c>
      <x:c r="T38" s="8"/>
      <x:c r="U38" s="9" t="s">
        <x:v>72</x:v>
      </x:c>
      <x:c r="V38" s="9" t="s">
        <x:v>360</x:v>
      </x:c>
      <x:c r="W38" s="9" t="s">
        <x:v>361</x:v>
      </x:c>
      <x:c r="X38" s="9" t="s">
        <x:v>73</x:v>
      </x:c>
      <x:c r="Y38" s="9" t="s">
        <x:v>74</x:v>
      </x:c>
      <x:c r="Z38" s="9" t="s">
        <x:v>140</x:v>
      </x:c>
    </x:row>
    <x:row r="39" ht="48" hidden="0" customHeight="1">
      <x:c r="A39" s="9" t="s">
        <x:v>364</x:v>
      </x:c>
      <x:c r="B39" s="9" t="s">
        <x:v>773</x:v>
      </x:c>
      <x:c r="C39" s="9" t="s">
        <x:v>774</x:v>
      </x:c>
      <x:c r="D39" s="9" t="s">
        <x:v>41</x:v>
      </x:c>
      <x:c r="E39" s="9" t="s">
        <x:v>819</x:v>
      </x:c>
      <x:c r="F39" s="9" t="s">
        <x:v>494</x:v>
      </x:c>
      <x:c r="G39" s="9" t="s">
        <x:v>98</x:v>
      </x:c>
      <x:c r="H39" s="9" t="s">
        <x:v>495</x:v>
      </x:c>
      <x:c r="I39" s="9" t="s">
        <x:v>534</x:v>
      </x:c>
      <x:c r="J39" s="9" t="s">
        <x:v>776</x:v>
      </x:c>
      <x:c r="K39" s="9" t="s">
        <x:v>777</x:v>
      </x:c>
      <x:c r="L39" s="9" t="s">
        <x:v>66</x:v>
      </x:c>
      <x:c r="M39" s="9" t="s">
        <x:v>511</x:v>
      </x:c>
      <x:c r="N39" s="8" t="s">
        <x:v>778</x:v>
      </x:c>
      <x:c r="O39" s="9" t="s">
        <x:v>786</x:v>
      </x:c>
      <x:c r="P39" s="8" t="s">
        <x:v>780</x:v>
      </x:c>
      <x:c r="Q39" s="8" t="s">
        <x:v>781</x:v>
      </x:c>
      <x:c r="R39" s="8" t="s">
        <x:v>782</x:v>
      </x:c>
      <x:c r="S39" s="8" t="s">
        <x:v>783</x:v>
      </x:c>
      <x:c r="T39" s="8"/>
      <x:c r="U39" s="9" t="s">
        <x:v>72</x:v>
      </x:c>
      <x:c r="V39" s="9" t="s">
        <x:v>365</x:v>
      </x:c>
      <x:c r="W39" s="9" t="s">
        <x:v>366</x:v>
      </x:c>
      <x:c r="X39" s="9" t="s">
        <x:v>73</x:v>
      </x:c>
      <x:c r="Y39" s="9" t="s">
        <x:v>74</x:v>
      </x:c>
      <x:c r="Z39" s="9" t="s">
        <x:v>140</x:v>
      </x:c>
    </x:row>
    <x:row r="40" ht="48" hidden="0" customHeight="1">
      <x:c r="A40" s="9" t="s">
        <x:v>184</x:v>
      </x:c>
      <x:c r="B40" s="9" t="s">
        <x:v>773</x:v>
      </x:c>
      <x:c r="C40" s="9" t="s">
        <x:v>774</x:v>
      </x:c>
      <x:c r="D40" s="9" t="s">
        <x:v>41</x:v>
      </x:c>
      <x:c r="E40" s="9" t="s">
        <x:v>820</x:v>
      </x:c>
      <x:c r="F40" s="9" t="s">
        <x:v>494</x:v>
      </x:c>
      <x:c r="G40" s="9" t="s">
        <x:v>156</x:v>
      </x:c>
      <x:c r="H40" s="9" t="s">
        <x:v>495</x:v>
      </x:c>
      <x:c r="I40" s="9" t="s">
        <x:v>496</x:v>
      </x:c>
      <x:c r="J40" s="9" t="s">
        <x:v>776</x:v>
      </x:c>
      <x:c r="K40" s="9" t="s">
        <x:v>777</x:v>
      </x:c>
      <x:c r="L40" s="9" t="s">
        <x:v>66</x:v>
      </x:c>
      <x:c r="M40" s="9" t="s">
        <x:v>499</x:v>
      </x:c>
      <x:c r="N40" s="8" t="s">
        <x:v>778</x:v>
      </x:c>
      <x:c r="O40" s="9" t="s">
        <x:v>779</x:v>
      </x:c>
      <x:c r="P40" s="8" t="s">
        <x:v>780</x:v>
      </x:c>
      <x:c r="Q40" s="8" t="s">
        <x:v>781</x:v>
      </x:c>
      <x:c r="R40" s="8" t="s">
        <x:v>782</x:v>
      </x:c>
      <x:c r="S40" s="8" t="s">
        <x:v>783</x:v>
      </x:c>
      <x:c r="T40" s="8"/>
      <x:c r="U40" s="9" t="s">
        <x:v>72</x:v>
      </x:c>
      <x:c r="V40" s="9" t="s">
        <x:v>185</x:v>
      </x:c>
      <x:c r="W40" s="9" t="s">
        <x:v>186</x:v>
      </x:c>
      <x:c r="X40" s="9" t="s">
        <x:v>73</x:v>
      </x:c>
      <x:c r="Y40" s="9" t="s">
        <x:v>74</x:v>
      </x:c>
      <x:c r="Z40" s="9" t="s">
        <x:v>75</x:v>
      </x:c>
    </x:row>
    <x:row r="41" ht="48" hidden="0" customHeight="1">
      <x:c r="A41" s="9" t="s">
        <x:v>313</x:v>
      </x:c>
      <x:c r="B41" s="9" t="s">
        <x:v>773</x:v>
      </x:c>
      <x:c r="C41" s="9" t="s">
        <x:v>774</x:v>
      </x:c>
      <x:c r="D41" s="9" t="s">
        <x:v>41</x:v>
      </x:c>
      <x:c r="E41" s="9" t="s">
        <x:v>821</x:v>
      </x:c>
      <x:c r="F41" s="9" t="s">
        <x:v>494</x:v>
      </x:c>
      <x:c r="G41" s="9" t="s">
        <x:v>88</x:v>
      </x:c>
      <x:c r="H41" s="9" t="s">
        <x:v>495</x:v>
      </x:c>
      <x:c r="I41" s="9" t="s">
        <x:v>534</x:v>
      </x:c>
      <x:c r="J41" s="9" t="s">
        <x:v>776</x:v>
      </x:c>
      <x:c r="K41" s="9" t="s">
        <x:v>777</x:v>
      </x:c>
      <x:c r="L41" s="9" t="s">
        <x:v>89</x:v>
      </x:c>
      <x:c r="M41" s="9" t="s">
        <x:v>511</x:v>
      </x:c>
      <x:c r="N41" s="8" t="s">
        <x:v>778</x:v>
      </x:c>
      <x:c r="O41" s="9" t="s">
        <x:v>786</x:v>
      </x:c>
      <x:c r="P41" s="8" t="s">
        <x:v>780</x:v>
      </x:c>
      <x:c r="Q41" s="8" t="s">
        <x:v>781</x:v>
      </x:c>
      <x:c r="R41" s="8" t="s">
        <x:v>782</x:v>
      </x:c>
      <x:c r="S41" s="8" t="s">
        <x:v>783</x:v>
      </x:c>
      <x:c r="T41" s="8"/>
      <x:c r="U41" s="9" t="s">
        <x:v>72</x:v>
      </x:c>
      <x:c r="V41" s="9" t="s">
        <x:v>314</x:v>
      </x:c>
      <x:c r="W41" s="9" t="s">
        <x:v>315</x:v>
      </x:c>
      <x:c r="X41" s="9" t="s">
        <x:v>73</x:v>
      </x:c>
      <x:c r="Y41" s="9" t="s">
        <x:v>74</x:v>
      </x:c>
      <x:c r="Z41" s="9" t="s">
        <x:v>140</x:v>
      </x:c>
    </x:row>
    <x:row r="42" ht="48" hidden="0" customHeight="1">
      <x:c r="A42" s="9" t="s">
        <x:v>319</x:v>
      </x:c>
      <x:c r="B42" s="9" t="s">
        <x:v>773</x:v>
      </x:c>
      <x:c r="C42" s="9" t="s">
        <x:v>774</x:v>
      </x:c>
      <x:c r="D42" s="9" t="s">
        <x:v>41</x:v>
      </x:c>
      <x:c r="E42" s="9" t="s">
        <x:v>822</x:v>
      </x:c>
      <x:c r="F42" s="9" t="s">
        <x:v>494</x:v>
      </x:c>
      <x:c r="G42" s="9" t="s">
        <x:v>88</x:v>
      </x:c>
      <x:c r="H42" s="9" t="s">
        <x:v>495</x:v>
      </x:c>
      <x:c r="I42" s="9" t="s">
        <x:v>534</x:v>
      </x:c>
      <x:c r="J42" s="9" t="s">
        <x:v>776</x:v>
      </x:c>
      <x:c r="K42" s="9" t="s">
        <x:v>777</x:v>
      </x:c>
      <x:c r="L42" s="9" t="s">
        <x:v>89</x:v>
      </x:c>
      <x:c r="M42" s="9" t="s">
        <x:v>511</x:v>
      </x:c>
      <x:c r="N42" s="8" t="s">
        <x:v>778</x:v>
      </x:c>
      <x:c r="O42" s="9" t="s">
        <x:v>786</x:v>
      </x:c>
      <x:c r="P42" s="8" t="s">
        <x:v>780</x:v>
      </x:c>
      <x:c r="Q42" s="8" t="s">
        <x:v>781</x:v>
      </x:c>
      <x:c r="R42" s="8" t="s">
        <x:v>782</x:v>
      </x:c>
      <x:c r="S42" s="8" t="s">
        <x:v>783</x:v>
      </x:c>
      <x:c r="T42" s="8"/>
      <x:c r="U42" s="9" t="s">
        <x:v>72</x:v>
      </x:c>
      <x:c r="V42" s="9" t="s">
        <x:v>320</x:v>
      </x:c>
      <x:c r="W42" s="9" t="s">
        <x:v>321</x:v>
      </x:c>
      <x:c r="X42" s="9" t="s">
        <x:v>73</x:v>
      </x:c>
      <x:c r="Y42" s="9" t="s">
        <x:v>74</x:v>
      </x:c>
      <x:c r="Z42" s="9" t="s">
        <x:v>140</x:v>
      </x:c>
    </x:row>
    <x:row r="43" ht="48" hidden="0" customHeight="1">
      <x:c r="A43" s="9" t="s">
        <x:v>324</x:v>
      </x:c>
      <x:c r="B43" s="9" t="s">
        <x:v>773</x:v>
      </x:c>
      <x:c r="C43" s="9" t="s">
        <x:v>774</x:v>
      </x:c>
      <x:c r="D43" s="9" t="s">
        <x:v>41</x:v>
      </x:c>
      <x:c r="E43" s="9" t="s">
        <x:v>823</x:v>
      </x:c>
      <x:c r="F43" s="9" t="s">
        <x:v>494</x:v>
      </x:c>
      <x:c r="G43" s="9" t="s">
        <x:v>65</x:v>
      </x:c>
      <x:c r="H43" s="9" t="s">
        <x:v>495</x:v>
      </x:c>
      <x:c r="I43" s="9" t="s">
        <x:v>516</x:v>
      </x:c>
      <x:c r="J43" s="9" t="s">
        <x:v>776</x:v>
      </x:c>
      <x:c r="K43" s="9" t="s">
        <x:v>777</x:v>
      </x:c>
      <x:c r="L43" s="9" t="s">
        <x:v>66</x:v>
      </x:c>
      <x:c r="M43" s="9" t="s">
        <x:v>499</x:v>
      </x:c>
      <x:c r="N43" s="8" t="s">
        <x:v>778</x:v>
      </x:c>
      <x:c r="O43" s="9" t="s">
        <x:v>779</x:v>
      </x:c>
      <x:c r="P43" s="8" t="s">
        <x:v>780</x:v>
      </x:c>
      <x:c r="Q43" s="8" t="s">
        <x:v>781</x:v>
      </x:c>
      <x:c r="R43" s="8" t="s">
        <x:v>782</x:v>
      </x:c>
      <x:c r="S43" s="8" t="s">
        <x:v>783</x:v>
      </x:c>
      <x:c r="T43" s="8"/>
      <x:c r="U43" s="9" t="s">
        <x:v>72</x:v>
      </x:c>
      <x:c r="V43" s="9" t="s">
        <x:v>325</x:v>
      </x:c>
      <x:c r="W43" s="9" t="s">
        <x:v>326</x:v>
      </x:c>
      <x:c r="X43" s="9" t="s">
        <x:v>73</x:v>
      </x:c>
      <x:c r="Y43" s="9" t="s">
        <x:v>74</x:v>
      </x:c>
      <x:c r="Z43" s="9" t="s">
        <x:v>75</x:v>
      </x:c>
    </x:row>
    <x:row r="44" ht="48" hidden="0" customHeight="1">
      <x:c r="A44" s="9" t="s">
        <x:v>379</x:v>
      </x:c>
      <x:c r="B44" s="9" t="s">
        <x:v>773</x:v>
      </x:c>
      <x:c r="C44" s="9" t="s">
        <x:v>774</x:v>
      </x:c>
      <x:c r="D44" s="9" t="s">
        <x:v>41</x:v>
      </x:c>
      <x:c r="E44" s="9" t="s">
        <x:v>824</x:v>
      </x:c>
      <x:c r="F44" s="9" t="s">
        <x:v>494</x:v>
      </x:c>
      <x:c r="G44" s="9" t="s">
        <x:v>98</x:v>
      </x:c>
      <x:c r="H44" s="9" t="s">
        <x:v>495</x:v>
      </x:c>
      <x:c r="I44" s="9" t="s">
        <x:v>516</x:v>
      </x:c>
      <x:c r="J44" s="9" t="s">
        <x:v>776</x:v>
      </x:c>
      <x:c r="K44" s="9" t="s">
        <x:v>777</x:v>
      </x:c>
      <x:c r="L44" s="9" t="s">
        <x:v>66</x:v>
      </x:c>
      <x:c r="M44" s="9" t="s">
        <x:v>511</x:v>
      </x:c>
      <x:c r="N44" s="8" t="s">
        <x:v>778</x:v>
      </x:c>
      <x:c r="O44" s="9" t="s">
        <x:v>786</x:v>
      </x:c>
      <x:c r="P44" s="8" t="s">
        <x:v>780</x:v>
      </x:c>
      <x:c r="Q44" s="8" t="s">
        <x:v>781</x:v>
      </x:c>
      <x:c r="R44" s="8" t="s">
        <x:v>782</x:v>
      </x:c>
      <x:c r="S44" s="8" t="s">
        <x:v>783</x:v>
      </x:c>
      <x:c r="T44" s="8"/>
      <x:c r="U44" s="9" t="s">
        <x:v>72</x:v>
      </x:c>
      <x:c r="V44" s="9" t="s">
        <x:v>380</x:v>
      </x:c>
      <x:c r="W44" s="9" t="s">
        <x:v>381</x:v>
      </x:c>
      <x:c r="X44" s="9" t="s">
        <x:v>73</x:v>
      </x:c>
      <x:c r="Y44" s="9" t="s">
        <x:v>74</x:v>
      </x:c>
      <x:c r="Z44" s="9" t="s">
        <x:v>75</x:v>
      </x:c>
    </x:row>
    <x:row r="45" ht="48" hidden="0" customHeight="1">
      <x:c r="A45" s="9" t="s">
        <x:v>384</x:v>
      </x:c>
      <x:c r="B45" s="9" t="s">
        <x:v>773</x:v>
      </x:c>
      <x:c r="C45" s="9" t="s">
        <x:v>774</x:v>
      </x:c>
      <x:c r="D45" s="9" t="s">
        <x:v>41</x:v>
      </x:c>
      <x:c r="E45" s="9" t="s">
        <x:v>825</x:v>
      </x:c>
      <x:c r="F45" s="9" t="s">
        <x:v>494</x:v>
      </x:c>
      <x:c r="G45" s="9" t="s">
        <x:v>98</x:v>
      </x:c>
      <x:c r="H45" s="9" t="s">
        <x:v>495</x:v>
      </x:c>
      <x:c r="I45" s="9" t="s">
        <x:v>516</x:v>
      </x:c>
      <x:c r="J45" s="9" t="s">
        <x:v>776</x:v>
      </x:c>
      <x:c r="K45" s="9" t="s">
        <x:v>777</x:v>
      </x:c>
      <x:c r="L45" s="9" t="s">
        <x:v>66</x:v>
      </x:c>
      <x:c r="M45" s="9" t="s">
        <x:v>499</x:v>
      </x:c>
      <x:c r="N45" s="8" t="s">
        <x:v>778</x:v>
      </x:c>
      <x:c r="O45" s="9" t="s">
        <x:v>779</x:v>
      </x:c>
      <x:c r="P45" s="8" t="s">
        <x:v>780</x:v>
      </x:c>
      <x:c r="Q45" s="8" t="s">
        <x:v>781</x:v>
      </x:c>
      <x:c r="R45" s="8" t="s">
        <x:v>782</x:v>
      </x:c>
      <x:c r="S45" s="8" t="s">
        <x:v>783</x:v>
      </x:c>
      <x:c r="T45" s="8"/>
      <x:c r="U45" s="9" t="s">
        <x:v>72</x:v>
      </x:c>
      <x:c r="V45" s="9" t="s">
        <x:v>385</x:v>
      </x:c>
      <x:c r="W45" s="9" t="s">
        <x:v>386</x:v>
      </x:c>
      <x:c r="X45" s="9" t="s">
        <x:v>73</x:v>
      </x:c>
      <x:c r="Y45" s="9" t="s">
        <x:v>74</x:v>
      </x:c>
      <x:c r="Z45" s="9" t="s">
        <x:v>75</x:v>
      </x:c>
    </x:row>
    <x:row r="46" ht="48" hidden="0" customHeight="1">
      <x:c r="A46" s="9" t="s">
        <x:v>374</x:v>
      </x:c>
      <x:c r="B46" s="9" t="s">
        <x:v>773</x:v>
      </x:c>
      <x:c r="C46" s="9" t="s">
        <x:v>774</x:v>
      </x:c>
      <x:c r="D46" s="9" t="s">
        <x:v>41</x:v>
      </x:c>
      <x:c r="E46" s="9" t="s">
        <x:v>826</x:v>
      </x:c>
      <x:c r="F46" s="9" t="s">
        <x:v>494</x:v>
      </x:c>
      <x:c r="G46" s="9" t="s">
        <x:v>156</x:v>
      </x:c>
      <x:c r="H46" s="9" t="s">
        <x:v>495</x:v>
      </x:c>
      <x:c r="I46" s="9" t="s">
        <x:v>496</x:v>
      </x:c>
      <x:c r="J46" s="9" t="s">
        <x:v>776</x:v>
      </x:c>
      <x:c r="K46" s="9" t="s">
        <x:v>777</x:v>
      </x:c>
      <x:c r="L46" s="9" t="s">
        <x:v>66</x:v>
      </x:c>
      <x:c r="M46" s="9" t="s">
        <x:v>499</x:v>
      </x:c>
      <x:c r="N46" s="8" t="s">
        <x:v>778</x:v>
      </x:c>
      <x:c r="O46" s="9" t="s">
        <x:v>779</x:v>
      </x:c>
      <x:c r="P46" s="8" t="s">
        <x:v>780</x:v>
      </x:c>
      <x:c r="Q46" s="8" t="s">
        <x:v>781</x:v>
      </x:c>
      <x:c r="R46" s="8" t="s">
        <x:v>782</x:v>
      </x:c>
      <x:c r="S46" s="8" t="s">
        <x:v>783</x:v>
      </x:c>
      <x:c r="T46" s="8"/>
      <x:c r="U46" s="9" t="s">
        <x:v>72</x:v>
      </x:c>
      <x:c r="V46" s="9" t="s">
        <x:v>375</x:v>
      </x:c>
      <x:c r="W46" s="9" t="s">
        <x:v>376</x:v>
      </x:c>
      <x:c r="X46" s="9" t="s">
        <x:v>73</x:v>
      </x:c>
      <x:c r="Y46" s="9" t="s">
        <x:v>74</x:v>
      </x:c>
      <x:c r="Z46" s="9" t="s">
        <x:v>75</x:v>
      </x:c>
    </x:row>
    <x:row r="47" ht="48" hidden="0" customHeight="1">
      <x:c r="A47" s="9" t="s">
        <x:v>390</x:v>
      </x:c>
      <x:c r="B47" s="9" t="s">
        <x:v>773</x:v>
      </x:c>
      <x:c r="C47" s="9" t="s">
        <x:v>774</x:v>
      </x:c>
      <x:c r="D47" s="9" t="s">
        <x:v>41</x:v>
      </x:c>
      <x:c r="E47" s="9" t="s">
        <x:v>827</x:v>
      </x:c>
      <x:c r="F47" s="9" t="s">
        <x:v>494</x:v>
      </x:c>
      <x:c r="G47" s="9" t="s">
        <x:v>98</x:v>
      </x:c>
      <x:c r="H47" s="9" t="s">
        <x:v>495</x:v>
      </x:c>
      <x:c r="I47" s="9" t="s">
        <x:v>516</x:v>
      </x:c>
      <x:c r="J47" s="9" t="s">
        <x:v>776</x:v>
      </x:c>
      <x:c r="K47" s="9" t="s">
        <x:v>777</x:v>
      </x:c>
      <x:c r="L47" s="9" t="s">
        <x:v>66</x:v>
      </x:c>
      <x:c r="M47" s="9" t="s">
        <x:v>499</x:v>
      </x:c>
      <x:c r="N47" s="8" t="s">
        <x:v>778</x:v>
      </x:c>
      <x:c r="O47" s="9" t="s">
        <x:v>779</x:v>
      </x:c>
      <x:c r="P47" s="8" t="s">
        <x:v>780</x:v>
      </x:c>
      <x:c r="Q47" s="8" t="s">
        <x:v>781</x:v>
      </x:c>
      <x:c r="R47" s="8" t="s">
        <x:v>782</x:v>
      </x:c>
      <x:c r="S47" s="8" t="s">
        <x:v>783</x:v>
      </x:c>
      <x:c r="T47" s="8"/>
      <x:c r="U47" s="9" t="s">
        <x:v>72</x:v>
      </x:c>
      <x:c r="V47" s="9" t="s">
        <x:v>391</x:v>
      </x:c>
      <x:c r="W47" s="9" t="s">
        <x:v>392</x:v>
      </x:c>
      <x:c r="X47" s="9" t="s">
        <x:v>73</x:v>
      </x:c>
      <x:c r="Y47" s="9" t="s">
        <x:v>74</x:v>
      </x:c>
      <x:c r="Z47" s="9" t="s">
        <x:v>75</x:v>
      </x:c>
    </x:row>
    <x:row r="48" ht="48" hidden="0" customHeight="1">
      <x:c r="A48" s="9" t="s">
        <x:v>287</x:v>
      </x:c>
      <x:c r="B48" s="9" t="s">
        <x:v>773</x:v>
      </x:c>
      <x:c r="C48" s="9" t="s">
        <x:v>774</x:v>
      </x:c>
      <x:c r="D48" s="9" t="s">
        <x:v>41</x:v>
      </x:c>
      <x:c r="E48" s="9" t="s">
        <x:v>828</x:v>
      </x:c>
      <x:c r="F48" s="9" t="s">
        <x:v>494</x:v>
      </x:c>
      <x:c r="G48" s="9" t="s">
        <x:v>98</x:v>
      </x:c>
      <x:c r="H48" s="9" t="s">
        <x:v>495</x:v>
      </x:c>
      <x:c r="I48" s="9" t="s">
        <x:v>534</x:v>
      </x:c>
      <x:c r="J48" s="9" t="s">
        <x:v>776</x:v>
      </x:c>
      <x:c r="K48" s="9" t="s">
        <x:v>777</x:v>
      </x:c>
      <x:c r="L48" s="9" t="s">
        <x:v>66</x:v>
      </x:c>
      <x:c r="M48" s="9" t="s">
        <x:v>499</x:v>
      </x:c>
      <x:c r="N48" s="8" t="s">
        <x:v>778</x:v>
      </x:c>
      <x:c r="O48" s="9" t="s">
        <x:v>779</x:v>
      </x:c>
      <x:c r="P48" s="8" t="s">
        <x:v>780</x:v>
      </x:c>
      <x:c r="Q48" s="8" t="s">
        <x:v>781</x:v>
      </x:c>
      <x:c r="R48" s="8" t="s">
        <x:v>782</x:v>
      </x:c>
      <x:c r="S48" s="8" t="s">
        <x:v>783</x:v>
      </x:c>
      <x:c r="T48" s="8"/>
      <x:c r="U48" s="9" t="s">
        <x:v>72</x:v>
      </x:c>
      <x:c r="V48" s="9" t="s">
        <x:v>288</x:v>
      </x:c>
      <x:c r="W48" s="9" t="s">
        <x:v>289</x:v>
      </x:c>
      <x:c r="X48" s="9" t="s">
        <x:v>73</x:v>
      </x:c>
      <x:c r="Y48" s="9" t="s">
        <x:v>74</x:v>
      </x:c>
      <x:c r="Z48" s="9" t="s">
        <x:v>201</x:v>
      </x:c>
    </x:row>
    <x:row r="49" ht="48" hidden="0" customHeight="1">
      <x:c r="A49" s="9" t="s">
        <x:v>293</x:v>
      </x:c>
      <x:c r="B49" s="9" t="s">
        <x:v>773</x:v>
      </x:c>
      <x:c r="C49" s="9" t="s">
        <x:v>774</x:v>
      </x:c>
      <x:c r="D49" s="9" t="s">
        <x:v>41</x:v>
      </x:c>
      <x:c r="E49" s="9" t="s">
        <x:v>829</x:v>
      </x:c>
      <x:c r="F49" s="9" t="s">
        <x:v>494</x:v>
      </x:c>
      <x:c r="G49" s="9" t="s">
        <x:v>98</x:v>
      </x:c>
      <x:c r="H49" s="9" t="s">
        <x:v>495</x:v>
      </x:c>
      <x:c r="I49" s="9" t="s">
        <x:v>534</x:v>
      </x:c>
      <x:c r="J49" s="9" t="s">
        <x:v>776</x:v>
      </x:c>
      <x:c r="K49" s="9" t="s">
        <x:v>777</x:v>
      </x:c>
      <x:c r="L49" s="9" t="s">
        <x:v>66</x:v>
      </x:c>
      <x:c r="M49" s="9" t="s">
        <x:v>499</x:v>
      </x:c>
      <x:c r="N49" s="8" t="s">
        <x:v>778</x:v>
      </x:c>
      <x:c r="O49" s="9" t="s">
        <x:v>779</x:v>
      </x:c>
      <x:c r="P49" s="8" t="s">
        <x:v>780</x:v>
      </x:c>
      <x:c r="Q49" s="8" t="s">
        <x:v>781</x:v>
      </x:c>
      <x:c r="R49" s="8" t="s">
        <x:v>782</x:v>
      </x:c>
      <x:c r="S49" s="8" t="s">
        <x:v>783</x:v>
      </x:c>
      <x:c r="T49" s="8"/>
      <x:c r="U49" s="9" t="s">
        <x:v>72</x:v>
      </x:c>
      <x:c r="V49" s="9" t="s">
        <x:v>294</x:v>
      </x:c>
      <x:c r="W49" s="9" t="s">
        <x:v>295</x:v>
      </x:c>
      <x:c r="X49" s="9" t="s">
        <x:v>73</x:v>
      </x:c>
      <x:c r="Y49" s="9" t="s">
        <x:v>74</x:v>
      </x:c>
      <x:c r="Z49" s="9" t="s">
        <x:v>201</x:v>
      </x:c>
    </x:row>
    <x:row r="50" ht="48" hidden="0" customHeight="1">
      <x:c r="A50" s="9" t="s">
        <x:v>299</x:v>
      </x:c>
      <x:c r="B50" s="9" t="s">
        <x:v>773</x:v>
      </x:c>
      <x:c r="C50" s="9" t="s">
        <x:v>774</x:v>
      </x:c>
      <x:c r="D50" s="9" t="s">
        <x:v>41</x:v>
      </x:c>
      <x:c r="E50" s="9" t="s">
        <x:v>830</x:v>
      </x:c>
      <x:c r="F50" s="9" t="s">
        <x:v>494</x:v>
      </x:c>
      <x:c r="G50" s="9" t="s">
        <x:v>98</x:v>
      </x:c>
      <x:c r="H50" s="9" t="s">
        <x:v>495</x:v>
      </x:c>
      <x:c r="I50" s="9" t="s">
        <x:v>534</x:v>
      </x:c>
      <x:c r="J50" s="9" t="s">
        <x:v>776</x:v>
      </x:c>
      <x:c r="K50" s="9" t="s">
        <x:v>777</x:v>
      </x:c>
      <x:c r="L50" s="9" t="s">
        <x:v>66</x:v>
      </x:c>
      <x:c r="M50" s="9" t="s">
        <x:v>499</x:v>
      </x:c>
      <x:c r="N50" s="8" t="s">
        <x:v>778</x:v>
      </x:c>
      <x:c r="O50" s="9" t="s">
        <x:v>779</x:v>
      </x:c>
      <x:c r="P50" s="8" t="s">
        <x:v>780</x:v>
      </x:c>
      <x:c r="Q50" s="8" t="s">
        <x:v>781</x:v>
      </x:c>
      <x:c r="R50" s="8" t="s">
        <x:v>782</x:v>
      </x:c>
      <x:c r="S50" s="8" t="s">
        <x:v>783</x:v>
      </x:c>
      <x:c r="T50" s="8"/>
      <x:c r="U50" s="9" t="s">
        <x:v>72</x:v>
      </x:c>
      <x:c r="V50" s="9" t="s">
        <x:v>300</x:v>
      </x:c>
      <x:c r="W50" s="9" t="s">
        <x:v>301</x:v>
      </x:c>
      <x:c r="X50" s="9" t="s">
        <x:v>73</x:v>
      </x:c>
      <x:c r="Y50" s="9" t="s">
        <x:v>74</x:v>
      </x:c>
      <x:c r="Z50" s="9" t="s">
        <x:v>201</x:v>
      </x:c>
    </x:row>
    <x:row r="51" ht="48" hidden="0" customHeight="1">
      <x:c r="A51" s="9" t="s">
        <x:v>262</x:v>
      </x:c>
      <x:c r="B51" s="9" t="s">
        <x:v>773</x:v>
      </x:c>
      <x:c r="C51" s="9" t="s">
        <x:v>774</x:v>
      </x:c>
      <x:c r="D51" s="9" t="s">
        <x:v>41</x:v>
      </x:c>
      <x:c r="E51" s="9" t="s">
        <x:v>831</x:v>
      </x:c>
      <x:c r="F51" s="9" t="s">
        <x:v>494</x:v>
      </x:c>
      <x:c r="G51" s="9" t="s">
        <x:v>98</x:v>
      </x:c>
      <x:c r="H51" s="9" t="s">
        <x:v>495</x:v>
      </x:c>
      <x:c r="I51" s="9" t="s">
        <x:v>534</x:v>
      </x:c>
      <x:c r="J51" s="9" t="s">
        <x:v>776</x:v>
      </x:c>
      <x:c r="K51" s="9" t="s">
        <x:v>777</x:v>
      </x:c>
      <x:c r="L51" s="9" t="s">
        <x:v>66</x:v>
      </x:c>
      <x:c r="M51" s="9" t="s">
        <x:v>499</x:v>
      </x:c>
      <x:c r="N51" s="8" t="s">
        <x:v>778</x:v>
      </x:c>
      <x:c r="O51" s="9" t="s">
        <x:v>779</x:v>
      </x:c>
      <x:c r="P51" s="8" t="s">
        <x:v>780</x:v>
      </x:c>
      <x:c r="Q51" s="8" t="s">
        <x:v>781</x:v>
      </x:c>
      <x:c r="R51" s="8" t="s">
        <x:v>782</x:v>
      </x:c>
      <x:c r="S51" s="8" t="s">
        <x:v>783</x:v>
      </x:c>
      <x:c r="T51" s="8"/>
      <x:c r="U51" s="9" t="s">
        <x:v>72</x:v>
      </x:c>
      <x:c r="V51" s="9" t="s">
        <x:v>263</x:v>
      </x:c>
      <x:c r="W51" s="9" t="s">
        <x:v>264</x:v>
      </x:c>
      <x:c r="X51" s="9" t="s">
        <x:v>73</x:v>
      </x:c>
      <x:c r="Y51" s="9" t="s">
        <x:v>74</x:v>
      </x:c>
      <x:c r="Z51" s="9" t="s">
        <x:v>201</x:v>
      </x:c>
    </x:row>
    <x:row r="52" ht="48" hidden="0" customHeight="1">
      <x:c r="A52" s="9" t="s">
        <x:v>268</x:v>
      </x:c>
      <x:c r="B52" s="9" t="s">
        <x:v>773</x:v>
      </x:c>
      <x:c r="C52" s="9" t="s">
        <x:v>774</x:v>
      </x:c>
      <x:c r="D52" s="9" t="s">
        <x:v>41</x:v>
      </x:c>
      <x:c r="E52" s="9" t="s">
        <x:v>832</x:v>
      </x:c>
      <x:c r="F52" s="9" t="s">
        <x:v>494</x:v>
      </x:c>
      <x:c r="G52" s="9" t="s">
        <x:v>98</x:v>
      </x:c>
      <x:c r="H52" s="9" t="s">
        <x:v>495</x:v>
      </x:c>
      <x:c r="I52" s="9" t="s">
        <x:v>534</x:v>
      </x:c>
      <x:c r="J52" s="9" t="s">
        <x:v>776</x:v>
      </x:c>
      <x:c r="K52" s="9" t="s">
        <x:v>777</x:v>
      </x:c>
      <x:c r="L52" s="9" t="s">
        <x:v>66</x:v>
      </x:c>
      <x:c r="M52" s="9" t="s">
        <x:v>499</x:v>
      </x:c>
      <x:c r="N52" s="8" t="s">
        <x:v>778</x:v>
      </x:c>
      <x:c r="O52" s="9" t="s">
        <x:v>779</x:v>
      </x:c>
      <x:c r="P52" s="8" t="s">
        <x:v>780</x:v>
      </x:c>
      <x:c r="Q52" s="8" t="s">
        <x:v>781</x:v>
      </x:c>
      <x:c r="R52" s="8" t="s">
        <x:v>782</x:v>
      </x:c>
      <x:c r="S52" s="8" t="s">
        <x:v>783</x:v>
      </x:c>
      <x:c r="T52" s="8"/>
      <x:c r="U52" s="9" t="s">
        <x:v>72</x:v>
      </x:c>
      <x:c r="V52" s="9" t="s">
        <x:v>269</x:v>
      </x:c>
      <x:c r="W52" s="9" t="s">
        <x:v>270</x:v>
      </x:c>
      <x:c r="X52" s="9" t="s">
        <x:v>73</x:v>
      </x:c>
      <x:c r="Y52" s="9" t="s">
        <x:v>74</x:v>
      </x:c>
      <x:c r="Z52" s="9" t="s">
        <x:v>201</x:v>
      </x:c>
    </x:row>
    <x:row r="53" ht="48" hidden="0" customHeight="1">
      <x:c r="A53" s="9" t="s">
        <x:v>281</x:v>
      </x:c>
      <x:c r="B53" s="9" t="s">
        <x:v>773</x:v>
      </x:c>
      <x:c r="C53" s="9" t="s">
        <x:v>774</x:v>
      </x:c>
      <x:c r="D53" s="9" t="s">
        <x:v>41</x:v>
      </x:c>
      <x:c r="E53" s="9" t="s">
        <x:v>833</x:v>
      </x:c>
      <x:c r="F53" s="9" t="s">
        <x:v>494</x:v>
      </x:c>
      <x:c r="G53" s="9" t="s">
        <x:v>98</x:v>
      </x:c>
      <x:c r="H53" s="9" t="s">
        <x:v>495</x:v>
      </x:c>
      <x:c r="I53" s="9" t="s">
        <x:v>534</x:v>
      </x:c>
      <x:c r="J53" s="9" t="s">
        <x:v>776</x:v>
      </x:c>
      <x:c r="K53" s="9" t="s">
        <x:v>777</x:v>
      </x:c>
      <x:c r="L53" s="9" t="s">
        <x:v>66</x:v>
      </x:c>
      <x:c r="M53" s="9" t="s">
        <x:v>511</x:v>
      </x:c>
      <x:c r="N53" s="8" t="s">
        <x:v>778</x:v>
      </x:c>
      <x:c r="O53" s="9" t="s">
        <x:v>786</x:v>
      </x:c>
      <x:c r="P53" s="8" t="s">
        <x:v>780</x:v>
      </x:c>
      <x:c r="Q53" s="8" t="s">
        <x:v>781</x:v>
      </x:c>
      <x:c r="R53" s="8" t="s">
        <x:v>782</x:v>
      </x:c>
      <x:c r="S53" s="8" t="s">
        <x:v>783</x:v>
      </x:c>
      <x:c r="T53" s="8"/>
      <x:c r="U53" s="9" t="s">
        <x:v>72</x:v>
      </x:c>
      <x:c r="V53" s="9" t="s">
        <x:v>282</x:v>
      </x:c>
      <x:c r="W53" s="9" t="s">
        <x:v>283</x:v>
      </x:c>
      <x:c r="X53" s="9" t="s">
        <x:v>73</x:v>
      </x:c>
      <x:c r="Y53" s="9" t="s">
        <x:v>74</x:v>
      </x:c>
      <x:c r="Z53" s="9" t="s">
        <x:v>75</x:v>
      </x:c>
    </x:row>
    <x:row r="54" ht="48" hidden="0" customHeight="1">
      <x:c r="A54" s="9" t="s">
        <x:v>275</x:v>
      </x:c>
      <x:c r="B54" s="9" t="s">
        <x:v>773</x:v>
      </x:c>
      <x:c r="C54" s="9" t="s">
        <x:v>774</x:v>
      </x:c>
      <x:c r="D54" s="9" t="s">
        <x:v>41</x:v>
      </x:c>
      <x:c r="E54" s="9" t="s">
        <x:v>834</x:v>
      </x:c>
      <x:c r="F54" s="9" t="s">
        <x:v>494</x:v>
      </x:c>
      <x:c r="G54" s="9" t="s">
        <x:v>156</x:v>
      </x:c>
      <x:c r="H54" s="9" t="s">
        <x:v>495</x:v>
      </x:c>
      <x:c r="I54" s="9" t="s">
        <x:v>516</x:v>
      </x:c>
      <x:c r="J54" s="9" t="s">
        <x:v>776</x:v>
      </x:c>
      <x:c r="K54" s="9" t="s">
        <x:v>777</x:v>
      </x:c>
      <x:c r="L54" s="9" t="s">
        <x:v>66</x:v>
      </x:c>
      <x:c r="M54" s="9" t="s">
        <x:v>499</x:v>
      </x:c>
      <x:c r="N54" s="8" t="s">
        <x:v>778</x:v>
      </x:c>
      <x:c r="O54" s="9" t="s">
        <x:v>779</x:v>
      </x:c>
      <x:c r="P54" s="8" t="s">
        <x:v>780</x:v>
      </x:c>
      <x:c r="Q54" s="8" t="s">
        <x:v>781</x:v>
      </x:c>
      <x:c r="R54" s="8" t="s">
        <x:v>782</x:v>
      </x:c>
      <x:c r="S54" s="8" t="s">
        <x:v>783</x:v>
      </x:c>
      <x:c r="T54" s="8"/>
      <x:c r="U54" s="9" t="s">
        <x:v>72</x:v>
      </x:c>
      <x:c r="V54" s="9" t="s">
        <x:v>276</x:v>
      </x:c>
      <x:c r="W54" s="9" t="s">
        <x:v>277</x:v>
      </x:c>
      <x:c r="X54" s="9" t="s">
        <x:v>73</x:v>
      </x:c>
      <x:c r="Y54" s="9" t="s">
        <x:v>74</x:v>
      </x:c>
      <x:c r="Z54" s="9" t="s">
        <x:v>201</x:v>
      </x:c>
    </x:row>
    <x:row r="55" ht="48" hidden="0" customHeight="1">
      <x:c r="A55" s="9" t="s">
        <x:v>397</x:v>
      </x:c>
      <x:c r="B55" s="9" t="s">
        <x:v>773</x:v>
      </x:c>
      <x:c r="C55" s="9" t="s">
        <x:v>774</x:v>
      </x:c>
      <x:c r="D55" s="9" t="s">
        <x:v>41</x:v>
      </x:c>
      <x:c r="E55" s="9" t="s">
        <x:v>835</x:v>
      </x:c>
      <x:c r="F55" s="9" t="s">
        <x:v>494</x:v>
      </x:c>
      <x:c r="G55" s="9" t="s">
        <x:v>88</x:v>
      </x:c>
      <x:c r="H55" s="9" t="s">
        <x:v>495</x:v>
      </x:c>
      <x:c r="I55" s="9" t="s">
        <x:v>505</x:v>
      </x:c>
      <x:c r="J55" s="9" t="s">
        <x:v>776</x:v>
      </x:c>
      <x:c r="K55" s="9" t="s">
        <x:v>777</x:v>
      </x:c>
      <x:c r="L55" s="9" t="s">
        <x:v>89</x:v>
      </x:c>
      <x:c r="M55" s="9" t="s">
        <x:v>511</x:v>
      </x:c>
      <x:c r="N55" s="8" t="s">
        <x:v>778</x:v>
      </x:c>
      <x:c r="O55" s="9" t="s">
        <x:v>786</x:v>
      </x:c>
      <x:c r="P55" s="8" t="s">
        <x:v>780</x:v>
      </x:c>
      <x:c r="Q55" s="8" t="s">
        <x:v>781</x:v>
      </x:c>
      <x:c r="R55" s="8" t="s">
        <x:v>782</x:v>
      </x:c>
      <x:c r="S55" s="8" t="s">
        <x:v>783</x:v>
      </x:c>
      <x:c r="T55" s="8"/>
      <x:c r="U55" s="9" t="s">
        <x:v>72</x:v>
      </x:c>
      <x:c r="V55" s="9" t="s">
        <x:v>398</x:v>
      </x:c>
      <x:c r="W55" s="9" t="s">
        <x:v>399</x:v>
      </x:c>
      <x:c r="X55" s="9" t="s">
        <x:v>73</x:v>
      </x:c>
      <x:c r="Y55" s="9" t="s">
        <x:v>74</x:v>
      </x:c>
      <x:c r="Z55" s="9" t="s">
        <x:v>140</x:v>
      </x:c>
    </x:row>
    <x:row r="56" ht="48" hidden="0" customHeight="1">
      <x:c r="A56" s="9" t="s">
        <x:v>630</x:v>
      </x:c>
      <x:c r="B56" s="9" t="s">
        <x:v>773</x:v>
      </x:c>
      <x:c r="C56" s="9" t="s">
        <x:v>774</x:v>
      </x:c>
      <x:c r="D56" s="9" t="s">
        <x:v>631</x:v>
      </x:c>
      <x:c r="E56" s="9" t="s">
        <x:v>836</x:v>
      </x:c>
      <x:c r="F56" s="9" t="s">
        <x:v>494</x:v>
      </x:c>
      <x:c r="G56" s="9" t="s">
        <x:v>88</x:v>
      </x:c>
      <x:c r="H56" s="9" t="s">
        <x:v>495</x:v>
      </x:c>
      <x:c r="I56" s="9" t="s">
        <x:v>505</x:v>
      </x:c>
      <x:c r="J56" s="9" t="s">
        <x:v>776</x:v>
      </x:c>
      <x:c r="K56" s="9" t="s">
        <x:v>777</x:v>
      </x:c>
      <x:c r="L56" s="9" t="s">
        <x:v>644</x:v>
      </x:c>
      <x:c r="M56" s="9" t="s">
        <x:v>645</x:v>
      </x:c>
      <x:c r="N56" s="9" t="s">
        <x:v>837</x:v>
      </x:c>
      <x:c r="O56" s="9" t="s">
        <x:v>838</x:v>
      </x:c>
      <x:c r="P56" s="8" t="s">
        <x:v>780</x:v>
      </x:c>
      <x:c r="Q56" s="8" t="s">
        <x:v>839</x:v>
      </x:c>
      <x:c r="R56" s="8" t="s">
        <x:v>782</x:v>
      </x:c>
      <x:c r="S56" s="8" t="s">
        <x:v>840</x:v>
      </x:c>
      <x:c r="T56" s="8"/>
      <x:c r="U56" s="9" t="s">
        <x:v>643</x:v>
      </x:c>
      <x:c r="V56" s="8"/>
      <x:c r="W56" s="8"/>
      <x:c r="X56" s="9" t="s">
        <x:v>414</x:v>
      </x:c>
      <x:c r="Y56" s="9" t="s">
        <x:v>74</x:v>
      </x:c>
      <x:c r="Z56" s="8"/>
    </x:row>
    <x:row r="57" ht="48" hidden="0" customHeight="1">
      <x:c r="A57" s="9" t="s">
        <x:v>647</x:v>
      </x:c>
      <x:c r="B57" s="9" t="s">
        <x:v>773</x:v>
      </x:c>
      <x:c r="C57" s="9" t="s">
        <x:v>774</x:v>
      </x:c>
      <x:c r="D57" s="9" t="s">
        <x:v>631</x:v>
      </x:c>
      <x:c r="E57" s="9" t="s">
        <x:v>841</x:v>
      </x:c>
      <x:c r="F57" s="9" t="s">
        <x:v>494</x:v>
      </x:c>
      <x:c r="G57" s="9" t="s">
        <x:v>88</x:v>
      </x:c>
      <x:c r="H57" s="9" t="s">
        <x:v>495</x:v>
      </x:c>
      <x:c r="I57" s="9" t="s">
        <x:v>505</x:v>
      </x:c>
      <x:c r="J57" s="9" t="s">
        <x:v>776</x:v>
      </x:c>
      <x:c r="K57" s="9" t="s">
        <x:v>777</x:v>
      </x:c>
      <x:c r="L57" s="9" t="s">
        <x:v>644</x:v>
      </x:c>
      <x:c r="M57" s="9" t="s">
        <x:v>654</x:v>
      </x:c>
      <x:c r="N57" s="9" t="s">
        <x:v>837</x:v>
      </x:c>
      <x:c r="O57" s="9" t="s">
        <x:v>842</x:v>
      </x:c>
      <x:c r="P57" s="8" t="s">
        <x:v>780</x:v>
      </x:c>
      <x:c r="Q57" s="8" t="s">
        <x:v>839</x:v>
      </x:c>
      <x:c r="R57" s="8" t="s">
        <x:v>782</x:v>
      </x:c>
      <x:c r="S57" s="8" t="s">
        <x:v>840</x:v>
      </x:c>
      <x:c r="T57" s="8"/>
      <x:c r="U57" s="9" t="s">
        <x:v>643</x:v>
      </x:c>
      <x:c r="V57" s="8"/>
      <x:c r="W57" s="8"/>
      <x:c r="X57" s="9" t="s">
        <x:v>414</x:v>
      </x:c>
      <x:c r="Y57" s="9" t="s">
        <x:v>74</x:v>
      </x:c>
      <x:c r="Z57" s="8"/>
    </x:row>
    <x:row r="58" ht="48" hidden="0" customHeight="1">
      <x:c r="A58" s="9" t="s">
        <x:v>656</x:v>
      </x:c>
      <x:c r="B58" s="9" t="s">
        <x:v>773</x:v>
      </x:c>
      <x:c r="C58" s="9" t="s">
        <x:v>774</x:v>
      </x:c>
      <x:c r="D58" s="9" t="s">
        <x:v>631</x:v>
      </x:c>
      <x:c r="E58" s="9" t="s">
        <x:v>843</x:v>
      </x:c>
      <x:c r="F58" s="9" t="s">
        <x:v>494</x:v>
      </x:c>
      <x:c r="G58" s="9" t="s">
        <x:v>88</x:v>
      </x:c>
      <x:c r="H58" s="9" t="s">
        <x:v>495</x:v>
      </x:c>
      <x:c r="I58" s="9" t="s">
        <x:v>505</x:v>
      </x:c>
      <x:c r="J58" s="9" t="s">
        <x:v>776</x:v>
      </x:c>
      <x:c r="K58" s="9" t="s">
        <x:v>777</x:v>
      </x:c>
      <x:c r="L58" s="9" t="s">
        <x:v>644</x:v>
      </x:c>
      <x:c r="M58" s="9" t="s">
        <x:v>663</x:v>
      </x:c>
      <x:c r="N58" s="9" t="s">
        <x:v>837</x:v>
      </x:c>
      <x:c r="O58" s="9" t="s">
        <x:v>844</x:v>
      </x:c>
      <x:c r="P58" s="8" t="s">
        <x:v>780</x:v>
      </x:c>
      <x:c r="Q58" s="8" t="s">
        <x:v>839</x:v>
      </x:c>
      <x:c r="R58" s="8" t="s">
        <x:v>782</x:v>
      </x:c>
      <x:c r="S58" s="8" t="s">
        <x:v>840</x:v>
      </x:c>
      <x:c r="T58" s="8"/>
      <x:c r="U58" s="9" t="s">
        <x:v>643</x:v>
      </x:c>
      <x:c r="V58" s="8"/>
      <x:c r="W58" s="8"/>
      <x:c r="X58" s="9" t="s">
        <x:v>414</x:v>
      </x:c>
      <x:c r="Y58" s="9" t="s">
        <x:v>74</x:v>
      </x:c>
      <x:c r="Z58" s="8"/>
    </x:row>
    <x:row r="59" ht="48" hidden="0" customHeight="1">
      <x:c r="A59" s="9" t="s">
        <x:v>665</x:v>
      </x:c>
      <x:c r="B59" s="9" t="s">
        <x:v>773</x:v>
      </x:c>
      <x:c r="C59" s="9" t="s">
        <x:v>774</x:v>
      </x:c>
      <x:c r="D59" s="9" t="s">
        <x:v>631</x:v>
      </x:c>
      <x:c r="E59" s="9" t="s">
        <x:v>845</x:v>
      </x:c>
      <x:c r="F59" s="9" t="s">
        <x:v>494</x:v>
      </x:c>
      <x:c r="G59" s="9" t="s">
        <x:v>88</x:v>
      </x:c>
      <x:c r="H59" s="9" t="s">
        <x:v>495</x:v>
      </x:c>
      <x:c r="I59" s="9" t="s">
        <x:v>505</x:v>
      </x:c>
      <x:c r="J59" s="9" t="s">
        <x:v>776</x:v>
      </x:c>
      <x:c r="K59" s="9" t="s">
        <x:v>777</x:v>
      </x:c>
      <x:c r="L59" s="9" t="s">
        <x:v>644</x:v>
      </x:c>
      <x:c r="M59" s="9" t="s">
        <x:v>663</x:v>
      </x:c>
      <x:c r="N59" s="9" t="s">
        <x:v>837</x:v>
      </x:c>
      <x:c r="O59" s="9" t="s">
        <x:v>844</x:v>
      </x:c>
      <x:c r="P59" s="8" t="s">
        <x:v>780</x:v>
      </x:c>
      <x:c r="Q59" s="8" t="s">
        <x:v>839</x:v>
      </x:c>
      <x:c r="R59" s="8" t="s">
        <x:v>782</x:v>
      </x:c>
      <x:c r="S59" s="8" t="s">
        <x:v>840</x:v>
      </x:c>
      <x:c r="T59" s="8"/>
      <x:c r="U59" s="9" t="s">
        <x:v>643</x:v>
      </x:c>
      <x:c r="V59" s="8"/>
      <x:c r="W59" s="8"/>
      <x:c r="X59" s="9" t="s">
        <x:v>414</x:v>
      </x:c>
      <x:c r="Y59" s="9" t="s">
        <x:v>74</x:v>
      </x:c>
      <x:c r="Z59" s="8"/>
    </x:row>
    <x:row r="60" ht="48" hidden="0" customHeight="1">
      <x:c r="A60" s="9" t="s">
        <x:v>673</x:v>
      </x:c>
      <x:c r="B60" s="9" t="s">
        <x:v>773</x:v>
      </x:c>
      <x:c r="C60" s="9" t="s">
        <x:v>774</x:v>
      </x:c>
      <x:c r="D60" s="9" t="s">
        <x:v>631</x:v>
      </x:c>
      <x:c r="E60" s="9" t="s">
        <x:v>846</x:v>
      </x:c>
      <x:c r="F60" s="9" t="s">
        <x:v>494</x:v>
      </x:c>
      <x:c r="G60" s="9" t="s">
        <x:v>98</x:v>
      </x:c>
      <x:c r="H60" s="9" t="s">
        <x:v>495</x:v>
      </x:c>
      <x:c r="I60" s="9" t="s">
        <x:v>516</x:v>
      </x:c>
      <x:c r="J60" s="9" t="s">
        <x:v>776</x:v>
      </x:c>
      <x:c r="K60" s="9" t="s">
        <x:v>777</x:v>
      </x:c>
      <x:c r="L60" s="9" t="s">
        <x:v>644</x:v>
      </x:c>
      <x:c r="M60" s="9" t="s">
        <x:v>681</x:v>
      </x:c>
      <x:c r="N60" s="9" t="s">
        <x:v>837</x:v>
      </x:c>
      <x:c r="O60" s="9" t="s">
        <x:v>847</x:v>
      </x:c>
      <x:c r="P60" s="8" t="s">
        <x:v>780</x:v>
      </x:c>
      <x:c r="Q60" s="8" t="s">
        <x:v>839</x:v>
      </x:c>
      <x:c r="R60" s="8" t="s">
        <x:v>782</x:v>
      </x:c>
      <x:c r="S60" s="8" t="s">
        <x:v>840</x:v>
      </x:c>
      <x:c r="T60" s="8"/>
      <x:c r="U60" s="9" t="s">
        <x:v>643</x:v>
      </x:c>
      <x:c r="V60" s="8"/>
      <x:c r="W60" s="8"/>
      <x:c r="X60" s="9" t="s">
        <x:v>414</x:v>
      </x:c>
      <x:c r="Y60" s="9" t="s">
        <x:v>74</x:v>
      </x:c>
      <x:c r="Z60" s="8"/>
    </x:row>
    <x:row r="61" ht="48" hidden="0" customHeight="1">
      <x:c r="A61" s="9" t="s">
        <x:v>683</x:v>
      </x:c>
      <x:c r="B61" s="9" t="s">
        <x:v>773</x:v>
      </x:c>
      <x:c r="C61" s="9" t="s">
        <x:v>774</x:v>
      </x:c>
      <x:c r="D61" s="9" t="s">
        <x:v>631</x:v>
      </x:c>
      <x:c r="E61" s="9" t="s">
        <x:v>848</x:v>
      </x:c>
      <x:c r="F61" s="9" t="s">
        <x:v>494</x:v>
      </x:c>
      <x:c r="G61" s="9" t="s">
        <x:v>98</x:v>
      </x:c>
      <x:c r="H61" s="9" t="s">
        <x:v>495</x:v>
      </x:c>
      <x:c r="I61" s="9" t="s">
        <x:v>516</x:v>
      </x:c>
      <x:c r="J61" s="9" t="s">
        <x:v>776</x:v>
      </x:c>
      <x:c r="K61" s="9" t="s">
        <x:v>777</x:v>
      </x:c>
      <x:c r="L61" s="9" t="s">
        <x:v>644</x:v>
      </x:c>
      <x:c r="M61" s="9" t="s">
        <x:v>681</x:v>
      </x:c>
      <x:c r="N61" s="9" t="s">
        <x:v>837</x:v>
      </x:c>
      <x:c r="O61" s="9" t="s">
        <x:v>847</x:v>
      </x:c>
      <x:c r="P61" s="8" t="s">
        <x:v>780</x:v>
      </x:c>
      <x:c r="Q61" s="8" t="s">
        <x:v>839</x:v>
      </x:c>
      <x:c r="R61" s="8" t="s">
        <x:v>782</x:v>
      </x:c>
      <x:c r="S61" s="8" t="s">
        <x:v>840</x:v>
      </x:c>
      <x:c r="T61" s="8"/>
      <x:c r="U61" s="9" t="s">
        <x:v>643</x:v>
      </x:c>
      <x:c r="V61" s="8"/>
      <x:c r="W61" s="8"/>
      <x:c r="X61" s="9" t="s">
        <x:v>414</x:v>
      </x:c>
      <x:c r="Y61" s="9" t="s">
        <x:v>74</x:v>
      </x:c>
      <x:c r="Z61" s="8"/>
    </x:row>
    <x:row r="62" ht="48" hidden="0" customHeight="1">
      <x:c r="A62" s="9" t="s">
        <x:v>692</x:v>
      </x:c>
      <x:c r="B62" s="9" t="s">
        <x:v>773</x:v>
      </x:c>
      <x:c r="C62" s="9" t="s">
        <x:v>774</x:v>
      </x:c>
      <x:c r="D62" s="9" t="s">
        <x:v>631</x:v>
      </x:c>
      <x:c r="E62" s="9" t="s">
        <x:v>849</x:v>
      </x:c>
      <x:c r="F62" s="9" t="s">
        <x:v>494</x:v>
      </x:c>
      <x:c r="G62" s="9" t="s">
        <x:v>98</x:v>
      </x:c>
      <x:c r="H62" s="9" t="s">
        <x:v>495</x:v>
      </x:c>
      <x:c r="I62" s="9" t="s">
        <x:v>516</x:v>
      </x:c>
      <x:c r="J62" s="9" t="s">
        <x:v>776</x:v>
      </x:c>
      <x:c r="K62" s="9" t="s">
        <x:v>777</x:v>
      </x:c>
      <x:c r="L62" s="9" t="s">
        <x:v>644</x:v>
      </x:c>
      <x:c r="M62" s="9" t="s">
        <x:v>700</x:v>
      </x:c>
      <x:c r="N62" s="9" t="s">
        <x:v>837</x:v>
      </x:c>
      <x:c r="O62" s="9" t="s">
        <x:v>850</x:v>
      </x:c>
      <x:c r="P62" s="8" t="s">
        <x:v>780</x:v>
      </x:c>
      <x:c r="Q62" s="8" t="s">
        <x:v>839</x:v>
      </x:c>
      <x:c r="R62" s="8" t="s">
        <x:v>782</x:v>
      </x:c>
      <x:c r="S62" s="8" t="s">
        <x:v>840</x:v>
      </x:c>
      <x:c r="T62" s="8"/>
      <x:c r="U62" s="9" t="s">
        <x:v>643</x:v>
      </x:c>
      <x:c r="V62" s="8"/>
      <x:c r="W62" s="8"/>
      <x:c r="X62" s="9" t="s">
        <x:v>414</x:v>
      </x:c>
      <x:c r="Y62" s="9" t="s">
        <x:v>74</x:v>
      </x:c>
      <x:c r="Z62" s="8"/>
    </x:row>
    <x:row r="63" ht="48" hidden="0" customHeight="1">
      <x:c r="A63" s="9" t="s">
        <x:v>702</x:v>
      </x:c>
      <x:c r="B63" s="9" t="s">
        <x:v>773</x:v>
      </x:c>
      <x:c r="C63" s="9" t="s">
        <x:v>774</x:v>
      </x:c>
      <x:c r="D63" s="9" t="s">
        <x:v>631</x:v>
      </x:c>
      <x:c r="E63" s="9" t="s">
        <x:v>851</x:v>
      </x:c>
      <x:c r="F63" s="9" t="s">
        <x:v>494</x:v>
      </x:c>
      <x:c r="G63" s="9" t="s">
        <x:v>88</x:v>
      </x:c>
      <x:c r="H63" s="9" t="s">
        <x:v>495</x:v>
      </x:c>
      <x:c r="I63" s="9" t="s">
        <x:v>534</x:v>
      </x:c>
      <x:c r="J63" s="9" t="s">
        <x:v>776</x:v>
      </x:c>
      <x:c r="K63" s="9" t="s">
        <x:v>777</x:v>
      </x:c>
      <x:c r="L63" s="9" t="s">
        <x:v>644</x:v>
      </x:c>
      <x:c r="M63" s="9" t="s">
        <x:v>852</x:v>
      </x:c>
      <x:c r="N63" s="9" t="str">
        <x:v>错误认证材料必须真实到达eHSM；读取soc_dbg_en_out并尝试实际Debug访问</x:v>
      </x:c>
      <x:c r="O63" s="9" t="str">
        <x:v>需负向fixture、soc_dbg_en_out和实际Debug通道观测方法</x:v>
      </x:c>
      <x:c r="P63" s="8" t="s">
        <x:v>780</x:v>
      </x:c>
      <x:c r="Q63" s="8" t="str">
        <x:v>原始认证失败且soc_dbg_en_out/实际Debug均保持关闭</x:v>
      </x:c>
      <x:c r="R63" s="8" t="str">
        <x:v>保存Mailbox提交、原始失败、寄存器快照、实际访问和健康查询证据</x:v>
      </x:c>
      <x:c r="S63" s="8" t="s">
        <x:v>840</x:v>
      </x:c>
      <x:c r="T63" s="8"/>
      <x:c r="U63" s="9" t="s">
        <x:v>643</x:v>
      </x:c>
      <x:c r="V63" s="8"/>
      <x:c r="W63" s="8"/>
      <x:c r="X63" s="9" t="s">
        <x:v>414</x:v>
      </x:c>
      <x:c r="Y63" s="9" t="s">
        <x:v>74</x:v>
      </x:c>
      <x:c r="Z63" s="8"/>
    </x:row>
    <x:row r="64" ht="48" hidden="0" customHeight="1">
      <x:c r="A64" s="9" t="s">
        <x:v>706</x:v>
      </x:c>
      <x:c r="B64" s="9" t="s">
        <x:v>773</x:v>
      </x:c>
      <x:c r="C64" s="9" t="s">
        <x:v>774</x:v>
      </x:c>
      <x:c r="D64" s="9" t="s">
        <x:v>631</x:v>
      </x:c>
      <x:c r="E64" s="9" t="s">
        <x:v>853</x:v>
      </x:c>
      <x:c r="F64" s="9" t="s">
        <x:v>494</x:v>
      </x:c>
      <x:c r="G64" s="9" t="s">
        <x:v>88</x:v>
      </x:c>
      <x:c r="H64" s="9" t="s">
        <x:v>495</x:v>
      </x:c>
      <x:c r="I64" s="9" t="s">
        <x:v>534</x:v>
      </x:c>
      <x:c r="J64" s="9" t="s">
        <x:v>776</x:v>
      </x:c>
      <x:c r="K64" s="9" t="s">
        <x:v>777</x:v>
      </x:c>
      <x:c r="L64" s="9" t="s">
        <x:v>644</x:v>
      </x:c>
      <x:c r="M64" s="9" t="s">
        <x:v>854</x:v>
      </x:c>
      <x:c r="N64" s="9" t="str">
        <x:v>错误认证材料必须真实到达eHSM；读取soc_dbg_en_out并尝试实际Debug访问</x:v>
      </x:c>
      <x:c r="O64" s="9" t="str">
        <x:v>需负向fixture、soc_dbg_en_out和实际Debug通道观测方法</x:v>
      </x:c>
      <x:c r="P64" s="8" t="s">
        <x:v>780</x:v>
      </x:c>
      <x:c r="Q64" s="8" t="str">
        <x:v>原始认证失败且soc_dbg_en_out/实际Debug均保持关闭</x:v>
      </x:c>
      <x:c r="R64" s="8" t="str">
        <x:v>保存Mailbox提交、原始失败、寄存器快照、实际访问和健康查询证据</x:v>
      </x:c>
      <x:c r="S64" s="8" t="s">
        <x:v>840</x:v>
      </x:c>
      <x:c r="T64" s="8"/>
      <x:c r="U64" s="9" t="s">
        <x:v>643</x:v>
      </x:c>
      <x:c r="V64" s="8"/>
      <x:c r="W64" s="8"/>
      <x:c r="X64" s="9" t="s">
        <x:v>414</x:v>
      </x:c>
      <x:c r="Y64" s="9" t="s">
        <x:v>74</x:v>
      </x:c>
      <x:c r="Z64" s="8"/>
    </x:row>
    <x:row r="65" ht="48" hidden="0" customHeight="1">
      <x:c r="A65" s="9" t="s">
        <x:v>710</x:v>
      </x:c>
      <x:c r="B65" s="9" t="s">
        <x:v>773</x:v>
      </x:c>
      <x:c r="C65" s="9" t="s">
        <x:v>774</x:v>
      </x:c>
      <x:c r="D65" s="9" t="s">
        <x:v>631</x:v>
      </x:c>
      <x:c r="E65" s="9" t="s">
        <x:v>855</x:v>
      </x:c>
      <x:c r="F65" s="9" t="s">
        <x:v>494</x:v>
      </x:c>
      <x:c r="G65" s="9" t="s">
        <x:v>88</x:v>
      </x:c>
      <x:c r="H65" s="9" t="s">
        <x:v>495</x:v>
      </x:c>
      <x:c r="I65" s="9" t="s">
        <x:v>534</x:v>
      </x:c>
      <x:c r="J65" s="9" t="s">
        <x:v>776</x:v>
      </x:c>
      <x:c r="K65" s="9" t="s">
        <x:v>777</x:v>
      </x:c>
      <x:c r="L65" s="9" t="s">
        <x:v>644</x:v>
      </x:c>
      <x:c r="M65" s="9" t="s">
        <x:v>718</x:v>
      </x:c>
      <x:c r="N65" s="9" t="s">
        <x:v>837</x:v>
      </x:c>
      <x:c r="O65" s="9" t="s">
        <x:v>856</x:v>
      </x:c>
      <x:c r="P65" s="8" t="s">
        <x:v>780</x:v>
      </x:c>
      <x:c r="Q65" s="8" t="s">
        <x:v>839</x:v>
      </x:c>
      <x:c r="R65" s="8" t="s">
        <x:v>782</x:v>
      </x:c>
      <x:c r="S65" s="8" t="s">
        <x:v>840</x:v>
      </x:c>
      <x:c r="T65" s="8"/>
      <x:c r="U65" s="9" t="s">
        <x:v>643</x:v>
      </x:c>
      <x:c r="V65" s="8"/>
      <x:c r="W65" s="8"/>
      <x:c r="X65" s="9" t="s">
        <x:v>414</x:v>
      </x:c>
      <x:c r="Y65" s="9" t="s">
        <x:v>74</x:v>
      </x:c>
      <x:c r="Z65" s="8"/>
    </x:row>
    <x:row r="66" ht="48" hidden="0" customHeight="1">
      <x:c r="A66" s="9" t="s">
        <x:v>720</x:v>
      </x:c>
      <x:c r="B66" s="9" t="s">
        <x:v>773</x:v>
      </x:c>
      <x:c r="C66" s="9" t="s">
        <x:v>774</x:v>
      </x:c>
      <x:c r="D66" s="9" t="s">
        <x:v>631</x:v>
      </x:c>
      <x:c r="E66" s="8" t="s">
        <x:v>857</x:v>
      </x:c>
      <x:c r="F66" s="9" t="s">
        <x:v>494</x:v>
      </x:c>
      <x:c r="G66" s="9" t="s">
        <x:v>88</x:v>
      </x:c>
      <x:c r="H66" s="9" t="s">
        <x:v>495</x:v>
      </x:c>
      <x:c r="I66" s="9" t="s">
        <x:v>534</x:v>
      </x:c>
      <x:c r="J66" s="9" t="s">
        <x:v>776</x:v>
      </x:c>
      <x:c r="K66" s="9" t="s">
        <x:v>777</x:v>
      </x:c>
      <x:c r="L66" s="9" t="s">
        <x:v>644</x:v>
      </x:c>
      <x:c r="M66" s="9" t="s">
        <x:v>728</x:v>
      </x:c>
      <x:c r="N66" s="9" t="s">
        <x:v>837</x:v>
      </x:c>
      <x:c r="O66" s="9" t="s">
        <x:v>858</x:v>
      </x:c>
      <x:c r="P66" s="8" t="s">
        <x:v>780</x:v>
      </x:c>
      <x:c r="Q66" s="8" t="s">
        <x:v>839</x:v>
      </x:c>
      <x:c r="R66" s="8" t="s">
        <x:v>782</x:v>
      </x:c>
      <x:c r="S66" s="8" t="s">
        <x:v>840</x:v>
      </x:c>
      <x:c r="T66" s="8"/>
      <x:c r="U66" s="9" t="s">
        <x:v>643</x:v>
      </x:c>
      <x:c r="V66" s="8"/>
      <x:c r="W66" s="8"/>
      <x:c r="X66" s="9" t="s">
        <x:v>414</x:v>
      </x:c>
      <x:c r="Y66" s="9" t="s">
        <x:v>74</x:v>
      </x:c>
      <x:c r="Z66" s="8"/>
    </x:row>
    <x:row r="67" ht="48" hidden="0" customHeight="1">
      <x:c r="A67" s="9" t="s">
        <x:v>729</x:v>
      </x:c>
      <x:c r="B67" s="9" t="s">
        <x:v>773</x:v>
      </x:c>
      <x:c r="C67" s="9" t="s">
        <x:v>774</x:v>
      </x:c>
      <x:c r="D67" s="9" t="s">
        <x:v>631</x:v>
      </x:c>
      <x:c r="E67" s="9" t="s">
        <x:v>859</x:v>
      </x:c>
      <x:c r="F67" s="9" t="s">
        <x:v>494</x:v>
      </x:c>
      <x:c r="G67" s="9" t="s">
        <x:v>88</x:v>
      </x:c>
      <x:c r="H67" s="9" t="s">
        <x:v>495</x:v>
      </x:c>
      <x:c r="I67" s="9" t="s">
        <x:v>534</x:v>
      </x:c>
      <x:c r="J67" s="9" t="s">
        <x:v>776</x:v>
      </x:c>
      <x:c r="K67" s="9" t="s">
        <x:v>777</x:v>
      </x:c>
      <x:c r="L67" s="9" t="s">
        <x:v>644</x:v>
      </x:c>
      <x:c r="M67" s="9" t="s">
        <x:v>737</x:v>
      </x:c>
      <x:c r="N67" s="9" t="s">
        <x:v>837</x:v>
      </x:c>
      <x:c r="O67" s="9" t="s">
        <x:v>860</x:v>
      </x:c>
      <x:c r="P67" s="8" t="s">
        <x:v>780</x:v>
      </x:c>
      <x:c r="Q67" s="8" t="s">
        <x:v>839</x:v>
      </x:c>
      <x:c r="R67" s="8" t="s">
        <x:v>782</x:v>
      </x:c>
      <x:c r="S67" s="8" t="s">
        <x:v>840</x:v>
      </x:c>
      <x:c r="T67" s="8"/>
      <x:c r="U67" s="9" t="s">
        <x:v>643</x:v>
      </x:c>
      <x:c r="V67" s="8"/>
      <x:c r="W67" s="8"/>
      <x:c r="X67" s="9" t="s">
        <x:v>414</x:v>
      </x:c>
      <x:c r="Y67" s="9" t="s">
        <x:v>74</x:v>
      </x:c>
      <x:c r="Z67" s="8"/>
    </x:row>
    <x:row r="68" ht="48" hidden="0" customHeight="1">
      <x:c r="A68" s="9" t="s">
        <x:v>739</x:v>
      </x:c>
      <x:c r="B68" s="9" t="s">
        <x:v>773</x:v>
      </x:c>
      <x:c r="C68" s="9" t="s">
        <x:v>774</x:v>
      </x:c>
      <x:c r="D68" s="9" t="s">
        <x:v>631</x:v>
      </x:c>
      <x:c r="E68" s="9" t="s">
        <x:v>861</x:v>
      </x:c>
      <x:c r="F68" s="9" t="s">
        <x:v>494</x:v>
      </x:c>
      <x:c r="G68" s="9" t="s">
        <x:v>88</x:v>
      </x:c>
      <x:c r="H68" s="9" t="s">
        <x:v>495</x:v>
      </x:c>
      <x:c r="I68" s="9" t="s">
        <x:v>534</x:v>
      </x:c>
      <x:c r="J68" s="9" t="s">
        <x:v>776</x:v>
      </x:c>
      <x:c r="K68" s="9" t="s">
        <x:v>777</x:v>
      </x:c>
      <x:c r="L68" s="9" t="s">
        <x:v>644</x:v>
      </x:c>
      <x:c r="M68" s="9" t="s">
        <x:v>747</x:v>
      </x:c>
      <x:c r="N68" s="9" t="s">
        <x:v>837</x:v>
      </x:c>
      <x:c r="O68" s="9" t="s">
        <x:v>862</x:v>
      </x:c>
      <x:c r="P68" s="8" t="s">
        <x:v>780</x:v>
      </x:c>
      <x:c r="Q68" s="8" t="s">
        <x:v>839</x:v>
      </x:c>
      <x:c r="R68" s="8" t="s">
        <x:v>782</x:v>
      </x:c>
      <x:c r="S68" s="8" t="s">
        <x:v>840</x:v>
      </x:c>
      <x:c r="T68" s="8"/>
      <x:c r="U68" s="9" t="s">
        <x:v>643</x:v>
      </x:c>
      <x:c r="V68" s="8"/>
      <x:c r="W68" s="8"/>
      <x:c r="X68" s="9" t="s">
        <x:v>414</x:v>
      </x:c>
      <x:c r="Y68" s="9" t="s">
        <x:v>74</x:v>
      </x:c>
      <x:c r="Z68" s="8"/>
    </x:row>
    <x:row r="69" ht="48" hidden="0" customHeight="1">
      <x:c r="A69" s="9" t="s">
        <x:v>749</x:v>
      </x:c>
      <x:c r="B69" s="9" t="s">
        <x:v>773</x:v>
      </x:c>
      <x:c r="C69" s="9" t="s">
        <x:v>774</x:v>
      </x:c>
      <x:c r="D69" s="9" t="s">
        <x:v>631</x:v>
      </x:c>
      <x:c r="E69" s="8" t="s">
        <x:v>863</x:v>
      </x:c>
      <x:c r="F69" s="9" t="s">
        <x:v>494</x:v>
      </x:c>
      <x:c r="G69" s="9" t="s">
        <x:v>88</x:v>
      </x:c>
      <x:c r="H69" s="9" t="s">
        <x:v>495</x:v>
      </x:c>
      <x:c r="I69" s="9" t="s">
        <x:v>516</x:v>
      </x:c>
      <x:c r="J69" s="9" t="s">
        <x:v>776</x:v>
      </x:c>
      <x:c r="K69" s="9" t="s">
        <x:v>777</x:v>
      </x:c>
      <x:c r="L69" s="9" t="s">
        <x:v>644</x:v>
      </x:c>
      <x:c r="M69" s="9" t="s">
        <x:v>757</x:v>
      </x:c>
      <x:c r="N69" s="9" t="s">
        <x:v>837</x:v>
      </x:c>
      <x:c r="O69" s="9" t="s">
        <x:v>864</x:v>
      </x:c>
      <x:c r="P69" s="8" t="s">
        <x:v>780</x:v>
      </x:c>
      <x:c r="Q69" s="8" t="s">
        <x:v>839</x:v>
      </x:c>
      <x:c r="R69" s="8" t="s">
        <x:v>782</x:v>
      </x:c>
      <x:c r="S69" s="8" t="s">
        <x:v>840</x:v>
      </x:c>
      <x:c r="T69" s="8"/>
      <x:c r="U69" s="9" t="s">
        <x:v>643</x:v>
      </x:c>
      <x:c r="V69" s="8"/>
      <x:c r="W69" s="8"/>
      <x:c r="X69" s="9" t="s">
        <x:v>414</x:v>
      </x:c>
      <x:c r="Y69" s="9" t="s">
        <x:v>74</x:v>
      </x:c>
      <x:c r="Z69" s="8"/>
    </x:row>
    <x:row r="70" ht="48" hidden="0" customHeight="1">
      <x:c r="A70" s="9" t="str">
        <x:v>SOC-SECCFG-001</x:v>
      </x:c>
      <x:c r="B70" s="9" t="str">
        <x:v>SoC集成用例</x:v>
      </x:c>
      <x:c r="C70" s="9" t="str">
        <x:v>SOC_INTEGRATION</x:v>
      </x:c>
      <x:c r="D70" s="9" t="str">
        <x:v>SEC_CFG</x:v>
      </x:c>
      <x:c r="E70" s="9" t="str">
        <x:v>SEC_CFG全部寄存器查询与值比较</x:v>
      </x:c>
      <x:c r="F70" s="9" t="str">
        <x:v>P0</x:v>
      </x:c>
      <x:c r="G70" s="9" t="str">
        <x:v>MEDIUM</x:v>
      </x:c>
      <x:c r="H70" s="9" t="str">
        <x:v>L3_EMU_INTEGRATION</x:v>
      </x:c>
      <x:c r="I70" s="9" t="str">
        <x:v>WAVE0_DAY0_SMOKE</x:v>
      </x:c>
      <x:c r="J70" s="9" t="str">
        <x:v>../baremetal</x:v>
      </x:c>
      <x:c r="K70" s="9" t="str">
        <x:v>DESIGN_COMPLETE</x:v>
      </x:c>
      <x:c r="L70" s="9" t="str">
        <x:v>MUST_PASS_IF_CAPABLE_OR_INCONCLUSIVE_WITH_OWNER</x:v>
      </x:c>
      <x:c r="M70" s="9" t="str">
        <x:v>NEEDS_SECCFG_ADDRESS_AND_EXPECTED_SNAPSHOT</x:v>
      </x:c>
      <x:c r="N70" s="8" t="str">
        <x:v>按SoC集成用例表实现；保持一个case内完成规定遍历/循环；禁止改变本行未授权的硬件配置</x:v>
      </x:c>
      <x:c r="O70" s="9" t="str">
        <x:v>NEEDS_SECCFG_ADDRESS_AND_EXPECTED_SNAPSHOT；实施前冻结地址、Master ID、IRQ/清除或Debug模块合同，并登记测试基线</x:v>
      </x:c>
      <x:c r="P70" s="8" t="str">
        <x:v>不得修改或定制eHSM BL/FW；不得增加测试命令/钩子；不得伪造eHSM Master ID、错误源或中断；不得以构建成功代替目标PASS</x:v>
      </x:c>
      <x:c r="Q70" s="8" t="str">
        <x:v>17个访问全部成功；每个原始值及拼接值符合场景期望；无总线错误或不可解释变化；未冻结字段不得猜测PASS。</x:v>
      </x:c>
      <x:c r="R70" s="8" t="str">
        <x:v>保存用例ID、循环项/Region/发起方、测试基线、寄存器或数据前后快照、原始响应、清理结果和日志哈希；协同/EDA证据按关联ID归档</x:v>
      </x:c>
      <x:c r="S70" s="8" t="str">
        <x:v>后续Codex先检查baremetal现状和仓库规则，再按本行契约规划实现；本任务不实施移植</x:v>
      </x:c>
      <x:c r="T70" s="8" t="str"/>
      <x:c r="U70" s="9" t="str">
        <x:v>PLANNED</x:v>
      </x:c>
      <x:c r="V70" s="8" t="str"/>
      <x:c r="W70" s="8" t="str"/>
      <x:c r="X70" s="9" t="str">
        <x:v>NOT_BUILT</x:v>
      </x:c>
      <x:c r="Y70" s="9" t="str">
        <x:v>TARGET_NOT_EXECUTED</x:v>
      </x:c>
      <x:c r="Z70" s="8" t="str"/>
    </x:row>
    <x:row r="71" ht="48" hidden="0" customHeight="1">
      <x:c r="A71" s="9" t="str">
        <x:v>SOC-SECCFG-DBG-001</x:v>
      </x:c>
      <x:c r="B71" s="9" t="str">
        <x:v>SoC集成用例</x:v>
      </x:c>
      <x:c r="C71" s="9" t="str">
        <x:v>SOC_INTEGRATION</x:v>
      </x:c>
      <x:c r="D71" s="9" t="str">
        <x:v>SEC_CFG_DEBUG</x:v>
      </x:c>
      <x:c r="E71" s="9" t="str">
        <x:v>dbg_en_cfg从Die Debug开关功能</x:v>
      </x:c>
      <x:c r="F71" s="9" t="str">
        <x:v>P0</x:v>
      </x:c>
      <x:c r="G71" s="9" t="str">
        <x:v>MEDIUM</x:v>
      </x:c>
      <x:c r="H71" s="9" t="str">
        <x:v>L3_EMU_EDA_CO_TEST</x:v>
      </x:c>
      <x:c r="I71" s="9" t="str">
        <x:v>WAVE3_MULTIDIE_FIREWALL_FAULT</x:v>
      </x:c>
      <x:c r="J71" s="9" t="str">
        <x:v>../baremetal</x:v>
      </x:c>
      <x:c r="K71" s="9" t="str">
        <x:v>DESIGN_COMPLETE</x:v>
      </x:c>
      <x:c r="L71" s="9" t="str">
        <x:v>MUST_PASS_IF_CAPABLE_OR_INCONCLUSIVE_WITH_OWNER</x:v>
      </x:c>
      <x:c r="M71" s="9" t="str">
        <x:v>NEEDS_DEBUG_MODULE_AND_DIE_PATH_BINDING</x:v>
      </x:c>
      <x:c r="N71" s="8" t="str">
        <x:v>实现软件编排和寄存器读写；通过Debug模块/EDA协同接口完成实际从Die Debug访问判定；不得用寄存器回读替代通道联通</x:v>
      </x:c>
      <x:c r="O71" s="9" t="str">
        <x:v>NEEDS_DEBUG_MODULE_AND_DIE_PATH_BINDING；实施前冻结地址、Master ID、IRQ/清除或Debug模块合同，并登记测试基线</x:v>
      </x:c>
      <x:c r="P71" s="8" t="str">
        <x:v>不得修改或定制eHSM BL/FW；不得增加测试命令/钩子；不得伪造eHSM Master ID、错误源或中断；不得以构建成功代替目标PASS</x:v>
      </x:c>
      <x:c r="Q71" s="8" t="str">
        <x:v>默认值关闭；主Die写入和回读一致；实际从Die Debug通道严格随dbg_en_cfg关闭→开放→关闭；仅寄存器回读正确但实际通道不同步即FAIL。</x:v>
      </x:c>
      <x:c r="R71" s="8" t="str">
        <x:v>保存用例ID、循环项/Region/发起方、测试基线、寄存器或数据前后快照、原始响应、清理结果和日志哈希；协同/EDA证据按关联ID归档</x:v>
      </x:c>
      <x:c r="S71" s="8" t="str">
        <x:v>后续Codex先检查baremetal现状和仓库规则，再按本行契约规划实现；本任务不实施移植</x:v>
      </x:c>
      <x:c r="T71" s="8" t="str">
        <x:v>soc_dbg_en_out不在本用例中作为功能判据；它属于Mailbox Debug鉴权用例</x:v>
      </x:c>
      <x:c r="U71" s="9" t="str">
        <x:v>PLANNED</x:v>
      </x:c>
      <x:c r="V71" s="8" t="str"/>
      <x:c r="W71" s="8" t="str"/>
      <x:c r="X71" s="9" t="str">
        <x:v>NOT_BUILT</x:v>
      </x:c>
      <x:c r="Y71" s="9" t="str">
        <x:v>TARGET_NOT_EXECUTED</x:v>
      </x:c>
      <x:c r="Z71" s="8" t="str"/>
    </x:row>
    <x:row r="72" ht="48" hidden="0" customHeight="1">
      <x:c r="A72" s="9" t="str">
        <x:v>SOC-FW-SECCFG-001</x:v>
      </x:c>
      <x:c r="B72" s="9" t="str">
        <x:v>SoC集成用例</x:v>
      </x:c>
      <x:c r="C72" s="9" t="str">
        <x:v>SOC_INTEGRATION</x:v>
      </x:c>
      <x:c r="D72" s="9" t="str">
        <x:v>FIREWALL</x:v>
      </x:c>
      <x:c r="E72" s="9" t="str">
        <x:v>SEC_CFG Firewall默认权限</x:v>
      </x:c>
      <x:c r="F72" s="9" t="str">
        <x:v>P0</x:v>
      </x:c>
      <x:c r="G72" s="9" t="str">
        <x:v>MEDIUM</x:v>
      </x:c>
      <x:c r="H72" s="9" t="str">
        <x:v>L3_EMU_INTEGRATION</x:v>
      </x:c>
      <x:c r="I72" s="9" t="str">
        <x:v>WAVE3_MULTIDIE_FIREWALL_FAULT</x:v>
      </x:c>
      <x:c r="J72" s="9" t="str">
        <x:v>../baremetal</x:v>
      </x:c>
      <x:c r="K72" s="9" t="str">
        <x:v>DESIGN_COMPLETE</x:v>
      </x:c>
      <x:c r="L72" s="9" t="str">
        <x:v>MUST_PASS_IF_CAPABLE_OR_INCONCLUSIVE_WITH_OWNER</x:v>
      </x:c>
      <x:c r="M72" s="9" t="str">
        <x:v>NEEDS_SECCFG_FIREWALL_DEFAULT_MATRIX</x:v>
      </x:c>
      <x:c r="N72" s="8" t="str">
        <x:v>按SoC集成用例表实现；保持一个case内完成规定遍历/循环；禁止改变本行未授权的硬件配置</x:v>
      </x:c>
      <x:c r="O72" s="9" t="str">
        <x:v>NEEDS_SECCFG_FIREWALL_DEFAULT_MATRIX；实施前冻结地址、Master ID、IRQ/清除或Debug模块合同，并登记测试基线</x:v>
      </x:c>
      <x:c r="P72" s="8" t="str">
        <x:v>不得修改或定制eHSM BL/FW；不得增加测试命令/钩子；不得伪造eHSM Master ID、错误源或中断；不得以构建成功代替目标PASS</x:v>
      </x:c>
      <x:c r="Q72" s="8" t="str">
        <x:v>启动核和eHSM访问成功；其他核读不获得受保护真值、写不产生副作用；Firewall配置始终未改变。没有eHSM公开路径时其子项转EDA-FW补充而非伪造软件PASS。</x:v>
      </x:c>
      <x:c r="R72" s="8" t="str">
        <x:v>保存用例ID、循环项/Region/发起方、测试基线、寄存器或数据前后快照、原始响应、清理结果和日志哈希；协同/EDA证据按关联ID归档</x:v>
      </x:c>
      <x:c r="S72" s="8" t="str">
        <x:v>后续Codex先检查baremetal现状和仓库规则，再按本行契约规划实现；本任务不实施移植</x:v>
      </x:c>
      <x:c r="T72" s="8" t="str"/>
      <x:c r="U72" s="9" t="str">
        <x:v>PLANNED</x:v>
      </x:c>
      <x:c r="V72" s="8" t="str"/>
      <x:c r="W72" s="8" t="str"/>
      <x:c r="X72" s="9" t="str">
        <x:v>NOT_BUILT</x:v>
      </x:c>
      <x:c r="Y72" s="9" t="str">
        <x:v>TARGET_NOT_EXECUTED</x:v>
      </x:c>
      <x:c r="Z72" s="8" t="str"/>
    </x:row>
    <x:row r="73" ht="48" hidden="0" customHeight="1">
      <x:c r="A73" s="9" t="str">
        <x:v>SOC-FW-SPIFC-001</x:v>
      </x:c>
      <x:c r="B73" s="9" t="str">
        <x:v>SoC集成用例</x:v>
      </x:c>
      <x:c r="C73" s="9" t="str">
        <x:v>SOC_INTEGRATION</x:v>
      </x:c>
      <x:c r="D73" s="9" t="str">
        <x:v>FIREWALL</x:v>
      </x:c>
      <x:c r="E73" s="9" t="str">
        <x:v>SPIFC Firewall默认权限</x:v>
      </x:c>
      <x:c r="F73" s="9" t="str">
        <x:v>P0</x:v>
      </x:c>
      <x:c r="G73" s="9" t="str">
        <x:v>MEDIUM</x:v>
      </x:c>
      <x:c r="H73" s="9" t="str">
        <x:v>L3_EMU_INTEGRATION</x:v>
      </x:c>
      <x:c r="I73" s="9" t="str">
        <x:v>WAVE3_MULTIDIE_FIREWALL_FAULT</x:v>
      </x:c>
      <x:c r="J73" s="9" t="str">
        <x:v>../baremetal</x:v>
      </x:c>
      <x:c r="K73" s="9" t="str">
        <x:v>DESIGN_COMPLETE</x:v>
      </x:c>
      <x:c r="L73" s="9" t="str">
        <x:v>MUST_PASS_IF_CAPABLE_OR_INCONCLUSIVE_WITH_OWNER</x:v>
      </x:c>
      <x:c r="M73" s="9" t="str">
        <x:v>NEEDS_SPIFC_FIREWALL_DEFAULT_MATRIX</x:v>
      </x:c>
      <x:c r="N73" s="8" t="str">
        <x:v>按SoC集成用例表实现；保持一个case内完成规定遍历/循环；禁止改变本行未授权的硬件配置</x:v>
      </x:c>
      <x:c r="O73" s="9" t="str">
        <x:v>NEEDS_SPIFC_FIREWALL_DEFAULT_MATRIX；实施前冻结地址、Master ID、IRQ/清除或Debug模块合同，并登记测试基线</x:v>
      </x:c>
      <x:c r="P73" s="8" t="str">
        <x:v>不得修改或定制eHSM BL/FW；不得增加测试命令/钩子；不得伪造eHSM Master ID、错误源或中断；不得以构建成功代替目标PASS</x:v>
      </x:c>
      <x:c r="Q73" s="8" t="str">
        <x:v>启动核和eHSM批准访问成功；其他核读不获得受保护真值、写不产生副作用；Firewall配置始终未改变。没有eHSM公开路径时其子项由EDA补齐。</x:v>
      </x:c>
      <x:c r="R73" s="8" t="str">
        <x:v>保存用例ID、循环项/Region/发起方、测试基线、寄存器或数据前后快照、原始响应、清理结果和日志哈希；协同/EDA证据按关联ID归档</x:v>
      </x:c>
      <x:c r="S73" s="8" t="str">
        <x:v>后续Codex先检查baremetal现状和仓库规则，再按本行契约规划实现；本任务不实施移植</x:v>
      </x:c>
      <x:c r="T73" s="8" t="str"/>
      <x:c r="U73" s="9" t="str">
        <x:v>PLANNED</x:v>
      </x:c>
      <x:c r="V73" s="8" t="str"/>
      <x:c r="W73" s="8" t="str"/>
      <x:c r="X73" s="9" t="str">
        <x:v>NOT_BUILT</x:v>
      </x:c>
      <x:c r="Y73" s="9" t="str">
        <x:v>TARGET_NOT_EXECUTED</x:v>
      </x:c>
      <x:c r="Z73" s="8" t="str"/>
    </x:row>
    <x:row r="74" ht="48" hidden="0" customHeight="1">
      <x:c r="A74" s="9" t="str">
        <x:v>SOC-FW-SRAM-001</x:v>
      </x:c>
      <x:c r="B74" s="9" t="str">
        <x:v>SoC集成用例</x:v>
      </x:c>
      <x:c r="C74" s="9" t="str">
        <x:v>SOC_INTEGRATION</x:v>
      </x:c>
      <x:c r="D74" s="9" t="str">
        <x:v>FIREWALL</x:v>
      </x:c>
      <x:c r="E74" s="9" t="str">
        <x:v>SRAM Firewall五Region默认权限</x:v>
      </x:c>
      <x:c r="F74" s="9" t="str">
        <x:v>P0</x:v>
      </x:c>
      <x:c r="G74" s="9" t="str">
        <x:v>MEDIUM</x:v>
      </x:c>
      <x:c r="H74" s="9" t="str">
        <x:v>L3_EMU_INTEGRATION</x:v>
      </x:c>
      <x:c r="I74" s="9" t="str">
        <x:v>WAVE3_MULTIDIE_FIREWALL_FAULT</x:v>
      </x:c>
      <x:c r="J74" s="9" t="str">
        <x:v>../baremetal</x:v>
      </x:c>
      <x:c r="K74" s="9" t="str">
        <x:v>DESIGN_COMPLETE</x:v>
      </x:c>
      <x:c r="L74" s="9" t="str">
        <x:v>MUST_PASS_IF_CAPABLE_OR_INCONCLUSIVE_WITH_OWNER</x:v>
      </x:c>
      <x:c r="M74" s="9" t="str">
        <x:v>NEEDS_SRAM_FIVE_REGION_DEFAULT_MATRIX</x:v>
      </x:c>
      <x:c r="N74" s="8" t="str">
        <x:v>按SoC集成用例表实现；保持一个case内完成规定遍历/循环；Region0～4不得拆成独立case；禁止改变本行未授权的硬件配置</x:v>
      </x:c>
      <x:c r="O74" s="9" t="str">
        <x:v>NEEDS_SRAM_FIVE_REGION_DEFAULT_MATRIX；实施前冻结地址、Master ID、IRQ/清除或Debug模块合同，并登记测试基线</x:v>
      </x:c>
      <x:c r="P74" s="8" t="str">
        <x:v>不得修改或定制eHSM BL/FW；不得增加测试命令/钩子；不得伪造eHSM Master ID、错误源或中断；不得以构建成功代替目标PASS</x:v>
      </x:c>
      <x:c r="Q74" s="8" t="str">
        <x:v>每个Region均满足启动核/eHSM可读写、其他核读不到受保护真值且写无副作用；相邻Region和哨兵不变；五组记录齐全才PASS。</x:v>
      </x:c>
      <x:c r="R74" s="8" t="str">
        <x:v>保存用例ID、循环项/Region/发起方、测试基线、寄存器或数据前后快照、原始响应、清理结果和日志哈希；协同/EDA证据按关联ID归档</x:v>
      </x:c>
      <x:c r="S74" s="8" t="str">
        <x:v>后续Codex先检查baremetal现状和仓库规则，再按本行契约规划实现；本任务不实施移植</x:v>
      </x:c>
      <x:c r="T74" s="8" t="str"/>
      <x:c r="U74" s="9" t="str">
        <x:v>PLANNED</x:v>
      </x:c>
      <x:c r="V74" s="8" t="str"/>
      <x:c r="W74" s="8" t="str"/>
      <x:c r="X74" s="9" t="str">
        <x:v>NOT_BUILT</x:v>
      </x:c>
      <x:c r="Y74" s="9" t="str">
        <x:v>TARGET_NOT_EXECUTED</x:v>
      </x:c>
      <x:c r="Z74" s="8" t="str"/>
    </x:row>
    <x:row r="75" ht="48" hidden="0" customHeight="1">
      <x:c r="A75" s="9" t="str">
        <x:v>SOC-FW-SRAM-RECFG-001</x:v>
      </x:c>
      <x:c r="B75" s="9" t="str">
        <x:v>SoC集成用例</x:v>
      </x:c>
      <x:c r="C75" s="9" t="str">
        <x:v>SOC_INTEGRATION</x:v>
      </x:c>
      <x:c r="D75" s="9" t="str">
        <x:v>FIREWALL</x:v>
      </x:c>
      <x:c r="E75" s="8" t="str">
        <x:v>SRAM Firewall五Region重新配置</x:v>
      </x:c>
      <x:c r="F75" s="9" t="str">
        <x:v>P0</x:v>
      </x:c>
      <x:c r="G75" s="9" t="str">
        <x:v>MEDIUM</x:v>
      </x:c>
      <x:c r="H75" s="9" t="str">
        <x:v>L3_EMU_INTEGRATION</x:v>
      </x:c>
      <x:c r="I75" s="9" t="str">
        <x:v>WAVE3_MULTIDIE_FIREWALL_FAULT</x:v>
      </x:c>
      <x:c r="J75" s="9" t="str">
        <x:v>../baremetal</x:v>
      </x:c>
      <x:c r="K75" s="9" t="str">
        <x:v>DESIGN_COMPLETE</x:v>
      </x:c>
      <x:c r="L75" s="9" t="str">
        <x:v>MUST_PASS_IF_CAPABLE_OR_INCONCLUSIVE_WITH_OWNER</x:v>
      </x:c>
      <x:c r="M75" s="9" t="str">
        <x:v>NEEDS_SRAM_FIVE_REGION_RECONFIG_CONTRACT</x:v>
      </x:c>
      <x:c r="N75" s="8" t="str">
        <x:v>按SoC集成用例表实现；保持一个case内完成规定遍历/循环；Region0～4不得拆成独立case；禁止改变本行未授权的硬件配置</x:v>
      </x:c>
      <x:c r="O75" s="9" t="str">
        <x:v>NEEDS_SRAM_FIVE_REGION_RECONFIG_CONTRACT；实施前冻结地址、Master ID、IRQ/清除或Debug模块合同，并登记测试基线</x:v>
      </x:c>
      <x:c r="P75" s="8" t="str">
        <x:v>不得修改或定制eHSM BL/FW；不得增加测试命令/钩子；不得伪造eHSM Master ID、错误源或中断；不得以构建成功代替目标PASS</x:v>
      </x:c>
      <x:c r="Q75" s="8" t="str">
        <x:v>五个Region均完成配置读回；新授权核仅能访问新范围；未授权核及范围外地址仍被阻断；其他Region无副作用；每轮和最终配置均恢复默认。</x:v>
      </x:c>
      <x:c r="R75" s="8" t="str">
        <x:v>保存用例ID、循环项/Region/发起方、测试基线、寄存器或数据前后快照、原始响应、清理结果和日志哈希；协同/EDA证据按关联ID归档</x:v>
      </x:c>
      <x:c r="S75" s="8" t="str">
        <x:v>后续Codex先检查baremetal现状和仓库规则，再按本行契约规划实现；本任务不实施移植</x:v>
      </x:c>
      <x:c r="T75" s="8" t="str"/>
      <x:c r="U75" s="9" t="str">
        <x:v>PLANNED</x:v>
      </x:c>
      <x:c r="V75" s="8" t="str"/>
      <x:c r="W75" s="8" t="str"/>
      <x:c r="X75" s="9" t="str">
        <x:v>NOT_BUILT</x:v>
      </x:c>
      <x:c r="Y75" s="9" t="str">
        <x:v>TARGET_NOT_EXECUTED</x:v>
      </x:c>
      <x:c r="Z75" s="8" t="str"/>
    </x:row>
    <x:row r="76" ht="48" hidden="0" customHeight="1">
      <x:c r="A76" s="9" t="str">
        <x:v>SOC-MAILBOX-IRQ-001</x:v>
      </x:c>
      <x:c r="B76" s="9" t="str">
        <x:v>SoC集成用例</x:v>
      </x:c>
      <x:c r="C76" s="9" t="str">
        <x:v>SOC_INTEGRATION</x:v>
      </x:c>
      <x:c r="D76" s="9" t="str">
        <x:v>MAILBOX_IRQ</x:v>
      </x:c>
      <x:c r="E76" s="8" t="str">
        <x:v>eHSM Mailbox中断路由与清除</x:v>
      </x:c>
      <x:c r="F76" s="9" t="str">
        <x:v>P0</x:v>
      </x:c>
      <x:c r="G76" s="9" t="str">
        <x:v>MEDIUM</x:v>
      </x:c>
      <x:c r="H76" s="9" t="str">
        <x:v>L3_EMU_INTEGRATION</x:v>
      </x:c>
      <x:c r="I76" s="9" t="str">
        <x:v>WAVE0_DAY0_SMOKE</x:v>
      </x:c>
      <x:c r="J76" s="9" t="str">
        <x:v>../baremetal</x:v>
      </x:c>
      <x:c r="K76" s="9" t="str">
        <x:v>DESIGN_COMPLETE</x:v>
      </x:c>
      <x:c r="L76" s="9" t="str">
        <x:v>MUST_PASS_IF_CAPABLE_OR_INCONCLUSIVE_WITH_OWNER</x:v>
      </x:c>
      <x:c r="M76" s="9" t="str">
        <x:v>NEEDS_MAILBOX_IRQ_CHANNEL_AND_CLEAR_MAP</x:v>
      </x:c>
      <x:c r="N76" s="8" t="str">
        <x:v>按SoC集成用例表实现；保持一个case内完成规定遍历/循环；禁止改变本行未授权的硬件配置</x:v>
      </x:c>
      <x:c r="O76" s="9" t="str">
        <x:v>NEEDS_MAILBOX_IRQ_CHANNEL_AND_CLEAR_MAP；实施前冻结地址、Master ID、IRQ/清除或Debug模块合同，并登记测试基线</x:v>
      </x:c>
      <x:c r="P76" s="8" t="str">
        <x:v>不得修改或定制eHSM BL/FW；不得增加测试命令/钩子；不得伪造eHSM Master ID、错误源或中断；不得以构建成功代替目标PASS</x:v>
      </x:c>
      <x:c r="Q76" s="8" t="str">
        <x:v>只有目标通道ISR计数增加；清除后中断撤销且可再次触发；屏蔽时不进入ISR但事务不丢；无跨通道串扰；APLIC软件置位或C908自写Mailbox不算PASS。</x:v>
      </x:c>
      <x:c r="R76" s="8" t="str">
        <x:v>保存用例ID、循环项/Region/发起方、测试基线、寄存器或数据前后快照、原始响应、清理结果和日志哈希；协同/EDA证据按关联ID归档</x:v>
      </x:c>
      <x:c r="S76" s="8" t="str">
        <x:v>后续Codex先检查baremetal现状和仓库规则，再按本行契约规划实现；本任务不实施移植</x:v>
      </x:c>
      <x:c r="T76" s="8" t="str"/>
      <x:c r="U76" s="9" t="str">
        <x:v>PLANNED</x:v>
      </x:c>
      <x:c r="V76" s="8" t="str"/>
      <x:c r="W76" s="8" t="str"/>
      <x:c r="X76" s="9" t="str">
        <x:v>NOT_BUILT</x:v>
      </x:c>
      <x:c r="Y76" s="9" t="str">
        <x:v>TARGET_NOT_EXECUTED</x:v>
      </x:c>
      <x:c r="Z76" s="8" t="str"/>
    </x:row>
    <x:row r="77" ht="48" hidden="0" customHeight="1">
      <x:c r="A77" s="9"/>
      <x:c r="B77" s="9"/>
      <x:c r="C77" s="9"/>
      <x:c r="D77" s="9"/>
      <x:c r="E77" s="9"/>
      <x:c r="F77" s="9"/>
      <x:c r="G77" s="9"/>
      <x:c r="H77" s="9"/>
      <x:c r="I77" s="9"/>
      <x:c r="J77" s="9"/>
      <x:c r="K77" s="9"/>
      <x:c r="L77" s="9"/>
      <x:c r="M77" s="9"/>
      <x:c r="N77" s="8"/>
      <x:c r="O77" s="9"/>
      <x:c r="P77" s="8"/>
      <x:c r="Q77" s="8"/>
      <x:c r="R77" s="8"/>
      <x:c r="S77" s="8"/>
      <x:c r="T77" s="8"/>
      <x:c r="U77" s="9"/>
      <x:c r="V77" s="8"/>
      <x:c r="W77" s="8"/>
      <x:c r="X77" s="9"/>
      <x:c r="Y77" s="9"/>
      <x:c r="Z77" s="8"/>
    </x:row>
  </x:sheetData>
  <x:mergeCells>
    <x:mergeCell ref="A1:Z1"/>
  </x:mergeCells>
  <x:conditionalFormatting sqref="G4:M77">
    <x:cfRule type="containsText" dxfId="30" priority="2" aboveAverage="0" percent="0" bottom="0" operator="containsText" text="BLOCK" rank="0" equalAverage="0">
      <x:formula>NOT(ISERROR(SEARCH("BLOCK",G4)))</x:formula>
    </x:cfRule>
    <x:cfRule type="containsText" dxfId="31" priority="3" aboveAverage="0" percent="0" bottom="0" operator="containsText" text="NEEDS" rank="0" equalAverage="0">
      <x:formula>NOT(ISERROR(SEARCH("NEEDS",G4)))</x:formula>
    </x:cfRule>
    <x:cfRule type="containsText" dxfId="32" priority="4" aboveAverage="0" percent="0" bottom="0" operator="containsText" text="READY" rank="0" equalAverage="0">
      <x:formula>NOT(ISERROR(SEARCH("READY",G4)))</x:formula>
    </x:cfRule>
    <x:cfRule type="containsText" dxfId="33" priority="5" aboveAverage="0" percent="0" bottom="0" operator="containsText" text="COMPLETED" rank="0" equalAverage="0">
      <x:formula>NOT(ISERROR(SEARCH("COMPLETED",G4)))</x:formula>
    </x:cfRule>
    <x:cfRule type="containsText" dxfId="34" priority="6" aboveAverage="0" percent="0" bottom="0" operator="containsText" text="SUPERSEDED" rank="0" equalAverage="0">
      <x:formula>NOT(ISERROR(SEARCH("SUPERSEDED",G4)))</x:formula>
    </x:cfRule>
    <x:cfRule type="containsText" dxfId="35" priority="7" aboveAverage="0" percent="0" bottom="0" operator="containsText" text="N/A" rank="0" equalAverage="0">
      <x:formula>NOT(ISERROR(SEARCH("N/A",G4)))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c13a263d8eb4628"/>
  </x:tableParts>
</x:worksheet>
</file>

<file path=xl/worksheets/sheet8.xml><?xml version="1.0" encoding="utf-8"?>
<x:worksheet xmlns:x="http://schemas.openxmlformats.org/spreadsheetml/2006/main">
  <x:sheetViews>
    <x:sheetView showGridLines="1" workbookViewId="0"/>
  </x:sheetViews>
  <x:sheetFormatPr defaultColWidth="10.76953125" defaultRowHeight="15"/>
  <x:cols>
    <x:col min="1" max="2" width="17.639999389648438" hidden="0" customWidth="1"/>
    <x:col min="3" max="5" width="42.849998474121094" hidden="0" customWidth="1"/>
    <x:col min="6" max="6" width="30.239999771118164" hidden="0" customWidth="1"/>
    <x:col min="7" max="7" width="37.810001373291016" hidden="0" customWidth="1"/>
  </x:cols>
  <x:sheetData>
    <x:row r="1" ht="19.200000762939453" hidden="0" customHeight="1">
      <x:c r="A1" s="10" t="s">
        <x:v>865</x:v>
      </x:c>
      <x:c r="B1" s="10"/>
      <x:c r="C1" s="10"/>
      <x:c r="D1" s="10"/>
      <x:c r="E1" s="10"/>
      <x:c r="F1" s="10"/>
      <x:c r="G1" s="10"/>
    </x:row>
    <x:row r="2"/>
    <x:row r="3" ht="15" hidden="0" customHeight="1">
      <x:c r="A3" s="2" t="s">
        <x:v>866</x:v>
      </x:c>
      <x:c r="B3" s="11" t="s">
        <x:v>34</x:v>
      </x:c>
      <x:c r="C3" s="11" t="s">
        <x:v>867</x:v>
      </x:c>
      <x:c r="D3" s="11" t="s">
        <x:v>868</x:v>
      </x:c>
      <x:c r="E3" s="11" t="s">
        <x:v>869</x:v>
      </x:c>
      <x:c r="F3" s="11" t="s">
        <x:v>762</x:v>
      </x:c>
      <x:c r="G3" s="3" t="s">
        <x:v>870</x:v>
      </x:c>
    </x:row>
    <x:row r="4" ht="15" hidden="0" customHeight="1">
      <x:c r="A4" s="6" t="n">
        <x:v>46232</x:v>
      </x:c>
      <x:c r="B4" s="7" t="s">
        <x:v>871</x:v>
      </x:c>
      <x:c r="C4" s="5" t="s">
        <x:v>872</x:v>
      </x:c>
      <x:c r="D4" s="7" t="s">
        <x:v>873</x:v>
      </x:c>
      <x:c r="E4" s="5" t="s">
        <x:v>874</x:v>
      </x:c>
      <x:c r="F4" s="7" t="s">
        <x:v>875</x:v>
      </x:c>
      <x:c r="G4" s="7" t="s">
        <x:v>876</x:v>
      </x:c>
    </x:row>
    <x:row r="5" ht="15" hidden="0" customHeight="1">
      <x:c r="A5" s="14" t="n">
        <x:v>46232</x:v>
      </x:c>
      <x:c r="B5" s="9" t="s">
        <x:v>877</x:v>
      </x:c>
      <x:c r="C5" s="8" t="s">
        <x:v>878</x:v>
      </x:c>
      <x:c r="D5" s="9" t="s">
        <x:v>879</x:v>
      </x:c>
      <x:c r="E5" s="9" t="s">
        <x:v>880</x:v>
      </x:c>
      <x:c r="F5" s="9" t="s">
        <x:v>881</x:v>
      </x:c>
      <x:c r="G5" s="9" t="s">
        <x:v>882</x:v>
      </x:c>
    </x:row>
    <x:row r="6" ht="15" hidden="0" customHeight="1">
      <x:c r="A6" s="14" t="n">
        <x:v>46232</x:v>
      </x:c>
      <x:c r="B6" s="9" t="s">
        <x:v>883</x:v>
      </x:c>
      <x:c r="C6" s="8" t="s">
        <x:v>884</x:v>
      </x:c>
      <x:c r="D6" s="9" t="s">
        <x:v>885</x:v>
      </x:c>
      <x:c r="E6" s="8" t="s">
        <x:v>886</x:v>
      </x:c>
      <x:c r="F6" s="9" t="s">
        <x:v>875</x:v>
      </x:c>
      <x:c r="G6" s="9" t="s">
        <x:v>887</x:v>
      </x:c>
    </x:row>
    <x:row r="7" ht="24" hidden="0" customHeight="1">
      <x:c r="A7" s="14" t="n">
        <x:v>46232</x:v>
      </x:c>
      <x:c r="B7" s="9" t="s">
        <x:v>888</x:v>
      </x:c>
      <x:c r="C7" s="8" t="s">
        <x:v>889</x:v>
      </x:c>
      <x:c r="D7" s="8" t="s">
        <x:v>890</x:v>
      </x:c>
      <x:c r="E7" s="8" t="s">
        <x:v>891</x:v>
      </x:c>
      <x:c r="F7" s="9" t="s">
        <x:v>892</x:v>
      </x:c>
      <x:c r="G7" s="9" t="s">
        <x:v>893</x:v>
      </x:c>
    </x:row>
    <x:row r="8" ht="24" hidden="0" customHeight="1">
      <x:c r="A8" s="14" t="n">
        <x:v>46232</x:v>
      </x:c>
      <x:c r="B8" s="9" t="s">
        <x:v>894</x:v>
      </x:c>
      <x:c r="C8" s="8" t="s">
        <x:v>895</x:v>
      </x:c>
      <x:c r="D8" s="8" t="s">
        <x:v>896</x:v>
      </x:c>
      <x:c r="E8" s="8" t="s">
        <x:v>897</x:v>
      </x:c>
      <x:c r="F8" s="9" t="s">
        <x:v>892</x:v>
      </x:c>
      <x:c r="G8" s="9" t="s">
        <x:v>898</x:v>
      </x:c>
    </x:row>
    <x:row r="9" ht="15" hidden="0" customHeight="1">
      <x:c r="A9" s="14" t="n">
        <x:v>46232</x:v>
      </x:c>
      <x:c r="B9" s="9" t="s">
        <x:v>899</x:v>
      </x:c>
      <x:c r="C9" s="8" t="s">
        <x:v>900</x:v>
      </x:c>
      <x:c r="D9" s="9" t="s">
        <x:v>901</x:v>
      </x:c>
      <x:c r="E9" s="8" t="s">
        <x:v>902</x:v>
      </x:c>
      <x:c r="F9" s="9" t="s">
        <x:v>892</x:v>
      </x:c>
      <x:c r="G9" s="9" t="s">
        <x:v>903</x:v>
      </x:c>
    </x:row>
    <x:row r="10" ht="15" hidden="0" customHeight="1">
      <x:c r="A10" s="14" t="n">
        <x:v>46232</x:v>
      </x:c>
      <x:c r="B10" s="9" t="s">
        <x:v>904</x:v>
      </x:c>
      <x:c r="C10" s="8" t="s">
        <x:v>905</x:v>
      </x:c>
      <x:c r="D10" s="8" t="s">
        <x:v>906</x:v>
      </x:c>
      <x:c r="E10" s="8" t="s">
        <x:v>907</x:v>
      </x:c>
      <x:c r="F10" s="9" t="s">
        <x:v>908</x:v>
      </x:c>
      <x:c r="G10" s="8" t="s">
        <x:v>909</x:v>
      </x:c>
    </x:row>
    <x:row r="11" ht="24" hidden="0" customHeight="1">
      <x:c r="A11" s="14" t="n">
        <x:v>46237</x:v>
      </x:c>
      <x:c r="B11" s="9" t="s">
        <x:v>910</x:v>
      </x:c>
      <x:c r="C11" s="8" t="s">
        <x:v>911</x:v>
      </x:c>
      <x:c r="D11" s="8" t="s">
        <x:v>912</x:v>
      </x:c>
      <x:c r="E11" s="8" t="s">
        <x:v>913</x:v>
      </x:c>
      <x:c r="F11" s="9" t="s">
        <x:v>892</x:v>
      </x:c>
      <x:c r="G11" s="9" t="s">
        <x:v>914</x:v>
      </x:c>
    </x:row>
    <x:row r="12" ht="36" hidden="0" customHeight="1">
      <x:c r="A12" s="14" t="n">
        <x:v>46237</x:v>
      </x:c>
      <x:c r="B12" s="9" t="s">
        <x:v>915</x:v>
      </x:c>
      <x:c r="C12" s="8" t="s">
        <x:v>916</x:v>
      </x:c>
      <x:c r="D12" s="8" t="s">
        <x:v>917</x:v>
      </x:c>
      <x:c r="E12" s="8" t="s">
        <x:v>918</x:v>
      </x:c>
      <x:c r="F12" s="9" t="s">
        <x:v>892</x:v>
      </x:c>
      <x:c r="G12" s="9" t="s">
        <x:v>919</x:v>
      </x:c>
    </x:row>
    <x:row r="13" ht="24" hidden="0" customHeight="1">
      <x:c r="A13" s="14" t="n">
        <x:v>46237</x:v>
      </x:c>
      <x:c r="B13" s="9" t="s">
        <x:v>920</x:v>
      </x:c>
      <x:c r="C13" s="8" t="s">
        <x:v>921</x:v>
      </x:c>
      <x:c r="D13" s="8" t="s">
        <x:v>922</x:v>
      </x:c>
      <x:c r="E13" s="8" t="s">
        <x:v>923</x:v>
      </x:c>
      <x:c r="F13" s="9" t="s">
        <x:v>875</x:v>
      </x:c>
      <x:c r="G13" s="9" t="s">
        <x:v>924</x:v>
      </x:c>
    </x:row>
    <x:row r="14" ht="24" hidden="0" customHeight="1">
      <x:c r="A14" s="14" t="n">
        <x:v>46237</x:v>
      </x:c>
      <x:c r="B14" s="9" t="s">
        <x:v>925</x:v>
      </x:c>
      <x:c r="C14" s="8" t="s">
        <x:v>926</x:v>
      </x:c>
      <x:c r="D14" s="8" t="s">
        <x:v>927</x:v>
      </x:c>
      <x:c r="E14" s="8" t="s">
        <x:v>928</x:v>
      </x:c>
      <x:c r="F14" s="9" t="s">
        <x:v>875</x:v>
      </x:c>
      <x:c r="G14" s="8" t="s">
        <x:v>929</x:v>
      </x:c>
    </x:row>
    <x:row r="15" ht="36" hidden="0" customHeight="1">
      <x:c r="A15" s="14" t="n">
        <x:v>46238</x:v>
      </x:c>
      <x:c r="B15" s="9" t="s">
        <x:v>930</x:v>
      </x:c>
      <x:c r="C15" s="8" t="s">
        <x:v>931</x:v>
      </x:c>
      <x:c r="D15" s="8" t="s">
        <x:v>932</x:v>
      </x:c>
      <x:c r="E15" s="8" t="s">
        <x:v>933</x:v>
      </x:c>
      <x:c r="F15" s="9" t="s">
        <x:v>875</x:v>
      </x:c>
      <x:c r="G15" s="8" t="s">
        <x:v>934</x:v>
      </x:c>
    </x:row>
    <x:row r="16" ht="24" hidden="0" customHeight="1">
      <x:c r="A16" s="14" t="n">
        <x:v>46240</x:v>
      </x:c>
      <x:c r="B16" s="9" t="s">
        <x:v>935</x:v>
      </x:c>
      <x:c r="C16" s="8" t="s">
        <x:v>936</x:v>
      </x:c>
      <x:c r="D16" s="9" t="s">
        <x:v>937</x:v>
      </x:c>
      <x:c r="E16" s="8" t="s">
        <x:v>938</x:v>
      </x:c>
      <x:c r="F16" s="9" t="s">
        <x:v>875</x:v>
      </x:c>
      <x:c r="G16" s="9" t="s">
        <x:v>939</x:v>
      </x:c>
    </x:row>
    <x:row r="17" ht="24" hidden="0" customHeight="1">
      <x:c r="A17" s="14" t="n">
        <x:v>46241</x:v>
      </x:c>
      <x:c r="B17" s="9" t="s">
        <x:v>940</x:v>
      </x:c>
      <x:c r="C17" s="8" t="s">
        <x:v>941</x:v>
      </x:c>
      <x:c r="D17" s="9" t="s">
        <x:v>942</x:v>
      </x:c>
      <x:c r="E17" s="9" t="s">
        <x:v>943</x:v>
      </x:c>
      <x:c r="F17" s="9" t="s">
        <x:v>944</x:v>
      </x:c>
      <x:c r="G17" s="9" t="s">
        <x:v>75</x:v>
      </x:c>
    </x:row>
    <x:row r="18" ht="24" hidden="0" customHeight="1">
      <x:c r="A18" s="14" t="n">
        <x:v>46242</x:v>
      </x:c>
      <x:c r="B18" s="9" t="s">
        <x:v>945</x:v>
      </x:c>
      <x:c r="C18" s="8" t="s">
        <x:v>946</x:v>
      </x:c>
      <x:c r="D18" s="9" t="s">
        <x:v>947</x:v>
      </x:c>
      <x:c r="E18" s="9" t="s">
        <x:v>948</x:v>
      </x:c>
      <x:c r="F18" s="9" t="s">
        <x:v>944</x:v>
      </x:c>
      <x:c r="G18" s="9" t="s">
        <x:v>949</x:v>
      </x:c>
    </x:row>
    <x:row r="19" ht="36" hidden="0" customHeight="1">
      <x:c r="A19" s="14" t="n">
        <x:v>46244</x:v>
      </x:c>
      <x:c r="B19" s="9" t="s">
        <x:v>950</x:v>
      </x:c>
      <x:c r="C19" s="8" t="s">
        <x:v>951</x:v>
      </x:c>
      <x:c r="D19" s="9" t="s">
        <x:v>952</x:v>
      </x:c>
      <x:c r="E19" s="9" t="s">
        <x:v>953</x:v>
      </x:c>
      <x:c r="F19" s="9" t="s">
        <x:v>944</x:v>
      </x:c>
      <x:c r="G19" s="9" t="s">
        <x:v>954</x:v>
      </x:c>
    </x:row>
    <x:row r="20" ht="24" hidden="0" customHeight="1">
      <x:c r="A20" s="14" t="n">
        <x:v>46244</x:v>
      </x:c>
      <x:c r="B20" s="9" t="s">
        <x:v>955</x:v>
      </x:c>
      <x:c r="C20" s="8" t="s">
        <x:v>956</x:v>
      </x:c>
      <x:c r="D20" s="9" t="s">
        <x:v>957</x:v>
      </x:c>
      <x:c r="E20" s="8" t="s">
        <x:v>958</x:v>
      </x:c>
      <x:c r="F20" s="9" t="s">
        <x:v>875</x:v>
      </x:c>
      <x:c r="G20" s="9" t="s">
        <x:v>959</x:v>
      </x:c>
    </x:row>
    <x:row r="21" ht="15" hidden="0" customHeight="1">
      <x:c r="A21" s="63" t="n">
        <x:v>46247</x:v>
      </x:c>
      <x:c r="B21" t="str">
        <x:v>W2-06</x:v>
      </x:c>
      <x:c r="C21" t="str">
        <x:v>收敛SoC安全方案测试用例与EDA边界</x:v>
      </x:c>
      <x:c r="D21" t="str">
        <x:v>SRC-0025/0026/0027及项目负责人多轮裁决</x:v>
      </x:c>
      <x:c r="E21" t="str">
        <x:v>形成v0.3.8：Mailbox软件66 + SoC软件/协同7 = Codex可移植73；3项EDA/硬件需求不移植；SRAM两条各覆盖5个Region</x:v>
      </x:c>
      <x:c r="F21" t="str">
        <x:v>COMPLETED / NOT_EXECUTED</x:v>
      </x:c>
      <x:c r="G21" t="str">
        <x:v>更新Debug寄存器分工、Firewall默认矩阵、Mailbox IRQ、严重错误/ECC1B EDA需求</x:v>
      </x:c>
    </x:row>
  </x:sheetData>
  <x:mergeCells>
    <x:mergeCell ref="A1:G1"/>
  </x:mergeCells>
  <x:conditionalFormatting sqref="F4:F20">
    <x:cfRule type="containsText" dxfId="36" priority="2" aboveAverage="0" percent="0" bottom="0" operator="containsText" text="BLOCK" rank="0" equalAverage="0">
      <x:formula>NOT(ISERROR(SEARCH("BLOCK",F4)))</x:formula>
    </x:cfRule>
    <x:cfRule type="containsText" dxfId="37" priority="3" aboveAverage="0" percent="0" bottom="0" operator="containsText" text="NEEDS" rank="0" equalAverage="0">
      <x:formula>NOT(ISERROR(SEARCH("NEEDS",F4)))</x:formula>
    </x:cfRule>
    <x:cfRule type="containsText" dxfId="38" priority="4" aboveAverage="0" percent="0" bottom="0" operator="containsText" text="READY" rank="0" equalAverage="0">
      <x:formula>NOT(ISERROR(SEARCH("READY",F4)))</x:formula>
    </x:cfRule>
    <x:cfRule type="containsText" dxfId="39" priority="5" aboveAverage="0" percent="0" bottom="0" operator="containsText" text="COMPLETED" rank="0" equalAverage="0">
      <x:formula>NOT(ISERROR(SEARCH("COMPLETED",F4)))</x:formula>
    </x:cfRule>
    <x:cfRule type="containsText" dxfId="40" priority="6" aboveAverage="0" percent="0" bottom="0" operator="containsText" text="SUPERSEDED" rank="0" equalAverage="0">
      <x:formula>NOT(ISERROR(SEARCH("SUPERSEDED",F4)))</x:formula>
    </x:cfRule>
    <x:cfRule type="containsText" dxfId="41" priority="7" aboveAverage="0" percent="0" bottom="0" operator="containsText" text="N/A" rank="0" equalAverage="0">
      <x:formula>NOT(ISERROR(SEARCH("N/A",F4)))</x:formula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1" workbookViewId="0"/>
  </x:sheetViews>
  <x:sheetFormatPr defaultColWidth="10.76953125" defaultRowHeight="15"/>
  <x:cols>
    <x:col min="1" max="2" width="22.690000534057617" hidden="0" customWidth="1"/>
    <x:col min="3" max="3" width="73.08999633789062" hidden="0" customWidth="1"/>
    <x:col min="4" max="4" width="20.170000076293945" hidden="0" customWidth="1"/>
    <x:col min="5" max="5" width="52.91999816894531" hidden="0" customWidth="1"/>
    <x:col min="6" max="6" width="35.290000915527344" hidden="0" customWidth="1"/>
    <x:col min="7" max="7" width="21.43000030517578" hidden="0" customWidth="1"/>
    <x:col min="8" max="8" width="45.90999984741211" hidden="0" customWidth="1"/>
  </x:cols>
  <x:sheetData>
    <x:row r="1" ht="19.200000762939453" hidden="0" customHeight="1">
      <x:c r="A1" s="10" t="s">
        <x:v>960</x:v>
      </x:c>
      <x:c r="B1" s="10"/>
      <x:c r="C1" s="10"/>
      <x:c r="D1" s="10"/>
      <x:c r="E1" s="10"/>
      <x:c r="F1" s="10"/>
      <x:c r="G1" s="10"/>
      <x:c r="H1" s="10"/>
    </x:row>
    <x:row r="2"/>
    <x:row r="3" ht="15" hidden="0" customHeight="1">
      <x:c r="A3" s="15" t="s">
        <x:v>961</x:v>
      </x:c>
      <x:c r="B3" s="11" t="s">
        <x:v>962</x:v>
      </x:c>
      <x:c r="C3" s="11" t="s">
        <x:v>963</x:v>
      </x:c>
      <x:c r="D3" s="11" t="s">
        <x:v>964</x:v>
      </x:c>
      <x:c r="E3" s="11" t="s">
        <x:v>965</x:v>
      </x:c>
      <x:c r="F3" s="3" t="s">
        <x:v>966</x:v>
      </x:c>
      <x:c r="G3" s="3" t="s">
        <x:v>967</x:v>
      </x:c>
      <x:c r="H3" s="3" t="s">
        <x:v>968</x:v>
      </x:c>
    </x:row>
    <x:row r="4" ht="24" hidden="0" customHeight="1">
      <x:c r="A4" s="7" t="s">
        <x:v>882</x:v>
      </x:c>
      <x:c r="B4" s="5" t="s">
        <x:v>969</x:v>
      </x:c>
      <x:c r="C4" s="5" t="s">
        <x:v>970</x:v>
      </x:c>
      <x:c r="D4" s="7" t="s">
        <x:v>971</x:v>
      </x:c>
      <x:c r="E4" s="7" t="s">
        <x:v>972</x:v>
      </x:c>
      <x:c r="F4" s="7" t="s">
        <x:v>973</x:v>
      </x:c>
      <x:c r="G4" s="7" t="s">
        <x:v>974</x:v>
      </x:c>
      <x:c r="H4" s="5" t="s">
        <x:v>975</x:v>
      </x:c>
    </x:row>
    <x:row r="5" ht="36" hidden="0" customHeight="1">
      <x:c r="A5" s="9" t="str">
        <x:v>Q-002</x:v>
      </x:c>
      <x:c r="B5" s="9" t="str">
        <x:v>SEC_CFG绑定</x:v>
      </x:c>
      <x:c r="C5" s="9" t="str">
        <x:v>SEC_CFG最终base/size、17个寄存器地址和场景期望快照是什么？</x:v>
      </x:c>
      <x:c r="D5" s="9" t="str">
        <x:v>PORTING_BLOCKER</x:v>
      </x:c>
      <x:c r="E5" s="8" t="str">
        <x:v>关闭OPEN-CONFLICT-015并冻结SOC-SECCFG-001期望表</x:v>
      </x:c>
      <x:c r="F5" s="9" t="str"/>
      <x:c r="G5" s="9" t="str">
        <x:v>OPEN</x:v>
      </x:c>
      <x:c r="H5" s="9" t="str">
        <x:v>截图offset可用；最终D0地址/期望仍缺</x:v>
      </x:c>
    </x:row>
    <x:row r="6" ht="15" hidden="0" customHeight="1">
      <x:c r="A6" s="9" t="str">
        <x:v>Q-003</x:v>
      </x:c>
      <x:c r="B6" s="9" t="str">
        <x:v>Firewall默认权限</x:v>
      </x:c>
      <x:c r="C6" s="9" t="str">
        <x:v>启动核、eHSM和其他核Master ID，以及SEC_CFG/SPIFC默认authority是什么？</x:v>
      </x:c>
      <x:c r="D6" s="9" t="str">
        <x:v>PORTING_BLOCKER</x:v>
      </x:c>
      <x:c r="E6" s="8" t="str">
        <x:v>冻结默认权限矩阵；用例不得修改SEC_CFG/SPIFC Firewall配置</x:v>
      </x:c>
      <x:c r="F6" s="8" t="str"/>
      <x:c r="G6" s="9" t="str">
        <x:v>OPEN</x:v>
      </x:c>
      <x:c r="H6" s="9" t="str">
        <x:v>默认策略已确认，数值绑定仍缺</x:v>
      </x:c>
    </x:row>
    <x:row r="7" ht="15" hidden="0" customHeight="1">
      <x:c r="A7" s="9" t="str">
        <x:v>Q-004</x:v>
      </x:c>
      <x:c r="B7" s="9" t="str">
        <x:v>SRAM五Region</x:v>
      </x:c>
      <x:c r="C7" s="9" t="str">
        <x:v>Region0～4默认范围、authority、地址粒度、配置/恢复方法和非法访问响应是什么？</x:v>
      </x:c>
      <x:c r="D7" s="9" t="str">
        <x:v>PORTING_BLOCKER</x:v>
      </x:c>
      <x:c r="E7" s="8" t="str">
        <x:v>冻结两条SRAM用例的五Region循环输入；每条用例不得拆Region</x:v>
      </x:c>
      <x:c r="F7" s="8" t="str"/>
      <x:c r="G7" s="9" t="str">
        <x:v>OPEN</x:v>
      </x:c>
      <x:c r="H7" s="9" t="str">
        <x:v>默认权限与重新配置各一条，均覆盖5个Region</x:v>
      </x:c>
    </x:row>
    <x:row r="8" ht="24" hidden="0" customHeight="1">
      <x:c r="A8" s="9" t="str">
        <x:v>Q-005</x:v>
      </x:c>
      <x:c r="B8" s="8" t="str">
        <x:v>硬件错误EDA</x:v>
      </x:c>
      <x:c r="C8" s="8" t="str">
        <x:v>严重错误组合IRQ与ECC 1-bit独立IRQ的来源、锁存、清除和计数语义是什么？</x:v>
      </x:c>
      <x:c r="D8" s="9" t="str">
        <x:v>EDA_INPUT</x:v>
      </x:c>
      <x:c r="E8" s="8" t="str">
        <x:v>冻结并执行EDA-ERR-CRITICAL-IRQ-001和EDA-ERR-ECC1B-IRQ-001</x:v>
      </x:c>
      <x:c r="F8" s="8" t="str"/>
      <x:c r="G8" s="9" t="str">
        <x:v>OPEN</x:v>
      </x:c>
      <x:c r="H8" s="8" t="str">
        <x:v>普通软件不构造错误；只作观察和清除</x:v>
      </x:c>
    </x:row>
    <x:row r="9" ht="24" hidden="0" customHeight="1">
      <x:c r="A9" s="9" t="str">
        <x:v>Q-006</x:v>
      </x:c>
      <x:c r="B9" s="8" t="str">
        <x:v>复位</x:v>
      </x:c>
      <x:c r="C9" s="8" t="str">
        <x:v>原SOC-RESET-001不再属于本轮SoC安全方案顶层用例；若后续恢复，复位控制和状态矩阵是什么？</x:v>
      </x:c>
      <x:c r="D9" s="9" t="str">
        <x:v>OUT_OF_SCOPE_CURRENT</x:v>
      </x:c>
      <x:c r="E9" s="8" t="str">
        <x:v>保持历史记录；需新的方案范围裁决后再恢复</x:v>
      </x:c>
      <x:c r="F9" s="9" t="str"/>
      <x:c r="G9" s="9" t="str">
        <x:v>OUT_OF_SCOPE_CURRENT</x:v>
      </x:c>
      <x:c r="H9" s="9" t="str">
        <x:v>v0.3.8不进入SoC 7条和Codex计数</x:v>
      </x:c>
    </x:row>
    <x:row r="10" ht="24" hidden="0" customHeight="1">
      <x:c r="A10" s="9" t="str">
        <x:v>Q-007</x:v>
      </x:c>
      <x:c r="B10" s="8" t="str">
        <x:v>Mailbox中断</x:v>
      </x:c>
      <x:c r="C10" s="9" t="str">
        <x:v>适用Mailbox通道到APLIC来源、屏蔽、清除和再次触发映射是什么？</x:v>
      </x:c>
      <x:c r="D10" s="9" t="str">
        <x:v>PORTING_BLOCKER</x:v>
      </x:c>
      <x:c r="E10" s="8" t="str">
        <x:v>冻结SOC-MAILBOX-IRQ-001；禁止软件伪中断</x:v>
      </x:c>
      <x:c r="F10" s="8" t="str"/>
      <x:c r="G10" s="9" t="str">
        <x:v>OPEN</x:v>
      </x:c>
      <x:c r="H10" s="9" t="str">
        <x:v>现有16路宏需与通道/清除合同绑定</x:v>
      </x:c>
    </x:row>
    <x:row r="11" ht="15" hidden="0" customHeight="1">
      <x:c r="A11" s="9" t="s">
        <x:v>976</x:v>
      </x:c>
      <x:c r="B11" s="8" t="s">
        <x:v>977</x:v>
      </x:c>
      <x:c r="C11" s="9" t="s">
        <x:v>978</x:v>
      </x:c>
      <x:c r="D11" s="9" t="s">
        <x:v>979</x:v>
      </x:c>
      <x:c r="E11" s="8" t="s">
        <x:v>980</x:v>
      </x:c>
      <x:c r="F11" s="8" t="s">
        <x:v>981</x:v>
      </x:c>
      <x:c r="G11" s="9" t="s">
        <x:v>982</x:v>
      </x:c>
      <x:c r="H11" s="9" t="s">
        <x:v>983</x:v>
      </x:c>
    </x:row>
    <x:row r="12" ht="15" hidden="0" customHeight="1">
      <x:c r="A12" s="9" t="str">
        <x:v>Q-009</x:v>
      </x:c>
      <x:c r="B12" s="8" t="str">
        <x:v>验证责任</x:v>
      </x:c>
      <x:c r="C12" s="9" t="str">
        <x:v>3项EDA/硬件需求的Owner、环境、回归入口和验证证据存储位置是什么？</x:v>
      </x:c>
      <x:c r="D12" s="9" t="str">
        <x:v>GOVERNANCE_INPUT</x:v>
      </x:c>
      <x:c r="E12" s="8" t="str">
        <x:v>软件观察证据与RTL/DV/SoC集成证据分别登记并按需求ID关联</x:v>
      </x:c>
      <x:c r="F12" s="8" t="str"/>
      <x:c r="G12" s="9" t="str">
        <x:v>OPEN</x:v>
      </x:c>
      <x:c r="H12" s="9" t="str">
        <x:v>EDA-ERR-CRITICAL-IRQ-001、EDA-ERR-ECC1B-IRQ-001和条件性EDA-FW-EHSM-MASTER-001待绑定</x:v>
      </x:c>
    </x:row>
    <x:row r="13" ht="24" hidden="0" customHeight="1">
      <x:c r="A13" s="9" t="s">
        <x:v>984</x:v>
      </x:c>
      <x:c r="B13" s="8" t="s">
        <x:v>985</x:v>
      </x:c>
      <x:c r="C13" s="9" t="s">
        <x:v>986</x:v>
      </x:c>
      <x:c r="D13" s="9" t="s">
        <x:v>987</x:v>
      </x:c>
      <x:c r="E13" s="9" t="s">
        <x:v>988</x:v>
      </x:c>
      <x:c r="F13" s="8"/>
      <x:c r="G13" s="9" t="s">
        <x:v>989</x:v>
      </x:c>
      <x:c r="H13" s="8" t="s">
        <x:v>990</x:v>
      </x:c>
    </x:row>
    <x:row r="14" ht="24" hidden="0" customHeight="1">
      <x:c r="A14" s="9" t="s">
        <x:v>991</x:v>
      </x:c>
      <x:c r="B14" s="9" t="s">
        <x:v>992</x:v>
      </x:c>
      <x:c r="C14" s="8" t="s">
        <x:v>993</x:v>
      </x:c>
      <x:c r="D14" s="9" t="s">
        <x:v>987</x:v>
      </x:c>
      <x:c r="E14" s="8" t="s">
        <x:v>994</x:v>
      </x:c>
      <x:c r="F14" s="8"/>
      <x:c r="G14" s="9" t="s">
        <x:v>989</x:v>
      </x:c>
      <x:c r="H14" s="9" t="s">
        <x:v>995</x:v>
      </x:c>
    </x:row>
    <x:row r="15" ht="24" hidden="0" customHeight="1">
      <x:c r="A15" s="9" t="s">
        <x:v>996</x:v>
      </x:c>
      <x:c r="B15" s="8" t="s">
        <x:v>997</x:v>
      </x:c>
      <x:c r="C15" s="8" t="s">
        <x:v>998</x:v>
      </x:c>
      <x:c r="D15" s="9" t="s">
        <x:v>987</x:v>
      </x:c>
      <x:c r="E15" s="8" t="s">
        <x:v>999</x:v>
      </x:c>
      <x:c r="F15" s="8"/>
      <x:c r="G15" s="9" t="s">
        <x:v>974</x:v>
      </x:c>
      <x:c r="H15" s="9" t="s">
        <x:v>1000</x:v>
      </x:c>
    </x:row>
    <x:row r="16" ht="24" hidden="0" customHeight="1">
      <x:c r="A16" s="9" t="s">
        <x:v>1001</x:v>
      </x:c>
      <x:c r="B16" s="9" t="s">
        <x:v>1002</x:v>
      </x:c>
      <x:c r="C16" s="9" t="s">
        <x:v>1003</x:v>
      </x:c>
      <x:c r="D16" s="9" t="s">
        <x:v>987</x:v>
      </x:c>
      <x:c r="E16" s="8" t="s">
        <x:v>1004</x:v>
      </x:c>
      <x:c r="F16" s="9" t="s">
        <x:v>1005</x:v>
      </x:c>
      <x:c r="G16" s="9" t="s">
        <x:v>974</x:v>
      </x:c>
      <x:c r="H16" s="9" t="s">
        <x:v>1006</x:v>
      </x:c>
    </x:row>
    <x:row r="17" ht="24" hidden="0" customHeight="1">
      <x:c r="A17" s="9" t="s">
        <x:v>1007</x:v>
      </x:c>
      <x:c r="B17" s="8" t="s">
        <x:v>1008</x:v>
      </x:c>
      <x:c r="C17" s="9" t="s">
        <x:v>1009</x:v>
      </x:c>
      <x:c r="D17" s="9" t="s">
        <x:v>971</x:v>
      </x:c>
      <x:c r="E17" s="8" t="s">
        <x:v>1010</x:v>
      </x:c>
      <x:c r="F17" s="8"/>
      <x:c r="G17" s="9" t="s">
        <x:v>989</x:v>
      </x:c>
      <x:c r="H17" s="8" t="s">
        <x:v>1011</x:v>
      </x:c>
    </x:row>
    <x:row r="18" ht="15" hidden="0" customHeight="1">
      <x:c r="A18" t="str">
        <x:v>Q-015</x:v>
      </x:c>
      <x:c r="B18" t="str">
        <x:v>Debug双路径</x:v>
      </x:c>
      <x:c r="C18" t="str">
        <x:v>dbg_en_cfg主Die写路径、从Die Debug模块探测方法，以及soc_dbg_en_out的鉴权位映射是什么？</x:v>
      </x:c>
      <x:c r="D18" t="str">
        <x:v>SOC_AND_HW_INPUT</x:v>
      </x:c>
      <x:c r="E18" t="str">
        <x:v>分别冻结SOC-SECCFG-DBG-001与Mailbox Auth/CLOSE_DEBUG判据</x:v>
      </x:c>
      <x:c r="F18" t="str"/>
      <x:c r="G18" t="str">
        <x:v>OPEN</x:v>
      </x:c>
      <x:c r="H18" t="str">
        <x:v>两个寄存器职责已分开；精确连接与位映射仍缺</x:v>
      </x:c>
    </x:row>
    <x:row r="19" ht="15" hidden="0" customHeight="1">
      <x:c r="A19" t="str">
        <x:v>Q-016</x:v>
      </x:c>
      <x:c r="B19" t="str">
        <x:v>eHSM Master访问路径</x:v>
      </x:c>
      <x:c r="C19" t="str">
        <x:v>现有公开eHSM操作能否覆盖SEC_CFG、SPIFC和SRAM五Region的eHSM Master访问？</x:v>
      </x:c>
      <x:c r="D19" t="str">
        <x:v>SOC_AND_HW_INPUT</x:v>
      </x:c>
      <x:c r="E19" t="str">
        <x:v>有路径则由软件用例取证；无路径则执行EDA-FW-EHSM-MASTER-001</x:v>
      </x:c>
      <x:c r="F19" t="str"/>
      <x:c r="G19" t="str">
        <x:v>OPEN</x:v>
      </x:c>
      <x:c r="H19" t="str">
        <x:v>禁止由C908伪造eHSM Master ID或修改eHSM固件</x:v>
      </x:c>
    </x:row>
    <x:row r="20" ht="15" hidden="0" customHeight="1">
      <x:c r="A20" t="str">
        <x:v>Q-017</x:v>
      </x:c>
      <x:c r="B20" t="str">
        <x:v>严重错误组合中断</x:v>
      </x:c>
      <x:c r="C20" t="str">
        <x:v>红框严重错误源到o_hsm_err_hw、组合IRQ、锁存/清除和复位语义是什么？</x:v>
      </x:c>
      <x:c r="D20" t="str">
        <x:v>EDA_INPUT</x:v>
      </x:c>
      <x:c r="E20" t="str">
        <x:v>由RTL/DV冻结并执行EDA-ERR-CRITICAL-IRQ-001</x:v>
      </x:c>
      <x:c r="F20" t="str"/>
      <x:c r="G20" t="str">
        <x:v>OPEN</x:v>
      </x:c>
      <x:c r="H20" t="str">
        <x:v>软件只作观察器；不得增加固件注错命令</x:v>
      </x:c>
    </x:row>
    <x:row r="21" ht="15" hidden="0" customHeight="1">
      <x:c r="A21" t="str">
        <x:v>Q-018</x:v>
      </x:c>
      <x:c r="B21" t="str">
        <x:v>ECC 1-bit独立中断</x:v>
      </x:c>
      <x:c r="C21" t="str">
        <x:v>外部脉冲转电平和计数器的CSR、宽度、饱和/回绕、清除和复位语义是什么？</x:v>
      </x:c>
      <x:c r="D21" t="str">
        <x:v>EDA_INPUT</x:v>
      </x:c>
      <x:c r="E21" t="str">
        <x:v>冻结后执行EDA-ERR-ECC1B-IRQ-001</x:v>
      </x:c>
      <x:c r="F21" t="str"/>
      <x:c r="G21" t="str">
        <x:v>OPEN</x:v>
      </x:c>
      <x:c r="H21" t="str">
        <x:v>软件读取/清除；激励和次数证明由EDA提供</x:v>
      </x:c>
    </x:row>
  </x:sheetData>
  <x:mergeCells>
    <x:mergeCell ref="A1:H1"/>
  </x:mergeCells>
  <x:conditionalFormatting sqref="D4:D17">
    <x:cfRule type="containsText" dxfId="42" priority="2" aboveAverage="0" percent="0" bottom="0" operator="containsText" text="BLOCK" rank="0" equalAverage="0">
      <x:formula>NOT(ISERROR(SEARCH("BLOCK",D4)))</x:formula>
    </x:cfRule>
    <x:cfRule type="containsText" dxfId="43" priority="3" aboveAverage="0" percent="0" bottom="0" operator="containsText" text="NEEDS" rank="0" equalAverage="0">
      <x:formula>NOT(ISERROR(SEARCH("NEEDS",D4)))</x:formula>
    </x:cfRule>
    <x:cfRule type="containsText" dxfId="44" priority="4" aboveAverage="0" percent="0" bottom="0" operator="containsText" text="READY" rank="0" equalAverage="0">
      <x:formula>NOT(ISERROR(SEARCH("READY",D4)))</x:formula>
    </x:cfRule>
    <x:cfRule type="containsText" dxfId="45" priority="5" aboveAverage="0" percent="0" bottom="0" operator="containsText" text="COMPLETED" rank="0" equalAverage="0">
      <x:formula>NOT(ISERROR(SEARCH("COMPLETED",D4)))</x:formula>
    </x:cfRule>
    <x:cfRule type="containsText" dxfId="46" priority="6" aboveAverage="0" percent="0" bottom="0" operator="containsText" text="SUPERSEDED" rank="0" equalAverage="0">
      <x:formula>NOT(ISERROR(SEARCH("SUPERSEDED",D4)))</x:formula>
    </x:cfRule>
    <x:cfRule type="containsText" dxfId="47" priority="7" aboveAverage="0" percent="0" bottom="0" operator="containsText" text="N/A" rank="0" equalAverage="0">
      <x:formula>NOT(ISERROR(SEARCH("N/A",D4)))</x:formula>
    </x:cfRule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1" workbookViewId="0"/>
  </x:sheetViews>
  <x:sheetFormatPr defaultColWidth="10.76953125" defaultRowHeight="15"/>
  <x:cols>
    <x:col min="1" max="1" width="32.77000045776367" hidden="0" customWidth="1"/>
    <x:col min="2" max="2" width="35.290000915527344" hidden="0" customWidth="1"/>
    <x:col min="3" max="4" width="63.02000045776367" hidden="0" customWidth="1"/>
  </x:cols>
  <x:sheetData>
    <x:row r="1" ht="30" hidden="0" customHeight="1">
      <x:c r="A1" s="10" t="s">
        <x:v>1012</x:v>
      </x:c>
      <x:c r="B1" s="10"/>
      <x:c r="C1" s="10"/>
      <x:c r="D1" s="10"/>
    </x:row>
    <x:row r="2" ht="34" hidden="0" customHeight="1">
      <x:c r="A2" s="16" t="s">
        <x:v>1013</x:v>
      </x:c>
      <x:c r="B2" s="16"/>
      <x:c r="C2" s="16"/>
      <x:c r="D2" s="16"/>
    </x:row>
    <x:row r="4" ht="30" hidden="0" customHeight="1">
      <x:c r="A4" s="2" t="s">
        <x:v>1014</x:v>
      </x:c>
      <x:c r="B4" s="11" t="s">
        <x:v>1015</x:v>
      </x:c>
      <x:c r="C4" s="11" t="s">
        <x:v>1016</x:v>
      </x:c>
      <x:c r="D4" s="3" t="s">
        <x:v>1017</x:v>
      </x:c>
    </x:row>
    <x:row r="5" ht="46" hidden="0" customHeight="1">
      <x:c r="A5" s="7" t="s">
        <x:v>41</x:v>
      </x:c>
      <x:c r="B5" s="5" t="s">
        <x:v>1018</x:v>
      </x:c>
      <x:c r="C5" s="5" t="s">
        <x:v>1019</x:v>
      </x:c>
      <x:c r="D5" s="5" t="s">
        <x:v>1020</x:v>
      </x:c>
    </x:row>
    <x:row r="6" ht="46" hidden="0" customHeight="1">
      <x:c r="A6" s="9" t="s">
        <x:v>631</x:v>
      </x:c>
      <x:c r="B6" s="9" t="s">
        <x:v>1021</x:v>
      </x:c>
      <x:c r="C6" s="8" t="s">
        <x:v>1022</x:v>
      </x:c>
      <x:c r="D6" s="9" t="s">
        <x:v>1023</x:v>
      </x:c>
    </x:row>
    <x:row r="7" ht="46" hidden="0" customHeight="1">
      <x:c r="A7" s="9" t="s">
        <x:v>1024</x:v>
      </x:c>
      <x:c r="B7" s="8" t="s">
        <x:v>1025</x:v>
      </x:c>
      <x:c r="C7" s="8" t="s">
        <x:v>1026</x:v>
      </x:c>
      <x:c r="D7" s="8" t="s">
        <x:v>1027</x:v>
      </x:c>
    </x:row>
    <x:row r="8" ht="46" hidden="0" customHeight="1">
      <x:c r="A8" s="9" t="s">
        <x:v>1028</x:v>
      </x:c>
      <x:c r="B8" s="8" t="s">
        <x:v>1029</x:v>
      </x:c>
      <x:c r="C8" s="8" t="s">
        <x:v>1030</x:v>
      </x:c>
      <x:c r="D8" s="8" t="s">
        <x:v>1031</x:v>
      </x:c>
    </x:row>
    <x:row r="9" ht="46" hidden="0" customHeight="1">
      <x:c r="A9" s="9" t="s">
        <x:v>1032</x:v>
      </x:c>
      <x:c r="B9" s="8" t="s">
        <x:v>1033</x:v>
      </x:c>
      <x:c r="C9" s="8" t="s">
        <x:v>1034</x:v>
      </x:c>
      <x:c r="D9" s="8" t="s">
        <x:v>1035</x:v>
      </x:c>
    </x:row>
    <x:row r="10" ht="46" hidden="0" customHeight="1">
      <x:c r="A10" s="9" t="s">
        <x:v>1036</x:v>
      </x:c>
      <x:c r="B10" s="8" t="s">
        <x:v>1037</x:v>
      </x:c>
      <x:c r="C10" s="8" t="s">
        <x:v>1038</x:v>
      </x:c>
      <x:c r="D10" s="9" t="s">
        <x:v>1039</x:v>
      </x:c>
    </x:row>
    <x:row r="11" ht="46" hidden="0" customHeight="1">
      <x:c r="A11" s="9" t="s">
        <x:v>1040</x:v>
      </x:c>
      <x:c r="B11" s="8" t="s">
        <x:v>1041</x:v>
      </x:c>
      <x:c r="C11" s="8" t="s">
        <x:v>1042</x:v>
      </x:c>
      <x:c r="D11" s="8" t="s">
        <x:v>1043</x:v>
      </x:c>
    </x:row>
    <x:row r="12" ht="46" hidden="0" customHeight="1">
      <x:c r="A12" s="9" t="s">
        <x:v>1044</x:v>
      </x:c>
      <x:c r="B12" s="8" t="s">
        <x:v>1045</x:v>
      </x:c>
      <x:c r="C12" s="8" t="s">
        <x:v>1046</x:v>
      </x:c>
      <x:c r="D12" s="8" t="s">
        <x:v>1047</x:v>
      </x:c>
    </x:row>
    <x:row r="13" ht="46" hidden="0" customHeight="1">
      <x:c r="A13" s="9" t="s">
        <x:v>1048</x:v>
      </x:c>
      <x:c r="B13" s="8" t="s">
        <x:v>1049</x:v>
      </x:c>
      <x:c r="C13" s="8" t="s">
        <x:v>1050</x:v>
      </x:c>
      <x:c r="D13" s="8" t="s">
        <x:v>1051</x:v>
      </x:c>
    </x:row>
    <x:row r="14" ht="46" hidden="0" customHeight="1">
      <x:c r="A14" s="9" t="s">
        <x:v>1052</x:v>
      </x:c>
      <x:c r="B14" s="8" t="s">
        <x:v>1053</x:v>
      </x:c>
      <x:c r="C14" s="8" t="s">
        <x:v>1054</x:v>
      </x:c>
      <x:c r="D14" s="8" t="s">
        <x:v>1055</x:v>
      </x:c>
    </x:row>
    <x:row r="15" ht="46" hidden="0" customHeight="1">
      <x:c r="A15" s="9" t="s">
        <x:v>1056</x:v>
      </x:c>
      <x:c r="B15" s="8" t="s">
        <x:v>1057</x:v>
      </x:c>
      <x:c r="C15" s="8" t="s">
        <x:v>1058</x:v>
      </x:c>
      <x:c r="D15" s="8" t="s">
        <x:v>1059</x:v>
      </x:c>
    </x:row>
    <x:row r="16" ht="46" hidden="0" customHeight="1">
      <x:c r="A16" s="9" t="s">
        <x:v>1060</x:v>
      </x:c>
      <x:c r="B16" s="8" t="s">
        <x:v>1061</x:v>
      </x:c>
      <x:c r="C16" s="8" t="s">
        <x:v>1062</x:v>
      </x:c>
      <x:c r="D16" s="8" t="s">
        <x:v>1063</x:v>
      </x:c>
    </x:row>
    <x:row r="17" ht="46" hidden="0" customHeight="1">
      <x:c r="A17" s="9" t="s">
        <x:v>1064</x:v>
      </x:c>
      <x:c r="B17" s="8" t="s">
        <x:v>1065</x:v>
      </x:c>
      <x:c r="C17" s="8" t="s">
        <x:v>1066</x:v>
      </x:c>
      <x:c r="D17" s="9" t="s">
        <x:v>1067</x:v>
      </x:c>
    </x:row>
    <x:row r="18" ht="46" hidden="0" customHeight="1">
      <x:c r="A18" s="9" t="s">
        <x:v>1068</x:v>
      </x:c>
      <x:c r="B18" s="8" t="s">
        <x:v>1069</x:v>
      </x:c>
      <x:c r="C18" s="9" t="s">
        <x:v>1070</x:v>
      </x:c>
      <x:c r="D18" s="9" t="s">
        <x:v>1071</x:v>
      </x:c>
    </x:row>
    <x:row r="19" ht="46" hidden="0" customHeight="1">
      <x:c r="A19" s="9" t="s">
        <x:v>1072</x:v>
      </x:c>
      <x:c r="B19" s="8" t="s">
        <x:v>1073</x:v>
      </x:c>
      <x:c r="C19" s="9" t="s">
        <x:v>1074</x:v>
      </x:c>
      <x:c r="D19" s="8" t="s">
        <x:v>1075</x:v>
      </x:c>
    </x:row>
    <x:row r="20" ht="46" hidden="0" customHeight="1">
      <x:c r="A20" s="9" t="s">
        <x:v>1076</x:v>
      </x:c>
      <x:c r="B20" s="8" t="s">
        <x:v>1077</x:v>
      </x:c>
      <x:c r="C20" s="8" t="s">
        <x:v>1078</x:v>
      </x:c>
      <x:c r="D20" s="8" t="s">
        <x:v>1079</x:v>
      </x:c>
    </x:row>
    <x:row r="21" ht="46" hidden="0" customHeight="1">
      <x:c r="A21" s="9" t="s">
        <x:v>1080</x:v>
      </x:c>
      <x:c r="B21" s="8" t="s">
        <x:v>1081</x:v>
      </x:c>
      <x:c r="C21" s="8" t="s">
        <x:v>1082</x:v>
      </x:c>
      <x:c r="D21" s="8" t="s">
        <x:v>1083</x:v>
      </x:c>
    </x:row>
    <x:row r="22" ht="46" hidden="0" customHeight="1">
      <x:c r="A22" s="9" t="s">
        <x:v>1084</x:v>
      </x:c>
      <x:c r="B22" s="8" t="s">
        <x:v>1085</x:v>
      </x:c>
      <x:c r="C22" s="9" t="s">
        <x:v>1086</x:v>
      </x:c>
      <x:c r="D22" s="8" t="s">
        <x:v>1087</x:v>
      </x:c>
    </x:row>
    <x:row r="23" ht="46" hidden="0" customHeight="1">
      <x:c r="A23" s="9" t="s">
        <x:v>1088</x:v>
      </x:c>
      <x:c r="B23" s="8" t="s">
        <x:v>1089</x:v>
      </x:c>
      <x:c r="C23" s="9" t="s">
        <x:v>1090</x:v>
      </x:c>
      <x:c r="D23" s="8" t="s">
        <x:v>1091</x:v>
      </x:c>
    </x:row>
    <x:row r="24" ht="46" hidden="0" customHeight="1">
      <x:c r="A24" s="9" t="s">
        <x:v>1092</x:v>
      </x:c>
      <x:c r="B24" s="8" t="s">
        <x:v>1093</x:v>
      </x:c>
      <x:c r="C24" s="8" t="s">
        <x:v>1094</x:v>
      </x:c>
      <x:c r="D24" s="8" t="s">
        <x:v>1095</x:v>
      </x:c>
    </x:row>
    <x:row r="25" ht="46" hidden="0" customHeight="1">
      <x:c r="A25" s="9" t="s">
        <x:v>1096</x:v>
      </x:c>
      <x:c r="B25" s="8" t="s">
        <x:v>1097</x:v>
      </x:c>
      <x:c r="C25" s="8" t="s">
        <x:v>1098</x:v>
      </x:c>
      <x:c r="D25" s="8" t="s">
        <x:v>1099</x:v>
      </x:c>
    </x:row>
    <x:row r="26" ht="46" hidden="0" customHeight="1">
      <x:c r="A26" s="9" t="s">
        <x:v>1100</x:v>
      </x:c>
      <x:c r="B26" s="8" t="s">
        <x:v>1101</x:v>
      </x:c>
      <x:c r="C26" s="8" t="s">
        <x:v>1102</x:v>
      </x:c>
      <x:c r="D26" s="8" t="s">
        <x:v>1103</x:v>
      </x:c>
    </x:row>
    <x:row r="27" ht="46" hidden="0" customHeight="1">
      <x:c r="A27" s="9" t="s">
        <x:v>1104</x:v>
      </x:c>
      <x:c r="B27" s="8" t="s">
        <x:v>1105</x:v>
      </x:c>
      <x:c r="C27" s="8" t="s">
        <x:v>1106</x:v>
      </x:c>
      <x:c r="D27" s="8" t="s">
        <x:v>1107</x:v>
      </x:c>
    </x:row>
    <x:row r="28" ht="46" hidden="0" customHeight="1">
      <x:c r="A28" s="9" t="s">
        <x:v>1108</x:v>
      </x:c>
      <x:c r="B28" s="8" t="s">
        <x:v>1109</x:v>
      </x:c>
      <x:c r="C28" s="8" t="s">
        <x:v>1110</x:v>
      </x:c>
      <x:c r="D28" s="8" t="s">
        <x:v>1111</x:v>
      </x:c>
    </x:row>
    <x:row r="29" ht="46" hidden="0" customHeight="1">
      <x:c r="A29" s="9" t="s">
        <x:v>1112</x:v>
      </x:c>
      <x:c r="B29" s="8" t="s">
        <x:v>1113</x:v>
      </x:c>
      <x:c r="C29" s="8" t="s">
        <x:v>1114</x:v>
      </x:c>
      <x:c r="D29" s="9" t="s">
        <x:v>1115</x:v>
      </x:c>
    </x:row>
    <x:row r="30" ht="46" hidden="0" customHeight="1">
      <x:c r="A30" s="9" t="s">
        <x:v>1116</x:v>
      </x:c>
      <x:c r="B30" s="8" t="s">
        <x:v>1117</x:v>
      </x:c>
      <x:c r="C30" s="8" t="s">
        <x:v>1118</x:v>
      </x:c>
      <x:c r="D30" s="8" t="s">
        <x:v>1119</x:v>
      </x:c>
    </x:row>
    <x:row r="31" ht="46" hidden="0" customHeight="1">
      <x:c r="A31" s="9" t="s">
        <x:v>1120</x:v>
      </x:c>
      <x:c r="B31" s="8" t="s">
        <x:v>482</x:v>
      </x:c>
      <x:c r="C31" s="8" t="s">
        <x:v>1121</x:v>
      </x:c>
      <x:c r="D31" s="9" t="s">
        <x:v>1122</x:v>
      </x:c>
    </x:row>
    <x:row r="32" ht="46" hidden="0" customHeight="1">
      <x:c r="A32" s="9" t="s">
        <x:v>1123</x:v>
      </x:c>
      <x:c r="B32" s="8" t="s">
        <x:v>1124</x:v>
      </x:c>
      <x:c r="C32" s="8" t="s">
        <x:v>1125</x:v>
      </x:c>
      <x:c r="D32" s="8" t="s">
        <x:v>1126</x:v>
      </x:c>
    </x:row>
    <x:row r="33" ht="46" hidden="0" customHeight="1">
      <x:c r="A33" s="9" t="s">
        <x:v>1127</x:v>
      </x:c>
      <x:c r="B33" s="8" t="s">
        <x:v>1128</x:v>
      </x:c>
      <x:c r="C33" s="8" t="s">
        <x:v>1129</x:v>
      </x:c>
      <x:c r="D33" s="8" t="s">
        <x:v>1130</x:v>
      </x:c>
    </x:row>
    <x:row r="34" ht="46" hidden="0" customHeight="1">
      <x:c r="A34" s="9" t="s">
        <x:v>1131</x:v>
      </x:c>
      <x:c r="B34" s="8" t="s">
        <x:v>1132</x:v>
      </x:c>
      <x:c r="C34" s="8" t="s">
        <x:v>1133</x:v>
      </x:c>
      <x:c r="D34" s="8" t="s">
        <x:v>1134</x:v>
      </x:c>
    </x:row>
    <x:row r="35" ht="46" hidden="0" customHeight="1">
      <x:c r="A35" s="9" t="s">
        <x:v>1135</x:v>
      </x:c>
      <x:c r="B35" s="8" t="s">
        <x:v>1136</x:v>
      </x:c>
      <x:c r="C35" s="8" t="s">
        <x:v>1137</x:v>
      </x:c>
      <x:c r="D35" s="8" t="s">
        <x:v>1138</x:v>
      </x:c>
    </x:row>
    <x:row r="36" ht="46" hidden="0" customHeight="1">
      <x:c r="A36" s="9" t="s">
        <x:v>633</x:v>
      </x:c>
      <x:c r="B36" s="8" t="s">
        <x:v>1139</x:v>
      </x:c>
      <x:c r="C36" s="9" t="s">
        <x:v>1140</x:v>
      </x:c>
      <x:c r="D36" s="8" t="s">
        <x:v>1141</x:v>
      </x:c>
    </x:row>
    <x:row r="37" ht="46" hidden="0" customHeight="1">
      <x:c r="A37" s="9" t="s">
        <x:v>1142</x:v>
      </x:c>
      <x:c r="B37" s="8" t="s">
        <x:v>1143</x:v>
      </x:c>
      <x:c r="C37" s="9" t="s">
        <x:v>1144</x:v>
      </x:c>
      <x:c r="D37" s="8" t="s">
        <x:v>1145</x:v>
      </x:c>
    </x:row>
    <x:row r="38" ht="46" hidden="0" customHeight="1">
      <x:c r="A38" s="9" t="s">
        <x:v>1146</x:v>
      </x:c>
      <x:c r="B38" s="8" t="s">
        <x:v>1147</x:v>
      </x:c>
      <x:c r="C38" s="8" t="s">
        <x:v>1148</x:v>
      </x:c>
      <x:c r="D38" s="8" t="s">
        <x:v>1149</x:v>
      </x:c>
    </x:row>
    <x:row r="39" ht="46" hidden="0" customHeight="1">
      <x:c r="A39" s="9" t="s">
        <x:v>1150</x:v>
      </x:c>
      <x:c r="B39" s="8" t="s">
        <x:v>1151</x:v>
      </x:c>
      <x:c r="C39" s="9" t="s">
        <x:v>1152</x:v>
      </x:c>
      <x:c r="D39" s="8" t="s">
        <x:v>1153</x:v>
      </x:c>
    </x:row>
    <x:row r="40" ht="46" hidden="0" customHeight="1">
      <x:c r="A40" s="9" t="s">
        <x:v>1154</x:v>
      </x:c>
      <x:c r="B40" s="8" t="s">
        <x:v>1155</x:v>
      </x:c>
      <x:c r="C40" s="9" t="s">
        <x:v>1156</x:v>
      </x:c>
      <x:c r="D40" s="8" t="s">
        <x:v>1157</x:v>
      </x:c>
    </x:row>
    <x:row r="41" ht="46" hidden="0" customHeight="1">
      <x:c r="A41" s="9" t="s">
        <x:v>1158</x:v>
      </x:c>
      <x:c r="B41" s="8" t="s">
        <x:v>1159</x:v>
      </x:c>
      <x:c r="C41" s="9" t="s">
        <x:v>1160</x:v>
      </x:c>
      <x:c r="D41" s="8" t="s">
        <x:v>1161</x:v>
      </x:c>
    </x:row>
    <x:row r="42" ht="46" hidden="0" customHeight="1">
      <x:c r="A42" s="9" t="s">
        <x:v>1162</x:v>
      </x:c>
      <x:c r="B42" s="8" t="s">
        <x:v>1163</x:v>
      </x:c>
      <x:c r="C42" s="9" t="s">
        <x:v>1164</x:v>
      </x:c>
      <x:c r="D42" s="9" t="s">
        <x:v>1165</x:v>
      </x:c>
    </x:row>
    <x:row r="43" ht="46" hidden="0" customHeight="1">
      <x:c r="A43" s="9" t="s">
        <x:v>1166</x:v>
      </x:c>
      <x:c r="B43" s="8" t="s">
        <x:v>1167</x:v>
      </x:c>
      <x:c r="C43" s="8" t="s">
        <x:v>1168</x:v>
      </x:c>
      <x:c r="D43" s="9" t="s">
        <x:v>1169</x:v>
      </x:c>
    </x:row>
    <x:row r="44" ht="46" hidden="0" customHeight="1">
      <x:c r="A44" s="9" t="s">
        <x:v>1170</x:v>
      </x:c>
      <x:c r="B44" s="8" t="s">
        <x:v>1171</x:v>
      </x:c>
      <x:c r="C44" s="8" t="s">
        <x:v>1172</x:v>
      </x:c>
      <x:c r="D44" s="9" t="s">
        <x:v>1173</x:v>
      </x:c>
    </x:row>
    <x:row r="45" ht="46" hidden="0" customHeight="1">
      <x:c r="A45" s="9" t="s">
        <x:v>1174</x:v>
      </x:c>
      <x:c r="B45" s="8" t="s">
        <x:v>1175</x:v>
      </x:c>
      <x:c r="C45" s="9" t="s">
        <x:v>1176</x:v>
      </x:c>
      <x:c r="D45" s="8" t="s">
        <x:v>1177</x:v>
      </x:c>
    </x:row>
    <x:row r="46" ht="46" hidden="0" customHeight="1">
      <x:c r="A46" s="9" t="s">
        <x:v>1178</x:v>
      </x:c>
      <x:c r="B46" s="8" t="s">
        <x:v>480</x:v>
      </x:c>
      <x:c r="C46" s="8" t="s">
        <x:v>1179</x:v>
      </x:c>
      <x:c r="D46" s="8" t="s">
        <x:v>1180</x:v>
      </x:c>
    </x:row>
    <x:row r="47" ht="46" hidden="0" customHeight="1">
      <x:c r="A47" s="9" t="s">
        <x:v>1181</x:v>
      </x:c>
      <x:c r="B47" s="8" t="s">
        <x:v>1182</x:v>
      </x:c>
      <x:c r="C47" s="8" t="s">
        <x:v>1183</x:v>
      </x:c>
      <x:c r="D47" s="8" t="s">
        <x:v>1184</x:v>
      </x:c>
    </x:row>
    <x:row r="48" ht="46" hidden="0" customHeight="1">
      <x:c r="A48" s="9" t="s">
        <x:v>1185</x:v>
      </x:c>
      <x:c r="B48" s="8" t="s">
        <x:v>1186</x:v>
      </x:c>
      <x:c r="C48" s="8" t="s">
        <x:v>1187</x:v>
      </x:c>
      <x:c r="D48" s="8" t="s">
        <x:v>1188</x:v>
      </x:c>
    </x:row>
    <x:row r="49" ht="46" hidden="0" customHeight="1">
      <x:c r="A49" s="9" t="s">
        <x:v>1189</x:v>
      </x:c>
      <x:c r="B49" s="8" t="s">
        <x:v>1190</x:v>
      </x:c>
      <x:c r="C49" s="8" t="s">
        <x:v>1191</x:v>
      </x:c>
      <x:c r="D49" s="9" t="s">
        <x:v>1192</x:v>
      </x:c>
    </x:row>
    <x:row r="50" ht="46" hidden="0" customHeight="1">
      <x:c r="A50" s="9" t="s">
        <x:v>1193</x:v>
      </x:c>
      <x:c r="B50" s="8" t="s">
        <x:v>1194</x:v>
      </x:c>
      <x:c r="C50" s="9" t="s">
        <x:v>1195</x:v>
      </x:c>
      <x:c r="D50" s="9" t="s">
        <x:v>1196</x:v>
      </x:c>
    </x:row>
    <x:row r="51" ht="46" hidden="0" customHeight="1">
      <x:c r="A51" s="9" t="s">
        <x:v>1197</x:v>
      </x:c>
      <x:c r="B51" s="8" t="s">
        <x:v>1198</x:v>
      </x:c>
      <x:c r="C51" s="8" t="s">
        <x:v>1199</x:v>
      </x:c>
      <x:c r="D51" s="8" t="s">
        <x:v>1200</x:v>
      </x:c>
    </x:row>
    <x:row r="52" ht="46" hidden="0" customHeight="1">
      <x:c r="A52" s="9" t="s">
        <x:v>1201</x:v>
      </x:c>
      <x:c r="B52" s="8" t="s">
        <x:v>1202</x:v>
      </x:c>
      <x:c r="C52" s="8" t="s">
        <x:v>1203</x:v>
      </x:c>
      <x:c r="D52" s="8" t="s">
        <x:v>1204</x:v>
      </x:c>
    </x:row>
    <x:row r="53" ht="46" hidden="0" customHeight="1">
      <x:c r="A53" s="9" t="s">
        <x:v>1205</x:v>
      </x:c>
      <x:c r="B53" s="8" t="s">
        <x:v>1206</x:v>
      </x:c>
      <x:c r="C53" s="8" t="s">
        <x:v>1207</x:v>
      </x:c>
      <x:c r="D53" s="8" t="s">
        <x:v>1208</x:v>
      </x:c>
    </x:row>
    <x:row r="54" ht="46" hidden="0" customHeight="1">
      <x:c r="A54" s="9" t="s">
        <x:v>1209</x:v>
      </x:c>
      <x:c r="B54" s="8" t="s">
        <x:v>1210</x:v>
      </x:c>
      <x:c r="C54" s="8" t="s">
        <x:v>1211</x:v>
      </x:c>
      <x:c r="D54" s="9" t="s">
        <x:v>1212</x:v>
      </x:c>
    </x:row>
    <x:row r="55" ht="46" hidden="0" customHeight="1">
      <x:c r="A55" s="9" t="s">
        <x:v>1213</x:v>
      </x:c>
      <x:c r="B55" s="8" t="s">
        <x:v>1214</x:v>
      </x:c>
      <x:c r="C55" s="8" t="s">
        <x:v>1215</x:v>
      </x:c>
      <x:c r="D55" s="9" t="s">
        <x:v>1216</x:v>
      </x:c>
    </x:row>
    <x:row r="56" ht="46" hidden="0" customHeight="1">
      <x:c r="A56" s="9" t="s">
        <x:v>1217</x:v>
      </x:c>
      <x:c r="B56" s="8" t="s">
        <x:v>1218</x:v>
      </x:c>
      <x:c r="C56" s="8" t="s">
        <x:v>1219</x:v>
      </x:c>
      <x:c r="D56" s="9" t="s">
        <x:v>1220</x:v>
      </x:c>
    </x:row>
    <x:row r="57" ht="46" hidden="0" customHeight="1">
      <x:c r="A57" s="9" t="s">
        <x:v>1221</x:v>
      </x:c>
      <x:c r="B57" s="8" t="s">
        <x:v>1222</x:v>
      </x:c>
      <x:c r="C57" s="9" t="s">
        <x:v>1223</x:v>
      </x:c>
      <x:c r="D57" s="8" t="s">
        <x:v>1224</x:v>
      </x:c>
    </x:row>
    <x:row r="58" ht="46" hidden="0" customHeight="1">
      <x:c r="A58" s="9" t="s">
        <x:v>1225</x:v>
      </x:c>
      <x:c r="B58" s="8" t="s">
        <x:v>1226</x:v>
      </x:c>
      <x:c r="C58" s="8" t="s">
        <x:v>1227</x:v>
      </x:c>
      <x:c r="D58" s="9" t="s">
        <x:v>1228</x:v>
      </x:c>
    </x:row>
    <x:row r="59" ht="46" hidden="0" customHeight="1">
      <x:c r="A59" s="9" t="s">
        <x:v>892</x:v>
      </x:c>
      <x:c r="B59" s="8" t="s">
        <x:v>1229</x:v>
      </x:c>
      <x:c r="C59" s="8" t="s">
        <x:v>1230</x:v>
      </x:c>
      <x:c r="D59" s="9" t="s">
        <x:v>1231</x:v>
      </x:c>
    </x:row>
    <x:row r="60" ht="46" hidden="0" customHeight="1">
      <x:c r="A60" s="9" t="s">
        <x:v>1232</x:v>
      </x:c>
      <x:c r="B60" s="8" t="s">
        <x:v>1233</x:v>
      </x:c>
      <x:c r="C60" s="8" t="s">
        <x:v>1234</x:v>
      </x:c>
      <x:c r="D60" s="9" t="s">
        <x:v>1235</x:v>
      </x:c>
    </x:row>
    <x:row r="61" ht="46" hidden="0" customHeight="1">
      <x:c r="A61" s="9" t="s">
        <x:v>1236</x:v>
      </x:c>
      <x:c r="B61" s="8" t="s">
        <x:v>1237</x:v>
      </x:c>
      <x:c r="C61" s="8" t="s">
        <x:v>1238</x:v>
      </x:c>
      <x:c r="D61" s="8" t="s">
        <x:v>1239</x:v>
      </x:c>
    </x:row>
    <x:row r="62" ht="46" hidden="0" customHeight="1">
      <x:c r="A62" s="9" t="s">
        <x:v>406</x:v>
      </x:c>
      <x:c r="B62" s="8" t="s">
        <x:v>1240</x:v>
      </x:c>
      <x:c r="C62" s="8" t="s">
        <x:v>1241</x:v>
      </x:c>
      <x:c r="D62" s="8" t="s">
        <x:v>1242</x:v>
      </x:c>
    </x:row>
    <x:row r="63" ht="46" hidden="0" customHeight="1">
      <x:c r="A63" s="9" t="s">
        <x:v>60</x:v>
      </x:c>
      <x:c r="B63" s="8" t="s">
        <x:v>1243</x:v>
      </x:c>
      <x:c r="C63" s="9" t="s">
        <x:v>1244</x:v>
      </x:c>
      <x:c r="D63" s="8" t="s">
        <x:v>1245</x:v>
      </x:c>
    </x:row>
    <x:row r="64" ht="46" hidden="0" customHeight="1">
      <x:c r="A64" s="9" t="s">
        <x:v>400</x:v>
      </x:c>
      <x:c r="B64" s="8" t="s">
        <x:v>1246</x:v>
      </x:c>
      <x:c r="C64" s="8" t="s">
        <x:v>1247</x:v>
      </x:c>
      <x:c r="D64" s="8" t="s">
        <x:v>1248</x:v>
      </x:c>
    </x:row>
    <x:row r="65" ht="46" hidden="0" customHeight="1">
      <x:c r="A65" s="9" t="s">
        <x:v>63</x:v>
      </x:c>
      <x:c r="B65" s="8" t="s">
        <x:v>1249</x:v>
      </x:c>
      <x:c r="C65" s="8" t="s">
        <x:v>1250</x:v>
      </x:c>
      <x:c r="D65" s="8" t="s">
        <x:v>1251</x:v>
      </x:c>
    </x:row>
    <x:row r="66" ht="46" hidden="0" customHeight="1">
      <x:c r="A66" s="9" t="s">
        <x:v>87</x:v>
      </x:c>
      <x:c r="B66" s="8" t="s">
        <x:v>1252</x:v>
      </x:c>
      <x:c r="C66" s="8" t="s">
        <x:v>1253</x:v>
      </x:c>
      <x:c r="D66" s="8" t="s">
        <x:v>1254</x:v>
      </x:c>
    </x:row>
    <x:row r="67" ht="46" hidden="0" customHeight="1">
      <x:c r="A67" s="9" t="s">
        <x:v>1255</x:v>
      </x:c>
      <x:c r="B67" s="8" t="s">
        <x:v>1256</x:v>
      </x:c>
      <x:c r="C67" s="8" t="s">
        <x:v>1257</x:v>
      </x:c>
      <x:c r="D67" s="8" t="s">
        <x:v>1258</x:v>
      </x:c>
    </x:row>
    <x:row r="68" ht="29.850000381469727" hidden="0">
      <x:c r="A68" s="9" t="s">
        <x:v>72</x:v>
      </x:c>
      <x:c r="B68" s="8" t="s">
        <x:v>1259</x:v>
      </x:c>
      <x:c r="C68" s="9" t="s">
        <x:v>1260</x:v>
      </x:c>
      <x:c r="D68" s="8" t="s">
        <x:v>1261</x:v>
      </x:c>
    </x:row>
    <x:row r="69" ht="29.850000381469727" hidden="0">
      <x:c r="A69" s="9" t="s">
        <x:v>125</x:v>
      </x:c>
      <x:c r="B69" s="8" t="s">
        <x:v>1262</x:v>
      </x:c>
      <x:c r="C69" s="9" t="s">
        <x:v>1263</x:v>
      </x:c>
      <x:c r="D69" s="8" t="s">
        <x:v>1264</x:v>
      </x:c>
    </x:row>
    <x:row r="70" ht="15.649999618530273" hidden="0">
      <x:c r="A70" s="9" t="s">
        <x:v>73</x:v>
      </x:c>
      <x:c r="B70" s="8" t="s">
        <x:v>1265</x:v>
      </x:c>
      <x:c r="C70" s="8" t="s">
        <x:v>1266</x:v>
      </x:c>
      <x:c r="D70" s="8" t="s">
        <x:v>1267</x:v>
      </x:c>
    </x:row>
    <x:row r="71" ht="15.649999618530273" hidden="0">
      <x:c r="A71" s="9" t="s">
        <x:v>74</x:v>
      </x:c>
      <x:c r="B71" s="8" t="s">
        <x:v>1268</x:v>
      </x:c>
      <x:c r="C71" s="8" t="s">
        <x:v>1269</x:v>
      </x:c>
      <x:c r="D71" s="8" t="s">
        <x:v>1270</x:v>
      </x:c>
    </x:row>
    <x:row r="72" ht="15.649999618530273" hidden="0">
      <x:c r="A72" s="9" t="s">
        <x:v>498</x:v>
      </x:c>
      <x:c r="B72" s="8" t="s">
        <x:v>1271</x:v>
      </x:c>
      <x:c r="C72" s="8" t="s">
        <x:v>1272</x:v>
      </x:c>
      <x:c r="D72" s="8" t="s">
        <x:v>1273</x:v>
      </x:c>
    </x:row>
    <x:row r="73" ht="29.850000381469727" hidden="0">
      <x:c r="A73" s="9" t="s">
        <x:v>1274</x:v>
      </x:c>
      <x:c r="B73" s="9" t="s">
        <x:v>1275</x:v>
      </x:c>
      <x:c r="C73" s="8" t="s">
        <x:v>1276</x:v>
      </x:c>
      <x:c r="D73" s="8" t="s">
        <x:v>1277</x:v>
      </x:c>
    </x:row>
    <x:row r="74" ht="15.649999618530273" hidden="0">
      <x:c r="A74" s="9" t="s">
        <x:v>1278</x:v>
      </x:c>
      <x:c r="B74" s="8" t="s">
        <x:v>1279</x:v>
      </x:c>
      <x:c r="C74" s="8" t="s">
        <x:v>1280</x:v>
      </x:c>
      <x:c r="D74" s="8" t="s">
        <x:v>1281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b3791c6353694d91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0" hidden="0" customWidth="1"/>
    <x:col min="3" max="3" width="9" hidden="0" customWidth="1"/>
    <x:col min="4" max="4" width="11" hidden="0" customWidth="1"/>
    <x:col min="5" max="5" width="11" hidden="0" customWidth="1"/>
    <x:col min="6" max="6" width="13" hidden="0" customWidth="1"/>
    <x:col min="7" max="7" width="26" hidden="0" customWidth="1"/>
    <x:col min="8" max="8" width="34" hidden="0" customWidth="1"/>
    <x:col min="9" max="9" width="34" hidden="0" customWidth="1"/>
    <x:col min="10" max="10" width="38" hidden="0" customWidth="1"/>
    <x:col min="11" max="11" width="28" hidden="0" customWidth="1"/>
    <x:col min="12" max="12" width="28" hidden="0" customWidth="1"/>
  </x:cols>
  <x:sheetData>
    <x:row r="1" ht="19.200000762939453" hidden="0" customHeight="1">
      <x:c r="A1" s="19" t="str">
        <x:v>Firewall专项细化参考（不计入v0.3.8顶层SoC Case；NOT EXECUTED）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 ht="84" hidden="0" customHeight="1">
      <x:c r="A2" s="66" t="str">
        <x:v>专项细化参考：不计入SoC顶层用例或Codex移植数量；本轮只采用SEC_CFG/SPIFC默认权限和SRAM默认/重配置4条方案级用例。</x:v>
      </x:c>
      <x:c r="B2" s="66"/>
      <x:c r="C2" s="66"/>
      <x:c r="D2" s="66"/>
      <x:c r="E2" s="66"/>
      <x:c r="F2" s="66"/>
      <x:c r="G2" s="66"/>
      <x:c r="H2" s="66"/>
      <x:c r="I2" s="66"/>
      <x:c r="J2" s="66"/>
      <x:c r="K2" s="66"/>
      <x:c r="L2" s="66"/>
    </x:row>
    <x:row r="3" ht="15" hidden="0" customHeight="1">
      <x:c r="A3" s="23" t="str">
        <x:v>case_id</x:v>
      </x:c>
      <x:c r="B3" s="23" t="str">
        <x:v>requirement_id</x:v>
      </x:c>
      <x:c r="C3" s="23" t="str">
        <x:v>priority</x:v>
      </x:c>
      <x:c r="D3" s="23" t="str">
        <x:v>status</x:v>
      </x:c>
      <x:c r="E3" s="23" t="str">
        <x:v>instance</x:v>
      </x:c>
      <x:c r="F3" s="23" t="str">
        <x:v>category</x:v>
      </x:c>
      <x:c r="G3" s="23" t="str">
        <x:v>title</x:v>
      </x:c>
      <x:c r="H3" s="23" t="str">
        <x:v>precondition</x:v>
      </x:c>
      <x:c r="I3" s="23" t="str">
        <x:v>stimulus</x:v>
      </x:c>
      <x:c r="J3" s="23" t="str">
        <x:v>expected_result</x:v>
      </x:c>
      <x:c r="K3" s="23" t="str">
        <x:v>evidence</x:v>
      </x:c>
      <x:c r="L3" s="23" t="str">
        <x:v>blocker</x:v>
      </x:c>
    </x:row>
    <x:row r="4" ht="21.600000381469727" hidden="0" customHeight="1">
      <x:c r="A4" s="29" t="str">
        <x:v>FW-TC-001</x:v>
      </x:c>
      <x:c r="B4" s="29" t="str">
        <x:v>FW-REQ-001</x:v>
      </x:c>
      <x:c r="C4" s="29" t="str">
        <x:v>P0</x:v>
      </x:c>
      <x:c r="D4" s="29" t="str">
        <x:v>READY</x:v>
      </x:c>
      <x:c r="E4" s="29" t="str">
        <x:v>SRAM</x:v>
      </x:c>
      <x:c r="F4" s="29" t="str">
        <x:v>control</x:v>
      </x:c>
      <x:c r="G4" s="29" t="str">
        <x:v>check_en关闭时透明旁路</x:v>
      </x:c>
      <x:c r="H4" s="29" t="str">
        <x:v>使用非授权UserId；check_en=0</x:v>
      </x:c>
      <x:c r="I4" s="29" t="str">
        <x:v>对有效Slave地址发起读写</x:v>
      </x:c>
      <x:c r="J4" s="29" t="str">
        <x:v>请求到达Slave并由Slave正常响应；Firewall不以权限拒绝</x:v>
      </x:c>
      <x:c r="K4" s="29" t="str">
        <x:v>TNUI响应；Slave入口trace；配置读回</x:v>
      </x:c>
      <x:c r="L4" s="29" t="str"/>
    </x:row>
    <x:row r="5" ht="21.600000381469727" hidden="0" customHeight="1">
      <x:c r="A5" s="30" t="str">
        <x:v>FW-TC-002</x:v>
      </x:c>
      <x:c r="B5" s="30" t="str">
        <x:v>FW-REQ-001</x:v>
      </x:c>
      <x:c r="C5" s="30" t="str">
        <x:v>P0</x:v>
      </x:c>
      <x:c r="D5" s="30" t="str">
        <x:v>READY</x:v>
      </x:c>
      <x:c r="E5" s="30" t="str">
        <x:v>SRAM</x:v>
      </x:c>
      <x:c r="F5" s="30" t="str">
        <x:v>control</x:v>
      </x:c>
      <x:c r="G5" s="30" t="str">
        <x:v>check_en开启时执行检查</x:v>
      </x:c>
      <x:c r="H5" s="30" t="str">
        <x:v>配置单一Region且不给目标UserId授权；check_en=1</x:v>
      </x:c>
      <x:c r="I5" s="30" t="str">
        <x:v>对Region内地址发起访问</x:v>
      </x:c>
      <x:c r="J5" s="30" t="str">
        <x:v>请求被阻断且错误状态置位</x:v>
      </x:c>
      <x:c r="K5" s="30" t="str">
        <x:v>TNUI响应；Slave入口trace；错误寄存器</x:v>
      </x:c>
      <x:c r="L5" s="30" t="str"/>
    </x:row>
    <x:row r="6" ht="15" hidden="0" customHeight="1">
      <x:c r="A6" s="30" t="str">
        <x:v>FW-TC-003</x:v>
      </x:c>
      <x:c r="B6" s="30" t="str">
        <x:v>FW-REQ-001</x:v>
      </x:c>
      <x:c r="C6" s="30" t="str">
        <x:v>P1</x:v>
      </x:c>
      <x:c r="D6" s="30" t="str">
        <x:v>READY</x:v>
      </x:c>
      <x:c r="E6" s="30" t="str">
        <x:v>SRAM</x:v>
      </x:c>
      <x:c r="F6" s="30" t="str">
        <x:v>control</x:v>
      </x:c>
      <x:c r="G6" s="30" t="str">
        <x:v>check_en运行时切换</x:v>
      </x:c>
      <x:c r="H6" s="30" t="str">
        <x:v>受控隔离Master；同一地址/权限配置</x:v>
      </x:c>
      <x:c r="I6" s="30" t="str">
        <x:v>分别在check_en=0和1下发送同一未授权事务</x:v>
      </x:c>
      <x:c r="J6" s="30" t="str">
        <x:v>0时旁路；1时阻断；切换期间无意外Slave写</x:v>
      </x:c>
      <x:c r="K6" s="30" t="str">
        <x:v>寄存器读回；Slave副作用；trace</x:v>
      </x:c>
      <x:c r="L6" s="30" t="str"/>
    </x:row>
    <x:row r="7" ht="15" hidden="0" customHeight="1">
      <x:c r="A7" s="30" t="str">
        <x:v>FW-TC-004</x:v>
      </x:c>
      <x:c r="B7" s="30" t="str">
        <x:v>FW-REQ-006;FW-REQ-007</x:v>
      </x:c>
      <x:c r="C7" s="30" t="str">
        <x:v>P0</x:v>
      </x:c>
      <x:c r="D7" s="30" t="str">
        <x:v>READY</x:v>
      </x:c>
      <x:c r="E7" s="30" t="str">
        <x:v>SRAM</x:v>
      </x:c>
      <x:c r="F7" s="30" t="str">
        <x:v>response</x:v>
      </x:c>
      <x:c r="G7" s="30" t="str">
        <x:v>Hide关闭的失败响应</x:v>
      </x:c>
      <x:c r="H7" s="30" t="str">
        <x:v>check_en=1; hide_en=0; 未授权事务</x:v>
      </x:c>
      <x:c r="I7" s="30" t="str">
        <x:v>发起Region内未授权访问</x:v>
      </x:c>
      <x:c r="J7" s="30" t="str">
        <x:v>TNUI返回Error；Slave未收到请求；错误信息锁存</x:v>
      </x:c>
      <x:c r="K7" s="30" t="str">
        <x:v>TNUI响应；Slave trace；error info</x:v>
      </x:c>
      <x:c r="L7" s="30" t="str"/>
    </x:row>
    <x:row r="8" ht="15" hidden="0" customHeight="1">
      <x:c r="A8" s="30" t="str">
        <x:v>FW-TC-005</x:v>
      </x:c>
      <x:c r="B8" s="30" t="str">
        <x:v>FW-REQ-006;FW-REQ-007</x:v>
      </x:c>
      <x:c r="C8" s="30" t="str">
        <x:v>P0</x:v>
      </x:c>
      <x:c r="D8" s="30" t="str">
        <x:v>READY</x:v>
      </x:c>
      <x:c r="E8" s="30" t="str">
        <x:v>SRAM</x:v>
      </x:c>
      <x:c r="F8" s="30" t="str">
        <x:v>response</x:v>
      </x:c>
      <x:c r="G8" s="30" t="str">
        <x:v>Hide开启的失败响应</x:v>
      </x:c>
      <x:c r="H8" s="30" t="str">
        <x:v>check_en=1; hide_en=1; 未授权事务</x:v>
      </x:c>
      <x:c r="I8" s="30" t="str">
        <x:v>发起Region内未授权访问</x:v>
      </x:c>
      <x:c r="J8" s="30" t="str">
        <x:v>TNUI返回OK；Slave仍未收到请求；错误信息锁存</x:v>
      </x:c>
      <x:c r="K8" s="30" t="str">
        <x:v>TNUI响应；Slave trace；error info</x:v>
      </x:c>
      <x:c r="L8" s="30" t="str"/>
    </x:row>
    <x:row r="9" ht="15" hidden="0" customHeight="1">
      <x:c r="A9" s="30" t="str">
        <x:v>FW-TC-010</x:v>
      </x:c>
      <x:c r="B9" s="30" t="str">
        <x:v>FW-REQ-002</x:v>
      </x:c>
      <x:c r="C9" s="30" t="str">
        <x:v>P1</x:v>
      </x:c>
      <x:c r="D9" s="30" t="str">
        <x:v>READY</x:v>
      </x:c>
      <x:c r="E9" s="30" t="str">
        <x:v>SRAM</x:v>
      </x:c>
      <x:c r="F9" s="30" t="str">
        <x:v>region</x:v>
      </x:c>
      <x:c r="G9" s="30" t="str">
        <x:v>Region使能参与地址检查</x:v>
      </x:c>
      <x:c r="H9" s="30" t="str">
        <x:v>配置合法单一Region；region_en=1</x:v>
      </x:c>
      <x:c r="I9" s="30" t="str">
        <x:v>访问Region中间地址</x:v>
      </x:c>
      <x:c r="J9" s="30" t="str">
        <x:v>地址命中并进入权限检查</x:v>
      </x:c>
      <x:c r="K9" s="30" t="str">
        <x:v>Region配置读回；trace</x:v>
      </x:c>
      <x:c r="L9" s="30" t="str"/>
    </x:row>
    <x:row r="10" ht="15" hidden="0" customHeight="1">
      <x:c r="A10" s="30" t="str">
        <x:v>FW-TC-011</x:v>
      </x:c>
      <x:c r="B10" s="30" t="str">
        <x:v>FW-REQ-002</x:v>
      </x:c>
      <x:c r="C10" s="30" t="str">
        <x:v>P1</x:v>
      </x:c>
      <x:c r="D10" s="30" t="str">
        <x:v>READY</x:v>
      </x:c>
      <x:c r="E10" s="30" t="str">
        <x:v>SRAM</x:v>
      </x:c>
      <x:c r="F10" s="30" t="str">
        <x:v>region</x:v>
      </x:c>
      <x:c r="G10" s="30" t="str">
        <x:v>Region关闭不参与地址检查</x:v>
      </x:c>
      <x:c r="H10" s="30" t="str">
        <x:v>配置合法Region但region_en=0</x:v>
      </x:c>
      <x:c r="I10" s="30" t="str">
        <x:v>访问该Region地址</x:v>
      </x:c>
      <x:c r="J10" s="30" t="str">
        <x:v>该Region不命中；若无其他Region则地址检查失败</x:v>
      </x:c>
      <x:c r="K10" s="30" t="str">
        <x:v>Region配置；错误状态；trace</x:v>
      </x:c>
      <x:c r="L10" s="30" t="str"/>
    </x:row>
    <x:row r="11" ht="15" hidden="0" customHeight="1">
      <x:c r="A11" s="30" t="str">
        <x:v>FW-TC-012</x:v>
      </x:c>
      <x:c r="B11" s="30" t="str">
        <x:v>FW-REQ-002</x:v>
      </x:c>
      <x:c r="C11" s="30" t="str">
        <x:v>P1</x:v>
      </x:c>
      <x:c r="D11" s="30" t="str">
        <x:v>READY</x:v>
      </x:c>
      <x:c r="E11" s="30" t="str">
        <x:v>SRAM</x:v>
      </x:c>
      <x:c r="F11" s="30" t="str">
        <x:v>region</x:v>
      </x:c>
      <x:c r="G11" s="30" t="str">
        <x:v>五个Region独立配置</x:v>
      </x:c>
      <x:c r="H11" s="30" t="str">
        <x:v>配置5个互不重叠窗口和不同authority</x:v>
      </x:c>
      <x:c r="I11" s="30" t="str">
        <x:v>分别访问5个窗口</x:v>
      </x:c>
      <x:c r="J11" s="30" t="str">
        <x:v>每个地址只选择对应Region及其authority</x:v>
      </x:c>
      <x:c r="K11" s="30" t="str">
        <x:v>5组配置读回；Region状态；trace</x:v>
      </x:c>
      <x:c r="L11" s="30" t="str"/>
    </x:row>
    <x:row r="12" ht="15" hidden="0" customHeight="1">
      <x:c r="A12" s="30" t="str">
        <x:v>FW-TC-013</x:v>
      </x:c>
      <x:c r="B12" s="30" t="str">
        <x:v>FW-REQ-003</x:v>
      </x:c>
      <x:c r="C12" s="30" t="str">
        <x:v>P0</x:v>
      </x:c>
      <x:c r="D12" s="30" t="str">
        <x:v>READY</x:v>
      </x:c>
      <x:c r="E12" s="30" t="str">
        <x:v>SRAM</x:v>
      </x:c>
      <x:c r="F12" s="30" t="str">
        <x:v>address</x:v>
      </x:c>
      <x:c r="G12" s="30" t="str">
        <x:v>零Region命中</x:v>
      </x:c>
      <x:c r="H12" s="30" t="str">
        <x:v>所有enabled Region均不覆盖目标地址</x:v>
      </x:c>
      <x:c r="I12" s="30" t="str">
        <x:v>发起读写</x:v>
      </x:c>
      <x:c r="J12" s="30" t="str">
        <x:v>地址检查失败；Slave未收到请求</x:v>
      </x:c>
      <x:c r="K12" s="30" t="str">
        <x:v>Slave trace；error info</x:v>
      </x:c>
      <x:c r="L12" s="30" t="str"/>
    </x:row>
    <x:row r="13" ht="15" hidden="0" customHeight="1">
      <x:c r="A13" s="30" t="str">
        <x:v>FW-TC-014</x:v>
      </x:c>
      <x:c r="B13" s="30" t="str">
        <x:v>FW-REQ-003</x:v>
      </x:c>
      <x:c r="C13" s="30" t="str">
        <x:v>P0</x:v>
      </x:c>
      <x:c r="D13" s="30" t="str">
        <x:v>READY</x:v>
      </x:c>
      <x:c r="E13" s="30" t="str">
        <x:v>SRAM</x:v>
      </x:c>
      <x:c r="F13" s="30" t="str">
        <x:v>address</x:v>
      </x:c>
      <x:c r="G13" s="30" t="str">
        <x:v>唯一Region命中</x:v>
      </x:c>
      <x:c r="H13" s="30" t="str">
        <x:v>一个enabled Region覆盖地址且权限允许</x:v>
      </x:c>
      <x:c r="I13" s="30" t="str">
        <x:v>发起读写</x:v>
      </x:c>
      <x:c r="J13" s="30" t="str">
        <x:v>地址检查通过并按选中Region权限放行</x:v>
      </x:c>
      <x:c r="K13" s="30" t="str">
        <x:v>Slave trace；Region配置</x:v>
      </x:c>
      <x:c r="L13" s="30" t="str"/>
    </x:row>
    <x:row r="14" ht="15" hidden="0" customHeight="1">
      <x:c r="A14" s="30" t="str">
        <x:v>FW-TC-015</x:v>
      </x:c>
      <x:c r="B14" s="30" t="str">
        <x:v>FW-REQ-003</x:v>
      </x:c>
      <x:c r="C14" s="30" t="str">
        <x:v>P0</x:v>
      </x:c>
      <x:c r="D14" s="30" t="str">
        <x:v>READY</x:v>
      </x:c>
      <x:c r="E14" s="30" t="str">
        <x:v>SRAM</x:v>
      </x:c>
      <x:c r="F14" s="30" t="str">
        <x:v>address</x:v>
      </x:c>
      <x:c r="G14" s="30" t="str">
        <x:v>两个Region重叠命中</x:v>
      </x:c>
      <x:c r="H14" s="30" t="str">
        <x:v>两个enabled Region重叠且都授权</x:v>
      </x:c>
      <x:c r="I14" s="30" t="str">
        <x:v>访问重叠区</x:v>
      </x:c>
      <x:c r="J14" s="30" t="str">
        <x:v>地址检查失败；不得因任一Region授权而放行</x:v>
      </x:c>
      <x:c r="K14" s="30" t="str">
        <x:v>Slave trace；error info；Region配置</x:v>
      </x:c>
      <x:c r="L14" s="30" t="str"/>
    </x:row>
    <x:row r="15" ht="15" hidden="0" customHeight="1">
      <x:c r="A15" s="30" t="str">
        <x:v>FW-TC-016</x:v>
      </x:c>
      <x:c r="B15" s="30" t="str">
        <x:v>FW-REQ-003</x:v>
      </x:c>
      <x:c r="C15" s="30" t="str">
        <x:v>P1</x:v>
      </x:c>
      <x:c r="D15" s="30" t="str">
        <x:v>READY</x:v>
      </x:c>
      <x:c r="E15" s="30" t="str">
        <x:v>SRAM</x:v>
      </x:c>
      <x:c r="F15" s="30" t="str">
        <x:v>address</x:v>
      </x:c>
      <x:c r="G15" s="30" t="str">
        <x:v>三个以上Region重叠命中</x:v>
      </x:c>
      <x:c r="H15" s="30" t="str">
        <x:v>三个enabled Region重叠</x:v>
      </x:c>
      <x:c r="I15" s="30" t="str">
        <x:v>访问公共重叠区</x:v>
      </x:c>
      <x:c r="J15" s="30" t="str">
        <x:v>地址检查失败；Slave未收到请求</x:v>
      </x:c>
      <x:c r="K15" s="30" t="str">
        <x:v>Slave trace；error info</x:v>
      </x:c>
      <x:c r="L15" s="30" t="str"/>
    </x:row>
    <x:row r="16" ht="15" hidden="0" customHeight="1">
      <x:c r="A16" s="30" t="str">
        <x:v>FW-TC-017</x:v>
      </x:c>
      <x:c r="B16" s="30" t="str">
        <x:v>FW-REQ-004</x:v>
      </x:c>
      <x:c r="C16" s="30" t="str">
        <x:v>P1</x:v>
      </x:c>
      <x:c r="D16" s="30" t="str">
        <x:v>BLOCKED</x:v>
      </x:c>
      <x:c r="E16" s="30" t="str">
        <x:v>SRAM</x:v>
      </x:c>
      <x:c r="F16" s="30" t="str">
        <x:v>address</x:v>
      </x:c>
      <x:c r="G16" s="30" t="str">
        <x:v>48位高地址区分</x:v>
      </x:c>
      <x:c r="H16" s="30" t="str">
        <x:v>可配置Region start/end high16</x:v>
      </x:c>
      <x:c r="I16" s="30" t="str">
        <x:v>使用低32位相同而高16位不同的两个地址</x:v>
      </x:c>
      <x:c r="J16" s="30" t="str">
        <x:v>仅完整48位位于窗口内的地址命中</x:v>
      </x:c>
      <x:c r="K16" s="30" t="str">
        <x:v>配置读回；trace</x:v>
      </x:c>
      <x:c r="L16" s="30" t="str">
        <x:v>FW-OQ-003</x:v>
      </x:c>
    </x:row>
    <x:row r="17" ht="21.600000381469727" hidden="0" customHeight="1">
      <x:c r="A17" s="30" t="str">
        <x:v>FW-TC-018</x:v>
      </x:c>
      <x:c r="B17" s="30" t="str">
        <x:v>FW-REQ-004;FW-REQ-013</x:v>
      </x:c>
      <x:c r="C17" s="30" t="str">
        <x:v>P1</x:v>
      </x:c>
      <x:c r="D17" s="30" t="str">
        <x:v>READY</x:v>
      </x:c>
      <x:c r="E17" s="30" t="str">
        <x:v>software</x:v>
      </x:c>
      <x:c r="F17" s="30" t="str">
        <x:v>validation</x:v>
      </x:c>
      <x:c r="G17" s="30" t="str">
        <x:v>4KiB对齐校验</x:v>
      </x:c>
      <x:c r="H17" s="30" t="str">
        <x:v>调用policy校验接口</x:v>
      </x:c>
      <x:c r="I17" s="30" t="str">
        <x:v>分别输入未对齐start和非页末end</x:v>
      </x:c>
      <x:c r="J17" s="30" t="str">
        <x:v>软件拒绝配置且不写硬件；端地址对齐语义需随FW-OQ-003确认</x:v>
      </x:c>
      <x:c r="K17" s="30" t="str">
        <x:v>API返回码；寄存器前后快照</x:v>
      </x:c>
      <x:c r="L17" s="30" t="str">
        <x:v>FW-OQ-003</x:v>
      </x:c>
    </x:row>
    <x:row r="18" ht="15" hidden="0" customHeight="1">
      <x:c r="A18" s="30" t="str">
        <x:v>FW-TC-020</x:v>
      </x:c>
      <x:c r="B18" s="30" t="str">
        <x:v>FW-REQ-005;FW-REQ-006</x:v>
      </x:c>
      <x:c r="C18" s="30" t="str">
        <x:v>P0</x:v>
      </x:c>
      <x:c r="D18" s="30" t="str">
        <x:v>READY</x:v>
      </x:c>
      <x:c r="E18" s="30" t="str">
        <x:v>SRAM</x:v>
      </x:c>
      <x:c r="F18" s="30" t="str">
        <x:v>decision</x:v>
      </x:c>
      <x:c r="G18" s="30" t="str">
        <x:v>地址通过但权限失败</x:v>
      </x:c>
      <x:c r="H18" s="30" t="str">
        <x:v>唯一Region命中；目标方向无授权</x:v>
      </x:c>
      <x:c r="I18" s="30" t="str">
        <x:v>发起访问</x:v>
      </x:c>
      <x:c r="J18" s="30" t="str">
        <x:v>最终失败；Slave未收到请求；错误锁存</x:v>
      </x:c>
      <x:c r="K18" s="30" t="str">
        <x:v>Slave trace；error info</x:v>
      </x:c>
      <x:c r="L18" s="30" t="str"/>
    </x:row>
    <x:row r="19" ht="15" hidden="0" customHeight="1">
      <x:c r="A19" s="30" t="str">
        <x:v>FW-TC-021</x:v>
      </x:c>
      <x:c r="B19" s="30" t="str">
        <x:v>FW-REQ-005;FW-REQ-009</x:v>
      </x:c>
      <x:c r="C19" s="30" t="str">
        <x:v>P0</x:v>
      </x:c>
      <x:c r="D19" s="30" t="str">
        <x:v>READY</x:v>
      </x:c>
      <x:c r="E19" s="30" t="str">
        <x:v>SRAM</x:v>
      </x:c>
      <x:c r="F19" s="30" t="str">
        <x:v>permission</x:v>
      </x:c>
      <x:c r="G19" s="30" t="str">
        <x:v>只读授权</x:v>
      </x:c>
      <x:c r="H19" s="30" t="str">
        <x:v>目标UserId仅read bit=1</x:v>
      </x:c>
      <x:c r="I19" s="30" t="str">
        <x:v>分别读和写</x:v>
      </x:c>
      <x:c r="J19" s="30" t="str">
        <x:v>读通过；写失败且Slave无写副作用</x:v>
      </x:c>
      <x:c r="K19" s="30" t="str">
        <x:v>authority读回；Slave trace；error info</x:v>
      </x:c>
      <x:c r="L19" s="30" t="str"/>
    </x:row>
    <x:row r="20" ht="15" hidden="0" customHeight="1">
      <x:c r="A20" s="30" t="str">
        <x:v>FW-TC-022</x:v>
      </x:c>
      <x:c r="B20" s="30" t="str">
        <x:v>FW-REQ-005;FW-REQ-009</x:v>
      </x:c>
      <x:c r="C20" s="30" t="str">
        <x:v>P0</x:v>
      </x:c>
      <x:c r="D20" s="30" t="str">
        <x:v>READY</x:v>
      </x:c>
      <x:c r="E20" s="30" t="str">
        <x:v>SRAM</x:v>
      </x:c>
      <x:c r="F20" s="30" t="str">
        <x:v>permission</x:v>
      </x:c>
      <x:c r="G20" s="30" t="str">
        <x:v>只写授权</x:v>
      </x:c>
      <x:c r="H20" s="30" t="str">
        <x:v>目标UserId仅write bit=1</x:v>
      </x:c>
      <x:c r="I20" s="30" t="str">
        <x:v>分别读和写</x:v>
      </x:c>
      <x:c r="J20" s="30" t="str">
        <x:v>写通过；读失败且Slave无读事务</x:v>
      </x:c>
      <x:c r="K20" s="30" t="str">
        <x:v>authority读回；Slave trace；error info</x:v>
      </x:c>
      <x:c r="L20" s="30" t="str"/>
    </x:row>
    <x:row r="21" ht="15" hidden="0" customHeight="1">
      <x:c r="A21" s="30" t="str">
        <x:v>FW-TC-023</x:v>
      </x:c>
      <x:c r="B21" s="30" t="str">
        <x:v>FW-REQ-008</x:v>
      </x:c>
      <x:c r="C21" s="30" t="str">
        <x:v>P0</x:v>
      </x:c>
      <x:c r="D21" s="30" t="str">
        <x:v>READY</x:v>
      </x:c>
      <x:c r="E21" s="30" t="str">
        <x:v>SRAM</x:v>
      </x:c>
      <x:c r="F21" s="30" t="str">
        <x:v>userid</x:v>
      </x:c>
      <x:c r="G21" s="30" t="str">
        <x:v>RAS双die权限位</x:v>
      </x:c>
      <x:c r="H21" s="30" t="str">
        <x:v>authority=0x0000000F</x:v>
      </x:c>
      <x:c r="I21" s="30" t="str">
        <x:v>以UserId 0x1/0x9读写并以0x2反测</x:v>
      </x:c>
      <x:c r="J21" s="30" t="str">
        <x:v>0x1/0x9读写通过；0x2失败</x:v>
      </x:c>
      <x:c r="K21" s="30" t="str">
        <x:v>数据驱动日志；Slave trace</x:v>
      </x:c>
      <x:c r="L21" s="30" t="str"/>
    </x:row>
    <x:row r="22" ht="15" hidden="0" customHeight="1">
      <x:c r="A22" s="30" t="str">
        <x:v>FW-TC-024</x:v>
      </x:c>
      <x:c r="B22" s="30" t="str">
        <x:v>FW-REQ-008</x:v>
      </x:c>
      <x:c r="C22" s="30" t="str">
        <x:v>P0</x:v>
      </x:c>
      <x:c r="D22" s="30" t="str">
        <x:v>READY</x:v>
      </x:c>
      <x:c r="E22" s="30" t="str">
        <x:v>SRAM</x:v>
      </x:c>
      <x:c r="F22" s="30" t="str">
        <x:v>userid</x:v>
      </x:c>
      <x:c r="G22" s="30" t="str">
        <x:v>管理MCU双die权限位</x:v>
      </x:c>
      <x:c r="H22" s="30" t="str">
        <x:v>authority=0x000000F0</x:v>
      </x:c>
      <x:c r="I22" s="30" t="str">
        <x:v>以UserId 0x2/0xA读写并以0x1反测</x:v>
      </x:c>
      <x:c r="J22" s="30" t="str">
        <x:v>0x2/0xA读写通过；0x1失败</x:v>
      </x:c>
      <x:c r="K22" s="30" t="str">
        <x:v>数据驱动日志；Slave trace</x:v>
      </x:c>
      <x:c r="L22" s="30" t="str"/>
    </x:row>
    <x:row r="23" ht="15" hidden="0" customHeight="1">
      <x:c r="A23" s="30" t="str">
        <x:v>FW-TC-025</x:v>
      </x:c>
      <x:c r="B23" s="30" t="str">
        <x:v>FW-REQ-008</x:v>
      </x:c>
      <x:c r="C23" s="30" t="str">
        <x:v>P0</x:v>
      </x:c>
      <x:c r="D23" s="30" t="str">
        <x:v>READY</x:v>
      </x:c>
      <x:c r="E23" s="30" t="str">
        <x:v>SRAM</x:v>
      </x:c>
      <x:c r="F23" s="30" t="str">
        <x:v>userid</x:v>
      </x:c>
      <x:c r="G23" s="30" t="str">
        <x:v>Codec MCU双die权限位</x:v>
      </x:c>
      <x:c r="H23" s="30" t="str">
        <x:v>authority=0x00000F00</x:v>
      </x:c>
      <x:c r="I23" s="30" t="str">
        <x:v>以UserId 0x3/0xB读写并以0x4反测</x:v>
      </x:c>
      <x:c r="J23" s="30" t="str">
        <x:v>按位图0x3/0xB通过；名称映射另行裁决</x:v>
      </x:c>
      <x:c r="K23" s="30" t="str">
        <x:v>数据驱动日志；原始位图；Slave trace</x:v>
      </x:c>
      <x:c r="L23" s="30" t="str">
        <x:v>FW-OQ-005</x:v>
      </x:c>
    </x:row>
    <x:row r="24" ht="15" hidden="0" customHeight="1">
      <x:c r="A24" s="30" t="str">
        <x:v>FW-TC-026</x:v>
      </x:c>
      <x:c r="B24" s="30" t="str">
        <x:v>FW-REQ-008</x:v>
      </x:c>
      <x:c r="C24" s="30" t="str">
        <x:v>P0</x:v>
      </x:c>
      <x:c r="D24" s="30" t="str">
        <x:v>READY</x:v>
      </x:c>
      <x:c r="E24" s="30" t="str">
        <x:v>SRAM</x:v>
      </x:c>
      <x:c r="F24" s="30" t="str">
        <x:v>userid</x:v>
      </x:c>
      <x:c r="G24" s="30" t="str">
        <x:v>功耗管理MCU双die权限位</x:v>
      </x:c>
      <x:c r="H24" s="30" t="str">
        <x:v>authority=0x0000F000</x:v>
      </x:c>
      <x:c r="I24" s="30" t="str">
        <x:v>以UserId 0x4/0xC读写并以0x3反测</x:v>
      </x:c>
      <x:c r="J24" s="30" t="str">
        <x:v>0x4/0xC读写通过；0x3失败</x:v>
      </x:c>
      <x:c r="K24" s="30" t="str">
        <x:v>数据驱动日志；Slave trace</x:v>
      </x:c>
      <x:c r="L24" s="30" t="str"/>
    </x:row>
    <x:row r="25" ht="15" hidden="0" customHeight="1">
      <x:c r="A25" s="30" t="str">
        <x:v>FW-TC-027</x:v>
      </x:c>
      <x:c r="B25" s="30" t="str">
        <x:v>FW-REQ-008</x:v>
      </x:c>
      <x:c r="C25" s="30" t="str">
        <x:v>P1</x:v>
      </x:c>
      <x:c r="D25" s="30" t="str">
        <x:v>READY</x:v>
      </x:c>
      <x:c r="E25" s="30" t="str">
        <x:v>SRAM</x:v>
      </x:c>
      <x:c r="F25" s="30" t="str">
        <x:v>userid</x:v>
      </x:c>
      <x:c r="G25" s="30" t="str">
        <x:v>Host双die权限位</x:v>
      </x:c>
      <x:c r="H25" s="30" t="str">
        <x:v>authority=0x000F0000</x:v>
      </x:c>
      <x:c r="I25" s="30" t="str">
        <x:v>以UserId 0x5/0xD读写并以0x6反测</x:v>
      </x:c>
      <x:c r="J25" s="30" t="str">
        <x:v>0x5/0xD读写通过；0x6失败</x:v>
      </x:c>
      <x:c r="K25" s="30" t="str">
        <x:v>数据驱动日志；Slave trace</x:v>
      </x:c>
      <x:c r="L25" s="30" t="str"/>
    </x:row>
    <x:row r="26" ht="15" hidden="0" customHeight="1">
      <x:c r="A26" s="30" t="str">
        <x:v>FW-TC-028</x:v>
      </x:c>
      <x:c r="B26" s="30" t="str">
        <x:v>FW-REQ-008</x:v>
      </x:c>
      <x:c r="C26" s="30" t="str">
        <x:v>P1</x:v>
      </x:c>
      <x:c r="D26" s="30" t="str">
        <x:v>READY</x:v>
      </x:c>
      <x:c r="E26" s="30" t="str">
        <x:v>SRAM</x:v>
      </x:c>
      <x:c r="F26" s="30" t="str">
        <x:v>userid</x:v>
      </x:c>
      <x:c r="G26" s="30" t="str">
        <x:v>DMA双die权限位</x:v>
      </x:c>
      <x:c r="H26" s="30" t="str">
        <x:v>authority=0x00F00000</x:v>
      </x:c>
      <x:c r="I26" s="30" t="str">
        <x:v>以UserId 0x6/0xE读写并以0x5反测</x:v>
      </x:c>
      <x:c r="J26" s="30" t="str">
        <x:v>0x6/0xE读写通过；0x5失败</x:v>
      </x:c>
      <x:c r="K26" s="30" t="str">
        <x:v>数据驱动日志；Slave trace</x:v>
      </x:c>
      <x:c r="L26" s="30" t="str"/>
    </x:row>
    <x:row r="27" ht="15" hidden="0" customHeight="1">
      <x:c r="A27" s="30" t="str">
        <x:v>FW-TC-029</x:v>
      </x:c>
      <x:c r="B27" s="30" t="str">
        <x:v>FW-REQ-008</x:v>
      </x:c>
      <x:c r="C27" s="30" t="str">
        <x:v>P0</x:v>
      </x:c>
      <x:c r="D27" s="30" t="str">
        <x:v>BLOCKED</x:v>
      </x:c>
      <x:c r="E27" s="30" t="str">
        <x:v>SRAM</x:v>
      </x:c>
      <x:c r="F27" s="30" t="str">
        <x:v>userid</x:v>
      </x:c>
      <x:c r="G27" s="30" t="str">
        <x:v>eHSM双die权限位</x:v>
      </x:c>
      <x:c r="H27" s="30" t="str">
        <x:v>authority=0x0F000000</x:v>
      </x:c>
      <x:c r="I27" s="30" t="str">
        <x:v>以UserId 0x7/0xF分别读写</x:v>
      </x:c>
      <x:c r="J27" s="30" t="str">
        <x:v>0x7和0xF读写均通过；重点核对bit27</x:v>
      </x:c>
      <x:c r="K27" s="30" t="str">
        <x:v>原始位图；Slave trace；error info</x:v>
      </x:c>
      <x:c r="L27" s="30" t="str">
        <x:v>FW-OQ-006</x:v>
      </x:c>
    </x:row>
    <x:row r="28" ht="15" hidden="0" customHeight="1">
      <x:c r="A28" s="30" t="str">
        <x:v>FW-TC-030</x:v>
      </x:c>
      <x:c r="B28" s="30" t="str">
        <x:v>FW-REQ-008</x:v>
      </x:c>
      <x:c r="C28" s="30" t="str">
        <x:v>P0</x:v>
      </x:c>
      <x:c r="D28" s="30" t="str">
        <x:v>READY</x:v>
      </x:c>
      <x:c r="E28" s="30" t="str">
        <x:v>SRAM</x:v>
      </x:c>
      <x:c r="F28" s="30" t="str">
        <x:v>userid</x:v>
      </x:c>
      <x:c r="G28" s="30" t="str">
        <x:v>reserved UserId拒绝</x:v>
      </x:c>
      <x:c r="H28" s="30" t="str">
        <x:v>软件policy包含UserId 0x0或0x8</x:v>
      </x:c>
      <x:c r="I28" s="30" t="str">
        <x:v>调用权限生成和配置接口</x:v>
      </x:c>
      <x:c r="J28" s="30" t="str">
        <x:v>返回零mask/参数错误；不得设置bits[31:28]或写硬件</x:v>
      </x:c>
      <x:c r="K28" s="30" t="str">
        <x:v>单元测试；寄存器前后快照</x:v>
      </x:c>
      <x:c r="L28" s="30" t="str"/>
    </x:row>
    <x:row r="29" ht="15" hidden="0" customHeight="1">
      <x:c r="A29" s="30" t="str">
        <x:v>FW-TC-031</x:v>
      </x:c>
      <x:c r="B29" s="30" t="str">
        <x:v>FW-REQ-009</x:v>
      </x:c>
      <x:c r="C29" s="30" t="str">
        <x:v>P0</x:v>
      </x:c>
      <x:c r="D29" s="30" t="str">
        <x:v>READY</x:v>
      </x:c>
      <x:c r="E29" s="30" t="str">
        <x:v>SRAM</x:v>
      </x:c>
      <x:c r="F29" s="30" t="str">
        <x:v>permission</x:v>
      </x:c>
      <x:c r="G29" s="30" t="str">
        <x:v>所有UserId读写位无串扰</x:v>
      </x:c>
      <x:c r="H29" s="30" t="str">
        <x:v>遍历14个有效UserId</x:v>
      </x:c>
      <x:c r="I29" s="30" t="str">
        <x:v>每次仅设置一个write bit并对所有UserId读写</x:v>
      </x:c>
      <x:c r="J29" s="30" t="str">
        <x:v>仅目标UserId写通过；全部读失败；其他UserId写失败</x:v>
      </x:c>
      <x:c r="K29" s="30" t="str">
        <x:v>224组合数据驱动结果</x:v>
      </x:c>
      <x:c r="L29" s="30" t="str"/>
    </x:row>
    <x:row r="30" ht="15" hidden="0" customHeight="1">
      <x:c r="A30" s="30" t="str">
        <x:v>FW-TC-032</x:v>
      </x:c>
      <x:c r="B30" s="30" t="str">
        <x:v>FW-REQ-009</x:v>
      </x:c>
      <x:c r="C30" s="30" t="str">
        <x:v>P0</x:v>
      </x:c>
      <x:c r="D30" s="30" t="str">
        <x:v>READY</x:v>
      </x:c>
      <x:c r="E30" s="30" t="str">
        <x:v>SRAM</x:v>
      </x:c>
      <x:c r="F30" s="30" t="str">
        <x:v>permission</x:v>
      </x:c>
      <x:c r="G30" s="30" t="str">
        <x:v>所有UserId读位无串扰</x:v>
      </x:c>
      <x:c r="H30" s="30" t="str">
        <x:v>遍历14个有效UserId</x:v>
      </x:c>
      <x:c r="I30" s="30" t="str">
        <x:v>每次仅设置一个read bit并对所有UserId读写</x:v>
      </x:c>
      <x:c r="J30" s="30" t="str">
        <x:v>仅目标UserId读通过；全部写失败；其他UserId读失败</x:v>
      </x:c>
      <x:c r="K30" s="30" t="str">
        <x:v>224组合数据驱动结果</x:v>
      </x:c>
      <x:c r="L30" s="30" t="str"/>
    </x:row>
    <x:row r="31" ht="21.600000381469727" hidden="0" customHeight="1">
      <x:c r="A31" s="30" t="str">
        <x:v>FW-TC-040</x:v>
      </x:c>
      <x:c r="B31" s="30" t="str">
        <x:v>FW-REQ-010</x:v>
      </x:c>
      <x:c r="C31" s="30" t="str">
        <x:v>P0</x:v>
      </x:c>
      <x:c r="D31" s="30" t="str">
        <x:v>READY</x:v>
      </x:c>
      <x:c r="E31" s="30" t="str">
        <x:v>SRAM</x:v>
      </x:c>
      <x:c r="F31" s="30" t="str">
        <x:v>diagnostic</x:v>
      </x:c>
      <x:c r="G31" s="30" t="str">
        <x:v>错误地址48位记录</x:v>
      </x:c>
      <x:c r="H31" s="30" t="str">
        <x:v>可注入高低地址的未授权访问</x:v>
      </x:c>
      <x:c r="I31" s="30" t="str">
        <x:v>触发一次失败并读取LOW32/HIGH16</x:v>
      </x:c>
      <x:c r="J31" s="30" t="str">
        <x:v>组合地址与激励起始地址一致；高16执行依赖FW-OQ-003</x:v>
      </x:c>
      <x:c r="K31" s="30" t="str">
        <x:v>激励记录；寄存器dump</x:v>
      </x:c>
      <x:c r="L31" s="30" t="str">
        <x:v>FW-OQ-003</x:v>
      </x:c>
    </x:row>
    <x:row r="32" ht="15" hidden="0" customHeight="1">
      <x:c r="A32" s="30" t="str">
        <x:v>FW-TC-041</x:v>
      </x:c>
      <x:c r="B32" s="30" t="str">
        <x:v>FW-REQ-010</x:v>
      </x:c>
      <x:c r="C32" s="30" t="str">
        <x:v>P0</x:v>
      </x:c>
      <x:c r="D32" s="30" t="str">
        <x:v>READY</x:v>
      </x:c>
      <x:c r="E32" s="30" t="str">
        <x:v>SRAM</x:v>
      </x:c>
      <x:c r="F32" s="30" t="str">
        <x:v>diagnostic</x:v>
      </x:c>
      <x:c r="G32" s="30" t="str">
        <x:v>错误读写方向记录</x:v>
      </x:c>
      <x:c r="H32" s="30" t="str">
        <x:v>分别触发未授权读和写</x:v>
      </x:c>
      <x:c r="I32" s="30" t="str">
        <x:v>读取err_info_wr</x:v>
      </x:c>
      <x:c r="J32" s="30" t="str">
        <x:v>两次记录分别准确反映读/写</x:v>
      </x:c>
      <x:c r="K32" s="30" t="str">
        <x:v>寄存器dump；总线trace</x:v>
      </x:c>
      <x:c r="L32" s="30" t="str"/>
    </x:row>
    <x:row r="33" ht="15" hidden="0" customHeight="1">
      <x:c r="A33" s="30" t="str">
        <x:v>FW-TC-042</x:v>
      </x:c>
      <x:c r="B33" s="30" t="str">
        <x:v>FW-REQ-010</x:v>
      </x:c>
      <x:c r="C33" s="30" t="str">
        <x:v>P0</x:v>
      </x:c>
      <x:c r="D33" s="30" t="str">
        <x:v>READY</x:v>
      </x:c>
      <x:c r="E33" s="30" t="str">
        <x:v>SRAM</x:v>
      </x:c>
      <x:c r="F33" s="30" t="str">
        <x:v>diagnostic</x:v>
      </x:c>
      <x:c r="G33" s="30" t="str">
        <x:v>错误UserId记录</x:v>
      </x:c>
      <x:c r="H33" s="30" t="str">
        <x:v>遍历14个有效UserId触发失败</x:v>
      </x:c>
      <x:c r="I33" s="30" t="str">
        <x:v>读取err_info_userid</x:v>
      </x:c>
      <x:c r="J33" s="30" t="str">
        <x:v>每次均与请求UserId一致</x:v>
      </x:c>
      <x:c r="K33" s="30" t="str">
        <x:v>数据驱动日志；寄存器dump</x:v>
      </x:c>
      <x:c r="L33" s="30" t="str"/>
    </x:row>
    <x:row r="34" ht="15" hidden="0" customHeight="1">
      <x:c r="A34" s="30" t="str">
        <x:v>FW-TC-043</x:v>
      </x:c>
      <x:c r="B34" s="30" t="str">
        <x:v>FW-REQ-010</x:v>
      </x:c>
      <x:c r="C34" s="30" t="str">
        <x:v>P1</x:v>
      </x:c>
      <x:c r="D34" s="30" t="str">
        <x:v>READY</x:v>
      </x:c>
      <x:c r="E34" s="30" t="str">
        <x:v>SRAM</x:v>
      </x:c>
      <x:c r="F34" s="30" t="str">
        <x:v>diagnostic</x:v>
      </x:c>
      <x:c r="G34" s="30" t="str">
        <x:v>Region错误状态</x:v>
      </x:c>
      <x:c r="H34" s="30" t="str">
        <x:v>分别在各Region制造权限失败</x:v>
      </x:c>
      <x:c r="I34" s="30" t="str">
        <x:v>读取五个Region状态位</x:v>
      </x:c>
      <x:c r="J34" s="30" t="str">
        <x:v>只有与规格定义一致的Region状态置位</x:v>
      </x:c>
      <x:c r="K34" s="30" t="str">
        <x:v>寄存器dump；Region配置</x:v>
      </x:c>
      <x:c r="L34" s="30" t="str"/>
    </x:row>
    <x:row r="35" ht="15" hidden="0" customHeight="1">
      <x:c r="A35" s="30" t="str">
        <x:v>FW-TC-044</x:v>
      </x:c>
      <x:c r="B35" s="30" t="str">
        <x:v>FW-REQ-010</x:v>
      </x:c>
      <x:c r="C35" s="30" t="str">
        <x:v>P0</x:v>
      </x:c>
      <x:c r="D35" s="30" t="str">
        <x:v>READY</x:v>
      </x:c>
      <x:c r="E35" s="30" t="str">
        <x:v>SRAM</x:v>
      </x:c>
      <x:c r="F35" s="30" t="str">
        <x:v>diagnostic</x:v>
      </x:c>
      <x:c r="G35" s="30" t="str">
        <x:v>写1清除并重新捕获</x:v>
      </x:c>
      <x:c r="H35" s="30" t="str">
        <x:v>先触发错误</x:v>
      </x:c>
      <x:c r="I35" s="30" t="str">
        <x:v>写ERROR_CLEAR.bit0=1后读回；再触发新错误</x:v>
      </x:c>
      <x:c r="J35" s="30" t="str">
        <x:v>状态清零且能够捕获第二个错误</x:v>
      </x:c>
      <x:c r="K35" s="30" t="str">
        <x:v>清除前后dump；第二次激励日志</x:v>
      </x:c>
      <x:c r="L35" s="30" t="str"/>
    </x:row>
    <x:row r="36" ht="15" hidden="0" customHeight="1">
      <x:c r="A36" s="30" t="str">
        <x:v>FW-TC-050</x:v>
      </x:c>
      <x:c r="B36" s="30" t="str">
        <x:v>FW-REQ-011</x:v>
      </x:c>
      <x:c r="C36" s="30" t="str">
        <x:v>P0</x:v>
      </x:c>
      <x:c r="D36" s="30" t="str">
        <x:v>READY</x:v>
      </x:c>
      <x:c r="E36" s="30" t="str">
        <x:v>sec_cfg</x:v>
      </x:c>
      <x:c r="F36" s="30" t="str">
        <x:v>instance</x:v>
      </x:c>
      <x:c r="G36" s="30" t="str">
        <x:v>sec_cfg安全访问</x:v>
      </x:c>
      <x:c r="H36" s="30" t="str">
        <x:v>配置目标UserId读写授权并开启check</x:v>
      </x:c>
      <x:c r="I36" s="30" t="str">
        <x:v>发起合法读写</x:v>
      </x:c>
      <x:c r="J36" s="30" t="str">
        <x:v>请求到达sec_cfg Slave并正常响应</x:v>
      </x:c>
      <x:c r="K36" s="30" t="str">
        <x:v>Slave trace；配置读回</x:v>
      </x:c>
      <x:c r="L36" s="30" t="str"/>
    </x:row>
    <x:row r="37" ht="21.600000381469727" hidden="0" customHeight="1">
      <x:c r="A37" s="30" t="str">
        <x:v>FW-TC-051</x:v>
      </x:c>
      <x:c r="B37" s="30" t="str">
        <x:v>FW-REQ-011</x:v>
      </x:c>
      <x:c r="C37" s="30" t="str">
        <x:v>P0</x:v>
      </x:c>
      <x:c r="D37" s="30" t="str">
        <x:v>READY</x:v>
      </x:c>
      <x:c r="E37" s="30" t="str">
        <x:v>sec_cfg</x:v>
      </x:c>
      <x:c r="F37" s="30" t="str">
        <x:v>instance</x:v>
      </x:c>
      <x:c r="G37" s="30" t="str">
        <x:v>sec_cfg越权和Hide</x:v>
      </x:c>
      <x:c r="H37" s="30" t="str">
        <x:v>目标UserId无授权</x:v>
      </x:c>
      <x:c r="I37" s="30" t="str">
        <x:v>分别在hide=0/1下访问</x:v>
      </x:c>
      <x:c r="J37" s="30" t="str">
        <x:v>分别返回Error/OK；两者均不达Slave；sec_cfg错误信息正确</x:v>
      </x:c>
      <x:c r="K37" s="30" t="str">
        <x:v>TNUI/Slave trace；sec_cfg error dump</x:v>
      </x:c>
      <x:c r="L37" s="30" t="str"/>
    </x:row>
    <x:row r="38" ht="15" hidden="0" customHeight="1">
      <x:c r="A38" s="30" t="str">
        <x:v>FW-TC-052</x:v>
      </x:c>
      <x:c r="B38" s="30" t="str">
        <x:v>FW-REQ-011</x:v>
      </x:c>
      <x:c r="C38" s="30" t="str">
        <x:v>P0</x:v>
      </x:c>
      <x:c r="D38" s="30" t="str">
        <x:v>READY</x:v>
      </x:c>
      <x:c r="E38" s="30" t="str">
        <x:v>spifc</x:v>
      </x:c>
      <x:c r="F38" s="30" t="str">
        <x:v>instance</x:v>
      </x:c>
      <x:c r="G38" s="30" t="str">
        <x:v>spifc安全访问</x:v>
      </x:c>
      <x:c r="H38" s="30" t="str">
        <x:v>配置目标UserId读写授权并开启check</x:v>
      </x:c>
      <x:c r="I38" s="30" t="str">
        <x:v>发起合法读写</x:v>
      </x:c>
      <x:c r="J38" s="30" t="str">
        <x:v>请求到达spifc Slave并正常响应</x:v>
      </x:c>
      <x:c r="K38" s="30" t="str">
        <x:v>Slave trace；配置读回</x:v>
      </x:c>
      <x:c r="L38" s="30" t="str"/>
    </x:row>
    <x:row r="39" ht="21.600000381469727" hidden="0" customHeight="1">
      <x:c r="A39" s="30" t="str">
        <x:v>FW-TC-053</x:v>
      </x:c>
      <x:c r="B39" s="30" t="str">
        <x:v>FW-REQ-011</x:v>
      </x:c>
      <x:c r="C39" s="30" t="str">
        <x:v>P0</x:v>
      </x:c>
      <x:c r="D39" s="30" t="str">
        <x:v>READY</x:v>
      </x:c>
      <x:c r="E39" s="30" t="str">
        <x:v>spifc</x:v>
      </x:c>
      <x:c r="F39" s="30" t="str">
        <x:v>instance</x:v>
      </x:c>
      <x:c r="G39" s="30" t="str">
        <x:v>spifc越权和Hide</x:v>
      </x:c>
      <x:c r="H39" s="30" t="str">
        <x:v>目标UserId无授权</x:v>
      </x:c>
      <x:c r="I39" s="30" t="str">
        <x:v>分别在hide=0/1下访问</x:v>
      </x:c>
      <x:c r="J39" s="30" t="str">
        <x:v>分别返回Error/OK；两者均不达Slave；spifc错误信息正确</x:v>
      </x:c>
      <x:c r="K39" s="30" t="str">
        <x:v>TNUI/Slave trace；spifc error dump</x:v>
      </x:c>
      <x:c r="L39" s="30" t="str"/>
    </x:row>
    <x:row r="40" ht="15" hidden="0" customHeight="1">
      <x:c r="A40" s="30" t="str">
        <x:v>FW-TC-060</x:v>
      </x:c>
      <x:c r="B40" s="30" t="str">
        <x:v>FW-REQ-012</x:v>
      </x:c>
      <x:c r="C40" s="30" t="str">
        <x:v>P0</x:v>
      </x:c>
      <x:c r="D40" s="30" t="str">
        <x:v>BLOCKED</x:v>
      </x:c>
      <x:c r="E40" s="30" t="str">
        <x:v>SRAM</x:v>
      </x:c>
      <x:c r="F40" s="30" t="str">
        <x:v>security_attribute</x:v>
      </x:c>
      <x:c r="G40" s="30" t="str">
        <x:v>读安全属性允许安全读</x:v>
      </x:c>
      <x:c r="H40" s="30" t="str">
        <x:v>Region读属性配置为安全且read authority允许</x:v>
      </x:c>
      <x:c r="I40" s="30" t="str">
        <x:v>发送secure read</x:v>
      </x:c>
      <x:c r="J40" s="30" t="str">
        <x:v>检查通过并到达Slave</x:v>
      </x:c>
      <x:c r="K40" s="30" t="str">
        <x:v>属性配置读回；trace</x:v>
      </x:c>
      <x:c r="L40" s="30" t="str">
        <x:v>FW-OQ-004</x:v>
      </x:c>
    </x:row>
    <x:row r="41" ht="15" hidden="0" customHeight="1">
      <x:c r="A41" s="30" t="str">
        <x:v>FW-TC-061</x:v>
      </x:c>
      <x:c r="B41" s="30" t="str">
        <x:v>FW-REQ-012</x:v>
      </x:c>
      <x:c r="C41" s="30" t="str">
        <x:v>P0</x:v>
      </x:c>
      <x:c r="D41" s="30" t="str">
        <x:v>BLOCKED</x:v>
      </x:c>
      <x:c r="E41" s="30" t="str">
        <x:v>SRAM</x:v>
      </x:c>
      <x:c r="F41" s="30" t="str">
        <x:v>security_attribute</x:v>
      </x:c>
      <x:c r="G41" s="30" t="str">
        <x:v>读安全属性拒绝非安全读</x:v>
      </x:c>
      <x:c r="H41" s="30" t="str">
        <x:v>Region读属性配置为安全且read authority允许</x:v>
      </x:c>
      <x:c r="I41" s="30" t="str">
        <x:v>发送non-secure read</x:v>
      </x:c>
      <x:c r="J41" s="30" t="str">
        <x:v>失败且Slave未收到请求</x:v>
      </x:c>
      <x:c r="K41" s="30" t="str">
        <x:v>属性配置读回；trace；error info</x:v>
      </x:c>
      <x:c r="L41" s="30" t="str">
        <x:v>FW-OQ-004</x:v>
      </x:c>
    </x:row>
    <x:row r="42" ht="15" hidden="0" customHeight="1">
      <x:c r="A42" s="30" t="str">
        <x:v>FW-TC-062</x:v>
      </x:c>
      <x:c r="B42" s="30" t="str">
        <x:v>FW-REQ-012</x:v>
      </x:c>
      <x:c r="C42" s="30" t="str">
        <x:v>P0</x:v>
      </x:c>
      <x:c r="D42" s="30" t="str">
        <x:v>BLOCKED</x:v>
      </x:c>
      <x:c r="E42" s="30" t="str">
        <x:v>SRAM</x:v>
      </x:c>
      <x:c r="F42" s="30" t="str">
        <x:v>security_attribute</x:v>
      </x:c>
      <x:c r="G42" s="30" t="str">
        <x:v>写安全属性允许安全写</x:v>
      </x:c>
      <x:c r="H42" s="30" t="str">
        <x:v>Region写属性配置为安全且write authority允许</x:v>
      </x:c>
      <x:c r="I42" s="30" t="str">
        <x:v>发送secure write</x:v>
      </x:c>
      <x:c r="J42" s="30" t="str">
        <x:v>检查通过并产生预期Slave写副作用</x:v>
      </x:c>
      <x:c r="K42" s="30" t="str">
        <x:v>属性配置读回；trace</x:v>
      </x:c>
      <x:c r="L42" s="30" t="str">
        <x:v>FW-OQ-004</x:v>
      </x:c>
    </x:row>
    <x:row r="43" ht="15" hidden="0" customHeight="1">
      <x:c r="A43" s="30" t="str">
        <x:v>FW-TC-063</x:v>
      </x:c>
      <x:c r="B43" s="30" t="str">
        <x:v>FW-REQ-012</x:v>
      </x:c>
      <x:c r="C43" s="30" t="str">
        <x:v>P0</x:v>
      </x:c>
      <x:c r="D43" s="30" t="str">
        <x:v>BLOCKED</x:v>
      </x:c>
      <x:c r="E43" s="30" t="str">
        <x:v>SRAM</x:v>
      </x:c>
      <x:c r="F43" s="30" t="str">
        <x:v>security_attribute</x:v>
      </x:c>
      <x:c r="G43" s="30" t="str">
        <x:v>非安全属性兼容两种标记</x:v>
      </x:c>
      <x:c r="H43" s="30" t="str">
        <x:v>读/写属性配置为非安全且authority允许</x:v>
      </x:c>
      <x:c r="I43" s="30" t="str">
        <x:v>分别发送secure和non-secure读写</x:v>
      </x:c>
      <x:c r="J43" s="30" t="str">
        <x:v>两种安全标记的对应事务均可通过</x:v>
      </x:c>
      <x:c r="K43" s="30" t="str">
        <x:v>属性配置读回；trace</x:v>
      </x:c>
      <x:c r="L43" s="30" t="str">
        <x:v>FW-OQ-004</x:v>
      </x:c>
    </x:row>
    <x:row r="44" ht="15" hidden="0" customHeight="1">
      <x:c r="A44" s="30" t="str">
        <x:v>FW-TC-070</x:v>
      </x:c>
      <x:c r="B44" s="30" t="str">
        <x:v>FW-REQ-013</x:v>
      </x:c>
      <x:c r="C44" s="30" t="str">
        <x:v>P0</x:v>
      </x:c>
      <x:c r="D44" s="30" t="str">
        <x:v>READY</x:v>
      </x:c>
      <x:c r="E44" s="30" t="str">
        <x:v>software</x:v>
      </x:c>
      <x:c r="F44" s="30" t="str">
        <x:v>validation</x:v>
      </x:c>
      <x:c r="G44" s="30" t="str">
        <x:v>start大于end</x:v>
      </x:c>
      <x:c r="H44" s="30" t="str">
        <x:v>构造非法policy</x:v>
      </x:c>
      <x:c r="I44" s="30" t="str">
        <x:v>调用fw_validate_policy</x:v>
      </x:c>
      <x:c r="J44" s="30" t="str">
        <x:v>返回地址范围错误且不写任何Firewall寄存器</x:v>
      </x:c>
      <x:c r="K44" s="30" t="str">
        <x:v>API返回码；寄存器前后快照</x:v>
      </x:c>
      <x:c r="L44" s="30" t="str"/>
    </x:row>
    <x:row r="45" ht="15" hidden="0" customHeight="1">
      <x:c r="A45" s="30" t="str">
        <x:v>FW-TC-071</x:v>
      </x:c>
      <x:c r="B45" s="30" t="str">
        <x:v>FW-REQ-013</x:v>
      </x:c>
      <x:c r="C45" s="30" t="str">
        <x:v>P0</x:v>
      </x:c>
      <x:c r="D45" s="30" t="str">
        <x:v>READY</x:v>
      </x:c>
      <x:c r="E45" s="30" t="str">
        <x:v>software</x:v>
      </x:c>
      <x:c r="F45" s="30" t="str">
        <x:v>validation</x:v>
      </x:c>
      <x:c r="G45" s="30" t="str">
        <x:v>Region重叠被软件拒绝</x:v>
      </x:c>
      <x:c r="H45" s="30" t="str">
        <x:v>构造两个enabled重叠Region</x:v>
      </x:c>
      <x:c r="I45" s="30" t="str">
        <x:v>调用fw_validate_policy</x:v>
      </x:c>
      <x:c r="J45" s="30" t="str">
        <x:v>返回重叠错误且不写硬件</x:v>
      </x:c>
      <x:c r="K45" s="30" t="str">
        <x:v>API返回码；寄存器前后快照</x:v>
      </x:c>
      <x:c r="L45" s="30" t="str"/>
    </x:row>
    <x:row r="46" ht="15" hidden="0" customHeight="1">
      <x:c r="A46" s="30" t="str">
        <x:v>FW-TC-072</x:v>
      </x:c>
      <x:c r="B46" s="30" t="str">
        <x:v>FW-REQ-013</x:v>
      </x:c>
      <x:c r="C46" s="30" t="str">
        <x:v>P0</x:v>
      </x:c>
      <x:c r="D46" s="30" t="str">
        <x:v>READY</x:v>
      </x:c>
      <x:c r="E46" s="30" t="str">
        <x:v>software</x:v>
      </x:c>
      <x:c r="F46" s="30" t="str">
        <x:v>validation</x:v>
      </x:c>
      <x:c r="G46" s="30" t="str">
        <x:v>reserved权限位被拒绝</x:v>
      </x:c>
      <x:c r="H46" s="30" t="str">
        <x:v>authority设置bits[31:28]任一位</x:v>
      </x:c>
      <x:c r="I46" s="30" t="str">
        <x:v>调用fw_validate_policy</x:v>
      </x:c>
      <x:c r="J46" s="30" t="str">
        <x:v>返回权限位错误且不写硬件</x:v>
      </x:c>
      <x:c r="K46" s="30" t="str">
        <x:v>API返回码；寄存器前后快照</x:v>
      </x:c>
      <x:c r="L46" s="30" t="str"/>
    </x:row>
    <x:row r="47" ht="15" hidden="0" customHeight="1">
      <x:c r="A47" s="30" t="str">
        <x:v>FW-TC-073</x:v>
      </x:c>
      <x:c r="B47" s="30" t="str">
        <x:v>FW-REQ-013</x:v>
      </x:c>
      <x:c r="C47" s="30" t="str">
        <x:v>P0</x:v>
      </x:c>
      <x:c r="D47" s="30" t="str">
        <x:v>READY</x:v>
      </x:c>
      <x:c r="E47" s="30" t="str">
        <x:v>software</x:v>
      </x:c>
      <x:c r="F47" s="30" t="str">
        <x:v>readback</x:v>
      </x:c>
      <x:c r="G47" s="30" t="str">
        <x:v>寄存器读回不一致</x:v>
      </x:c>
      <x:c r="H47" s="30" t="str">
        <x:v>模拟一次写后读回错误</x:v>
      </x:c>
      <x:c r="I47" s="30" t="str">
        <x:v>执行初始化</x:v>
      </x:c>
      <x:c r="J47" s="30" t="str">
        <x:v>初始化失败；不解除Master隔离；输出明确错误</x:v>
      </x:c>
      <x:c r="K47" s="30" t="str">
        <x:v>故障注入日志；状态机trace</x:v>
      </x:c>
      <x:c r="L47" s="30" t="str"/>
    </x:row>
    <x:row r="48" ht="15" hidden="0" customHeight="1">
      <x:c r="A48" s="30" t="str">
        <x:v>FW-TC-074</x:v>
      </x:c>
      <x:c r="B48" s="30" t="str">
        <x:v>FW-REQ-014</x:v>
      </x:c>
      <x:c r="C48" s="30" t="str">
        <x:v>P0</x:v>
      </x:c>
      <x:c r="D48" s="30" t="str">
        <x:v>READY</x:v>
      </x:c>
      <x:c r="E48" s="30" t="str">
        <x:v>software</x:v>
      </x:c>
      <x:c r="F48" s="30" t="str">
        <x:v>fail_close</x:v>
      </x:c>
      <x:c r="G48" s="30" t="str">
        <x:v>初始化失败不得关闭检查继续</x:v>
      </x:c>
      <x:c r="H48" s="30" t="str">
        <x:v>使关键Region配置写失败</x:v>
      </x:c>
      <x:c r="I48" s="30" t="str">
        <x:v>执行初始化</x:v>
      </x:c>
      <x:c r="J48" s="30" t="str">
        <x:v>进入fail-close；不扩大authority；不继续业务启动</x:v>
      </x:c>
      <x:c r="K48" s="30" t="str">
        <x:v>启动日志；寄存器快照；隔离状态</x:v>
      </x:c>
      <x:c r="L48" s="30" t="str"/>
    </x:row>
    <x:row r="49" ht="15" hidden="0" customHeight="1">
      <x:c r="A49" s="30" t="str">
        <x:v>FW-TC-075</x:v>
      </x:c>
      <x:c r="B49" s="30" t="str">
        <x:v>FW-REQ-014</x:v>
      </x:c>
      <x:c r="C49" s="30" t="str">
        <x:v>P0</x:v>
      </x:c>
      <x:c r="D49" s="30" t="str">
        <x:v>READY</x:v>
      </x:c>
      <x:c r="E49" s="30" t="str">
        <x:v>software</x:v>
      </x:c>
      <x:c r="F49" s="30" t="str">
        <x:v>fail_close</x:v>
      </x:c>
      <x:c r="G49" s="30" t="str">
        <x:v>非法policy不得回退为全权限</x:v>
      </x:c>
      <x:c r="H49" s="30" t="str">
        <x:v>传入重叠或非法UserId policy</x:v>
      </x:c>
      <x:c r="I49" s="30" t="str">
        <x:v>执行初始化</x:v>
      </x:c>
      <x:c r="J49" s="30" t="str">
        <x:v>拒绝policy；不得写0x0FFFFFFF作为fallback</x:v>
      </x:c>
      <x:c r="K49" s="30" t="str">
        <x:v>函数trace；寄存器快照</x:v>
      </x:c>
      <x:c r="L49" s="30" t="str"/>
    </x:row>
    <x:row r="50" ht="15" hidden="0" customHeight="1">
      <x:c r="A50" s="30" t="str">
        <x:v>FW-TC-080</x:v>
      </x:c>
      <x:c r="B50" s="30" t="str">
        <x:v>FW-REQ-003</x:v>
      </x:c>
      <x:c r="C50" s="30" t="str">
        <x:v>P1</x:v>
      </x:c>
      <x:c r="D50" s="30" t="str">
        <x:v>BLOCKED</x:v>
      </x:c>
      <x:c r="E50" s="30" t="str">
        <x:v>SRAM</x:v>
      </x:c>
      <x:c r="F50" s="30" t="str">
        <x:v>burst</x:v>
      </x:c>
      <x:c r="G50" s="30" t="str">
        <x:v>burst从Region内跨到Region外</x:v>
      </x:c>
      <x:c r="H50" s="30" t="str">
        <x:v>配置单一Region；burst首beat在内后续在外</x:v>
      </x:c>
      <x:c r="I50" s="30" t="str">
        <x:v>发起跨边界burst</x:v>
      </x:c>
      <x:c r="J50" s="30" t="str">
        <x:v>按冻结后的逐beat/整burst规则处理且无越界Slave访问</x:v>
      </x:c>
      <x:c r="K50" s="30" t="str">
        <x:v>逐beat trace；error info</x:v>
      </x:c>
      <x:c r="L50" s="30" t="str">
        <x:v>FW-OQ-007</x:v>
      </x:c>
    </x:row>
    <x:row r="51" ht="15" hidden="0" customHeight="1">
      <x:c r="A51" s="30" t="str">
        <x:v>FW-TC-081</x:v>
      </x:c>
      <x:c r="B51" s="30" t="str">
        <x:v>FW-REQ-003</x:v>
      </x:c>
      <x:c r="C51" s="30" t="str">
        <x:v>P1</x:v>
      </x:c>
      <x:c r="D51" s="30" t="str">
        <x:v>BLOCKED</x:v>
      </x:c>
      <x:c r="E51" s="30" t="str">
        <x:v>SRAM</x:v>
      </x:c>
      <x:c r="F51" s="30" t="str">
        <x:v>burst</x:v>
      </x:c>
      <x:c r="G51" s="30" t="str">
        <x:v>burst跨入第二Region</x:v>
      </x:c>
      <x:c r="H51" s="30" t="str">
        <x:v>配置相邻Region且权限不同</x:v>
      </x:c>
      <x:c r="I51" s="30" t="str">
        <x:v>发起跨Region burst</x:v>
      </x:c>
      <x:c r="J51" s="30" t="str">
        <x:v>按冻结规则拒绝或拆分；不得绕过任一Region权限</x:v>
      </x:c>
      <x:c r="K51" s="30" t="str">
        <x:v>逐beat trace；Slave副作用</x:v>
      </x:c>
      <x:c r="L51" s="30" t="str">
        <x:v>FW-OQ-007</x:v>
      </x:c>
    </x:row>
    <x:row r="52" ht="15" hidden="0" customHeight="1">
      <x:c r="A52" s="30" t="str">
        <x:v>FW-TC-082</x:v>
      </x:c>
      <x:c r="B52" s="30" t="str">
        <x:v>FW-REQ-003</x:v>
      </x:c>
      <x:c r="C52" s="30" t="str">
        <x:v>P1</x:v>
      </x:c>
      <x:c r="D52" s="30" t="str">
        <x:v>BLOCKED</x:v>
      </x:c>
      <x:c r="E52" s="30" t="str">
        <x:v>SRAM</x:v>
      </x:c>
      <x:c r="F52" s="30" t="str">
        <x:v>burst</x:v>
      </x:c>
      <x:c r="G52" s="30" t="str">
        <x:v>burst起始地址未命中后续命中</x:v>
      </x:c>
      <x:c r="H52" s="30" t="str">
        <x:v>首beat在Region外后续beat进入Region</x:v>
      </x:c>
      <x:c r="I52" s="30" t="str">
        <x:v>发起burst</x:v>
      </x:c>
      <x:c r="J52" s="30" t="str">
        <x:v>按冻结规则处理；不得仅因后续命中而非法访问</x:v>
      </x:c>
      <x:c r="K52" s="30" t="str">
        <x:v>逐beat trace；error info</x:v>
      </x:c>
      <x:c r="L52" s="30" t="str">
        <x:v>FW-OQ-007</x:v>
      </x:c>
    </x:row>
  </x:sheetData>
  <x:mergeCells>
    <x:mergeCell ref="A1:L1"/>
  </x:mergeCells>
  <x:conditionalFormatting sqref="D4:D52">
    <x:cfRule type="containsText" dxfId="48" priority="1" operator="containsText" text="BLOCKED"/>
    <x:cfRule type="containsText" dxfId="49" priority="2" operator="containsText" text="READY"/>
  </x:conditionalFormatting>
  <x:pageMargins left="0.7" right="0.7" top="0.75" bottom="0.75" header="0.3" footer="0.3"/>
  <x:tableParts count="1">
    <x:tablePart xmlns:r="http://schemas.openxmlformats.org/officeDocument/2006/relationships" r:id="R48683248cef9449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9" hidden="0" customWidth="1"/>
    <x:col min="3" max="3" width="25" hidden="0" customWidth="1"/>
    <x:col min="4" max="4" width="9" hidden="0" customWidth="1"/>
    <x:col min="5" max="5" width="9" hidden="0" customWidth="1"/>
    <x:col min="6" max="6" width="20" hidden="0" customWidth="1"/>
    <x:col min="7" max="7" width="20" hidden="0" customWidth="1"/>
    <x:col min="8" max="8" width="28" hidden="0" customWidth="1"/>
  </x:cols>
  <x:sheetData>
    <x:row r="1" ht="30" customHeight="1">
      <x:c r="A1" s="19" t="str">
        <x:v>Firewall UserId 与 authority 位图（SRC-0025 / DOCUMENTED_WITH_CONFLICTS）</x:v>
      </x:c>
      <x:c r="B1" s="19"/>
      <x:c r="C1" s="19"/>
      <x:c r="D1" s="19"/>
      <x:c r="E1" s="19"/>
      <x:c r="F1" s="19"/>
      <x:c r="G1" s="19"/>
      <x:c r="H1" s="19"/>
    </x:row>
    <x:row r="3">
      <x:c r="A3" s="32" t="str">
        <x:v>UserId</x:v>
      </x:c>
      <x:c r="B3" s="32" t="str">
        <x:v>Die</x:v>
      </x:c>
      <x:c r="C3" s="32" t="str">
        <x:v>Master</x:v>
      </x:c>
      <x:c r="D3" s="32" t="str">
        <x:v>写位</x:v>
      </x:c>
      <x:c r="E3" s="32" t="str">
        <x:v>读位</x:v>
      </x:c>
      <x:c r="F3" s="32" t="str">
        <x:v>单Master读写掩码</x:v>
      </x:c>
      <x:c r="G3" s="32" t="str">
        <x:v>双Die读写掩码</x:v>
      </x:c>
      <x:c r="H3" s="32" t="str">
        <x:v>编码状态</x:v>
      </x:c>
    </x:row>
    <x:row r="4">
      <x:c r="A4" s="47" t="str">
        <x:v>0x0 (hex)</x:v>
      </x:c>
      <x:c r="B4" s="48" t="str">
        <x:v>die0</x:v>
      </x:c>
      <x:c r="C4" s="48" t="str">
        <x:v>reserved</x:v>
      </x:c>
      <x:c r="D4" s="48" t="str">
        <x:v>-</x:v>
      </x:c>
      <x:c r="E4" s="48" t="str">
        <x:v>-</x:v>
      </x:c>
      <x:c r="F4" s="49" t="str">
        <x:v>0x00000000 (hex)</x:v>
      </x:c>
      <x:c r="G4" s="49" t="str">
        <x:v>-</x:v>
      </x:c>
      <x:c r="H4" s="50" t="str">
        <x:v>必须拒绝</x:v>
      </x:c>
    </x:row>
    <x:row r="5">
      <x:c r="A5" s="51" t="str">
        <x:v>0x1 (hex)</x:v>
      </x:c>
      <x:c r="B5" s="52" t="str">
        <x:v>die0</x:v>
      </x:c>
      <x:c r="C5" s="52" t="str">
        <x:v>RAS Core</x:v>
      </x:c>
      <x:c r="D5" s="52" t="n">
        <x:v>0</x:v>
      </x:c>
      <x:c r="E5" s="52" t="n">
        <x:v>1</x:v>
      </x:c>
      <x:c r="F5" s="53" t="str">
        <x:v>0x00000003 (hex)</x:v>
      </x:c>
      <x:c r="G5" s="53" t="str">
        <x:v>0x0000000F (hex)</x:v>
      </x:c>
      <x:c r="H5" s="54" t="str">
        <x:v>有效</x:v>
      </x:c>
    </x:row>
    <x:row r="6">
      <x:c r="A6" s="51" t="str">
        <x:v>0x2 (hex)</x:v>
      </x:c>
      <x:c r="B6" s="52" t="str">
        <x:v>die0</x:v>
      </x:c>
      <x:c r="C6" s="52" t="str">
        <x:v>管理 MCU Core</x:v>
      </x:c>
      <x:c r="D6" s="52" t="n">
        <x:v>4</x:v>
      </x:c>
      <x:c r="E6" s="52" t="n">
        <x:v>5</x:v>
      </x:c>
      <x:c r="F6" s="53" t="str">
        <x:v>0x00000030 (hex)</x:v>
      </x:c>
      <x:c r="G6" s="53" t="str">
        <x:v>0x000000F0 (hex)</x:v>
      </x:c>
      <x:c r="H6" s="54" t="str">
        <x:v>有效</x:v>
      </x:c>
    </x:row>
    <x:row r="7">
      <x:c r="A7" s="51" t="str">
        <x:v>0x3 (hex)</x:v>
      </x:c>
      <x:c r="B7" s="52" t="str">
        <x:v>die0</x:v>
      </x:c>
      <x:c r="C7" s="52" t="str">
        <x:v>Codec MCU Core</x:v>
      </x:c>
      <x:c r="D7" s="52" t="n">
        <x:v>8</x:v>
      </x:c>
      <x:c r="E7" s="52" t="n">
        <x:v>9</x:v>
      </x:c>
      <x:c r="F7" s="53" t="str">
        <x:v>0x00000300 (hex)</x:v>
      </x:c>
      <x:c r="G7" s="53" t="str">
        <x:v>0x00000F00 (hex)</x:v>
      </x:c>
      <x:c r="H7" s="54" t="str">
        <x:v>有效；R4 名称冲突</x:v>
      </x:c>
    </x:row>
    <x:row r="8">
      <x:c r="A8" s="51" t="str">
        <x:v>0x4 (hex)</x:v>
      </x:c>
      <x:c r="B8" s="52" t="str">
        <x:v>die0</x:v>
      </x:c>
      <x:c r="C8" s="52" t="str">
        <x:v>功耗管理 MCU Core</x:v>
      </x:c>
      <x:c r="D8" s="52" t="n">
        <x:v>12</x:v>
      </x:c>
      <x:c r="E8" s="52" t="n">
        <x:v>13</x:v>
      </x:c>
      <x:c r="F8" s="53" t="str">
        <x:v>0x00003000 (hex)</x:v>
      </x:c>
      <x:c r="G8" s="53" t="str">
        <x:v>0x0000F000 (hex)</x:v>
      </x:c>
      <x:c r="H8" s="54" t="str">
        <x:v>有效</x:v>
      </x:c>
    </x:row>
    <x:row r="9">
      <x:c r="A9" s="51" t="str">
        <x:v>0x5 (hex)</x:v>
      </x:c>
      <x:c r="B9" s="52" t="str">
        <x:v>die0</x:v>
      </x:c>
      <x:c r="C9" s="52" t="str">
        <x:v>Host/PCIe RAM</x:v>
      </x:c>
      <x:c r="D9" s="52" t="n">
        <x:v>16</x:v>
      </x:c>
      <x:c r="E9" s="52" t="n">
        <x:v>17</x:v>
      </x:c>
      <x:c r="F9" s="53" t="str">
        <x:v>0x00030000 (hex)</x:v>
      </x:c>
      <x:c r="G9" s="53" t="str">
        <x:v>0x000F0000 (hex)</x:v>
      </x:c>
      <x:c r="H9" s="54" t="str">
        <x:v>有效</x:v>
      </x:c>
    </x:row>
    <x:row r="10">
      <x:c r="A10" s="51" t="str">
        <x:v>0x6 (hex)</x:v>
      </x:c>
      <x:c r="B10" s="52" t="str">
        <x:v>die0</x:v>
      </x:c>
      <x:c r="C10" s="52" t="str">
        <x:v>管理/TOP NOC DMA</x:v>
      </x:c>
      <x:c r="D10" s="52" t="n">
        <x:v>20</x:v>
      </x:c>
      <x:c r="E10" s="52" t="n">
        <x:v>21</x:v>
      </x:c>
      <x:c r="F10" s="53" t="str">
        <x:v>0x00300000 (hex)</x:v>
      </x:c>
      <x:c r="G10" s="53" t="str">
        <x:v>0x00F00000 (hex)</x:v>
      </x:c>
      <x:c r="H10" s="54" t="str">
        <x:v>有效</x:v>
      </x:c>
    </x:row>
    <x:row r="11">
      <x:c r="A11" s="51" t="str">
        <x:v>0x7 (hex)</x:v>
      </x:c>
      <x:c r="B11" s="52" t="str">
        <x:v>die0</x:v>
      </x:c>
      <x:c r="C11" s="52" t="str">
        <x:v>eHSM</x:v>
      </x:c>
      <x:c r="D11" s="52" t="n">
        <x:v>24</x:v>
      </x:c>
      <x:c r="E11" s="52" t="n">
        <x:v>25</x:v>
      </x:c>
      <x:c r="F11" s="53" t="str">
        <x:v>0x03000000 (hex)</x:v>
      </x:c>
      <x:c r="G11" s="53" t="str">
        <x:v>0x0F000000 (hex)</x:v>
      </x:c>
      <x:c r="H11" s="54" t="str">
        <x:v>有效</x:v>
      </x:c>
    </x:row>
    <x:row r="12">
      <x:c r="A12" s="51" t="str">
        <x:v>0x8 (hex)</x:v>
      </x:c>
      <x:c r="B12" s="52" t="str">
        <x:v>die1</x:v>
      </x:c>
      <x:c r="C12" s="52" t="str">
        <x:v>reserved</x:v>
      </x:c>
      <x:c r="D12" s="52" t="str">
        <x:v>-</x:v>
      </x:c>
      <x:c r="E12" s="52" t="str">
        <x:v>-</x:v>
      </x:c>
      <x:c r="F12" s="53" t="str">
        <x:v>0x00000000 (hex)</x:v>
      </x:c>
      <x:c r="G12" s="53" t="str">
        <x:v>-</x:v>
      </x:c>
      <x:c r="H12" s="54" t="str">
        <x:v>必须拒绝</x:v>
      </x:c>
    </x:row>
    <x:row r="13">
      <x:c r="A13" s="51" t="str">
        <x:v>0x9 (hex)</x:v>
      </x:c>
      <x:c r="B13" s="52" t="str">
        <x:v>die1</x:v>
      </x:c>
      <x:c r="C13" s="52" t="str">
        <x:v>RAS Core</x:v>
      </x:c>
      <x:c r="D13" s="52" t="n">
        <x:v>2</x:v>
      </x:c>
      <x:c r="E13" s="52" t="n">
        <x:v>3</x:v>
      </x:c>
      <x:c r="F13" s="53" t="str">
        <x:v>0x0000000C (hex)</x:v>
      </x:c>
      <x:c r="G13" s="53" t="str">
        <x:v>0x0000000F (hex)</x:v>
      </x:c>
      <x:c r="H13" s="54" t="str">
        <x:v>有效</x:v>
      </x:c>
    </x:row>
    <x:row r="14">
      <x:c r="A14" s="51" t="str">
        <x:v>0xA (hex)</x:v>
      </x:c>
      <x:c r="B14" s="52" t="str">
        <x:v>die1</x:v>
      </x:c>
      <x:c r="C14" s="52" t="str">
        <x:v>管理 MCU Core</x:v>
      </x:c>
      <x:c r="D14" s="52" t="n">
        <x:v>6</x:v>
      </x:c>
      <x:c r="E14" s="52" t="n">
        <x:v>7</x:v>
      </x:c>
      <x:c r="F14" s="53" t="str">
        <x:v>0x000000C0 (hex)</x:v>
      </x:c>
      <x:c r="G14" s="53" t="str">
        <x:v>0x000000F0 (hex)</x:v>
      </x:c>
      <x:c r="H14" s="54" t="str">
        <x:v>有效</x:v>
      </x:c>
    </x:row>
    <x:row r="15">
      <x:c r="A15" s="51" t="str">
        <x:v>0xB (hex)</x:v>
      </x:c>
      <x:c r="B15" s="52" t="str">
        <x:v>die1</x:v>
      </x:c>
      <x:c r="C15" s="52" t="str">
        <x:v>Codec MCU Core</x:v>
      </x:c>
      <x:c r="D15" s="52" t="n">
        <x:v>10</x:v>
      </x:c>
      <x:c r="E15" s="52" t="n">
        <x:v>11</x:v>
      </x:c>
      <x:c r="F15" s="53" t="str">
        <x:v>0x00000C00 (hex)</x:v>
      </x:c>
      <x:c r="G15" s="53" t="str">
        <x:v>0x00000F00 (hex)</x:v>
      </x:c>
      <x:c r="H15" s="54" t="str">
        <x:v>有效；R4 名称冲突</x:v>
      </x:c>
    </x:row>
    <x:row r="16">
      <x:c r="A16" s="51" t="str">
        <x:v>0xC (hex)</x:v>
      </x:c>
      <x:c r="B16" s="52" t="str">
        <x:v>die1</x:v>
      </x:c>
      <x:c r="C16" s="52" t="str">
        <x:v>功耗管理 MCU Core</x:v>
      </x:c>
      <x:c r="D16" s="52" t="n">
        <x:v>14</x:v>
      </x:c>
      <x:c r="E16" s="52" t="n">
        <x:v>15</x:v>
      </x:c>
      <x:c r="F16" s="53" t="str">
        <x:v>0x0000C000 (hex)</x:v>
      </x:c>
      <x:c r="G16" s="53" t="str">
        <x:v>0x0000F000 (hex)</x:v>
      </x:c>
      <x:c r="H16" s="54" t="str">
        <x:v>有效</x:v>
      </x:c>
    </x:row>
    <x:row r="17">
      <x:c r="A17" s="51" t="str">
        <x:v>0xD (hex)</x:v>
      </x:c>
      <x:c r="B17" s="52" t="str">
        <x:v>die1</x:v>
      </x:c>
      <x:c r="C17" s="52" t="str">
        <x:v>Host/PCIe RAM</x:v>
      </x:c>
      <x:c r="D17" s="52" t="n">
        <x:v>18</x:v>
      </x:c>
      <x:c r="E17" s="52" t="n">
        <x:v>19</x:v>
      </x:c>
      <x:c r="F17" s="53" t="str">
        <x:v>0x000C0000 (hex)</x:v>
      </x:c>
      <x:c r="G17" s="53" t="str">
        <x:v>0x000F0000 (hex)</x:v>
      </x:c>
      <x:c r="H17" s="54" t="str">
        <x:v>有效</x:v>
      </x:c>
    </x:row>
    <x:row r="18">
      <x:c r="A18" s="51" t="str">
        <x:v>0xE (hex)</x:v>
      </x:c>
      <x:c r="B18" s="52" t="str">
        <x:v>die1</x:v>
      </x:c>
      <x:c r="C18" s="52" t="str">
        <x:v>管理/TOP NOC DMA</x:v>
      </x:c>
      <x:c r="D18" s="52" t="n">
        <x:v>22</x:v>
      </x:c>
      <x:c r="E18" s="52" t="n">
        <x:v>23</x:v>
      </x:c>
      <x:c r="F18" s="53" t="str">
        <x:v>0x00C00000 (hex)</x:v>
      </x:c>
      <x:c r="G18" s="53" t="str">
        <x:v>0x00F00000 (hex)</x:v>
      </x:c>
      <x:c r="H18" s="54" t="str">
        <x:v>有效</x:v>
      </x:c>
    </x:row>
    <x:row r="19">
      <x:c r="A19" s="55" t="str">
        <x:v>0xF (hex)</x:v>
      </x:c>
      <x:c r="B19" s="56" t="str">
        <x:v>die1</x:v>
      </x:c>
      <x:c r="C19" s="56" t="str">
        <x:v>eHSM</x:v>
      </x:c>
      <x:c r="D19" s="56" t="n">
        <x:v>26</x:v>
      </x:c>
      <x:c r="E19" s="56" t="n">
        <x:v>27</x:v>
      </x:c>
      <x:c r="F19" s="57" t="str">
        <x:v>0x0C000000 (hex)</x:v>
      </x:c>
      <x:c r="G19" s="57" t="str">
        <x:v>0x0F000000 (hex)</x:v>
      </x:c>
      <x:c r="H19" s="58" t="str">
        <x:v>有效；bit27 标签待 RTL 确认</x:v>
      </x:c>
    </x:row>
    <x:row r="21" ht="32" customHeight="1">
      <x:c r="A21" s="61" t="str">
        <x:v>公式：local_id=userid&amp;7；local_id=0 必须先拒绝；write_bit=4*(local_id-1)+2*die；read_bit=write_bit+1；authority &amp; 0xF0000000 必须为 0。</x:v>
      </x:c>
      <x:c r="B21" s="61"/>
      <x:c r="C21" s="61"/>
      <x:c r="D21" s="61"/>
      <x:c r="E21" s="61"/>
      <x:c r="F21" s="61"/>
      <x:c r="G21" s="61"/>
      <x:c r="H21" s="61"/>
    </x:row>
    <x:row r="22" ht="32" customHeight="1">
      <x:c r="A22" s="61" t="str">
        <x:v>编码门禁：截图 base/reset/Region 默认值仍受 OPEN-CONFLICT-014 阻断，不得直接生成产品 MMIO 或量产 policy。</x:v>
      </x:c>
      <x:c r="B22" s="61"/>
      <x:c r="C22" s="61"/>
      <x:c r="D22" s="61"/>
      <x:c r="E22" s="61"/>
      <x:c r="F22" s="61"/>
      <x:c r="G22" s="61"/>
      <x:c r="H22" s="61"/>
    </x:row>
  </x:sheetData>
  <x:mergeCells>
    <x:mergeCell ref="A1:H1"/>
    <x:mergeCell ref="A21:H21"/>
    <x:mergeCell ref="A22:H22"/>
  </x:mergeCells>
  <x:pageMargins left="0.7" right="0.7" top="0.75" bottom="0.75" header="0.3" footer="0.3"/>
  <x:tableParts count="1">
    <x:tablePart xmlns:r="http://schemas.openxmlformats.org/officeDocument/2006/relationships" r:id="R3d49015f3f0f4f0a"/>
  </x:tableParts>
</x:worksheet>
</file>