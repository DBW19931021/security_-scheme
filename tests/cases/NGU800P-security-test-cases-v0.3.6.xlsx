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总览" sheetId="1" state="visible" r:id="rId2"/>
    <sheet name="覆盖规则" sheetId="2" state="visible" r:id="rId3"/>
    <sheet name="Mailbox命令清单" sheetId="3" state="visible" r:id="rId4"/>
    <sheet name="Mailbox用例" sheetId="4" state="visible" r:id="rId5"/>
    <sheet name="SoC集成用例" sheetId="5" state="visible" r:id="rId6"/>
    <sheet name="硬件验证需求" sheetId="6" state="visible" r:id="rId7"/>
    <sheet name="Codex移植指导" sheetId="7" state="visible" r:id="rId8"/>
    <sheet name="工作流记录" sheetId="8" state="visible" r:id="rId9"/>
    <sheet name="待确认项" sheetId="9" state="visible" r:id="rId10"/>
    <sheet name="术语说明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<sst xmlns="http://schemas.openxmlformats.org/spreadsheetml/2006/main" count="6026" uniqueCount="1546">
  <si>
    <r>
      <rPr>
        <b val="true"/>
        <sz val="16"/>
        <color rgb="FFFFFFFF"/>
        <rFont val="Calibri"/>
        <family val="0"/>
        <charset val="1"/>
      </rPr>
      <t xml:space="preserve">NGU800P </t>
    </r>
    <r>
      <rPr>
        <b val="true"/>
        <sz val="16"/>
        <color rgb="FFFFFFFF"/>
        <rFont val="Noto Sans CJK SC"/>
        <family val="2"/>
      </rPr>
      <t xml:space="preserve">安全测试用例与 </t>
    </r>
    <r>
      <rPr>
        <b val="true"/>
        <sz val="16"/>
        <color rgb="FFFFFFFF"/>
        <rFont val="Calibri"/>
        <family val="0"/>
        <charset val="1"/>
      </rPr>
      <t xml:space="preserve">Codex </t>
    </r>
    <r>
      <rPr>
        <b val="true"/>
        <sz val="16"/>
        <color rgb="FFFFFFFF"/>
        <rFont val="Noto Sans CJK SC"/>
        <family val="2"/>
      </rPr>
      <t xml:space="preserve">移植指导 </t>
    </r>
    <r>
      <rPr>
        <b val="true"/>
        <sz val="16"/>
        <color rgb="FFFFFFFF"/>
        <rFont val="Calibri"/>
        <family val="0"/>
        <charset val="1"/>
      </rPr>
      <t xml:space="preserve">v0.3.6</t>
    </r>
    <r>
      <rPr>
        <b val="true"/>
        <sz val="16"/>
        <color rgb="FFFFFFFF"/>
        <rFont val="Noto Sans CJK SC"/>
        <family val="2"/>
      </rPr>
      <t xml:space="preserve">（</t>
    </r>
    <r>
      <rPr>
        <b val="true"/>
        <sz val="16"/>
        <color rgb="FFFFFFFF"/>
        <rFont val="Calibri"/>
        <family val="0"/>
        <charset val="1"/>
      </rPr>
      <t xml:space="preserve">Mailbox BASIC</t>
    </r>
    <r>
      <rPr>
        <b val="true"/>
        <sz val="16"/>
        <color rgb="FFFFFFFF"/>
        <rFont val="Noto Sans CJK SC"/>
        <family val="2"/>
      </rPr>
      <t xml:space="preserve">实现状态回填版）</t>
    </r>
  </si>
  <si>
    <t xml:space="preserve">项目</t>
  </si>
  <si>
    <t xml:space="preserve">值</t>
  </si>
  <si>
    <t xml:space="preserve">当前结论</t>
  </si>
  <si>
    <t xml:space="preserve">生成日期</t>
  </si>
  <si>
    <r>
      <rPr>
        <sz val="10"/>
        <color rgb="FF1F2937"/>
        <rFont val="Calibri"/>
        <family val="0"/>
        <charset val="1"/>
      </rPr>
      <t xml:space="preserve">1. </t>
    </r>
    <r>
      <rPr>
        <sz val="10"/>
        <color rgb="FF1F2937"/>
        <rFont val="Noto Sans CJK SC"/>
        <family val="2"/>
      </rPr>
      <t xml:space="preserve">每条适用目标命令保留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条基本功能用例（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），作为流片前功能冒烟测试基线。</t>
    </r>
  </si>
  <si>
    <t xml:space="preserve">执行状态</t>
  </si>
  <si>
    <r>
      <rPr>
        <sz val="10"/>
        <color rgb="FF1F2937"/>
        <rFont val="Noto Sans CJK SC"/>
        <family val="2"/>
      </rPr>
      <t xml:space="preserve">代码已移植；目标执行未执行（</t>
    </r>
    <r>
      <rPr>
        <sz val="10"/>
        <color rgb="FF1F2937"/>
        <rFont val="Calibri"/>
        <family val="0"/>
        <charset val="1"/>
      </rPr>
      <t xml:space="preserve">TARGET_NOT_EXECUTED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</si>
  <si>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Calibri"/>
        <family val="0"/>
        <charset val="1"/>
      </rPr>
      <t xml:space="preserve">2. </t>
    </r>
    <r>
      <rPr>
        <sz val="10"/>
        <color rgb="FF1F2937"/>
        <rFont val="Noto Sans CJK SC"/>
        <family val="2"/>
      </rPr>
      <t xml:space="preserve">不测试主机侧（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）本地空指针、缓冲区、超时和日志问题；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未提交不能算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负向通过。</t>
    </r>
  </si>
  <si>
    <r>
      <rPr>
        <sz val="10"/>
        <color rgb="FF1F2937"/>
        <rFont val="Calibri"/>
        <family val="0"/>
        <charset val="1"/>
      </rPr>
      <t xml:space="preserve">BL </t>
    </r>
    <r>
      <rPr>
        <sz val="10"/>
        <color rgb="FF1F2937"/>
        <rFont val="Noto Sans CJK SC"/>
        <family val="2"/>
      </rPr>
      <t xml:space="preserve">头文件目标命令</t>
    </r>
  </si>
  <si>
    <r>
      <rPr>
        <sz val="10"/>
        <color rgb="FF1F2937"/>
        <rFont val="Calibri"/>
        <family val="0"/>
        <charset val="1"/>
      </rPr>
      <t xml:space="preserve">3. eHSM</t>
    </r>
    <r>
      <rPr>
        <sz val="10"/>
        <color rgb="FF1F2937"/>
        <rFont val="Noto Sans CJK SC"/>
        <family val="2"/>
      </rPr>
      <t xml:space="preserve">固件和硬件均为被测对象，保留</t>
    </r>
    <r>
      <rPr>
        <sz val="10"/>
        <color rgb="FF1F2937"/>
        <rFont val="Calibri"/>
        <family val="0"/>
        <charset val="1"/>
      </rPr>
      <t xml:space="preserve">14</t>
    </r>
    <r>
      <rPr>
        <sz val="10"/>
        <color rgb="FF1F2937"/>
        <rFont val="Noto Sans CJK SC"/>
        <family val="2"/>
      </rPr>
      <t xml:space="preserve">条验签、升级、密码验证、认证、密钥、</t>
    </r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、状态机和解析器负向用例。</t>
    </r>
  </si>
  <si>
    <r>
      <rPr>
        <sz val="10"/>
        <color rgb="FF1F2937"/>
        <rFont val="Calibri"/>
        <family val="0"/>
        <charset val="1"/>
      </rPr>
      <t xml:space="preserve">FW </t>
    </r>
    <r>
      <rPr>
        <sz val="10"/>
        <color rgb="FF1F2937"/>
        <rFont val="Noto Sans CJK SC"/>
        <family val="2"/>
      </rPr>
      <t xml:space="preserve">头文件目标命令</t>
    </r>
  </si>
  <si>
    <r>
      <rPr>
        <sz val="10"/>
        <color rgb="FF1F2937"/>
        <rFont val="Calibri"/>
        <family val="0"/>
        <charset val="1"/>
      </rPr>
      <t xml:space="preserve">4. </t>
    </r>
    <r>
      <rPr>
        <sz val="10"/>
        <color rgb="FF1F2937"/>
        <rFont val="Noto Sans CJK SC"/>
        <family val="2"/>
      </rPr>
      <t xml:space="preserve">错误签名、认证标签和认证材料必须真实提交到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，以原始响应、</t>
    </r>
    <r>
      <rPr>
        <sz val="10"/>
        <color rgb="FF1F2937"/>
        <rFont val="Calibri"/>
        <family val="0"/>
        <charset val="1"/>
      </rPr>
      <t xml:space="preserve">verify_result</t>
    </r>
    <r>
      <rPr>
        <sz val="10"/>
        <color rgb="FF1F2937"/>
        <rFont val="Noto Sans CJK SC"/>
        <family val="2"/>
      </rPr>
      <t xml:space="preserve">和无副作用检查判断。</t>
    </r>
  </si>
  <si>
    <t xml:space="preserve">目标命令合计</t>
  </si>
  <si>
    <r>
      <rPr>
        <sz val="10"/>
        <color rgb="FF1F2937"/>
        <rFont val="Calibri"/>
        <family val="0"/>
        <charset val="1"/>
      </rPr>
      <t xml:space="preserve">5. </t>
    </r>
    <r>
      <rPr>
        <sz val="10"/>
        <color rgb="FF1F2937"/>
        <rFont val="Noto Sans CJK SC"/>
        <family val="2"/>
      </rPr>
      <t xml:space="preserve">两条</t>
    </r>
    <r>
      <rPr>
        <sz val="10"/>
        <color rgb="FF1F2937"/>
        <rFont val="Calibri"/>
        <family val="0"/>
        <charset val="1"/>
      </rPr>
      <t xml:space="preserve">Mailbox SoC</t>
    </r>
    <r>
      <rPr>
        <sz val="10"/>
        <color rgb="FF1F2937"/>
        <rFont val="Noto Sans CJK SC"/>
        <family val="2"/>
      </rPr>
      <t xml:space="preserve">功能用例验证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路通道独立性和</t>
    </r>
    <r>
      <rPr>
        <sz val="10"/>
        <color rgb="FF1F2937"/>
        <rFont val="Calibri"/>
        <family val="0"/>
        <charset val="1"/>
      </rPr>
      <t xml:space="preserve">INFO/NOTE</t>
    </r>
    <r>
      <rPr>
        <sz val="10"/>
        <color rgb="FF1F2937"/>
        <rFont val="Noto Sans CJK SC"/>
        <family val="2"/>
      </rPr>
      <t xml:space="preserve">功能握手，不重复</t>
    </r>
    <r>
      <rPr>
        <sz val="10"/>
        <color rgb="FF1F2937"/>
        <rFont val="Calibri"/>
        <family val="0"/>
        <charset val="1"/>
      </rPr>
      <t xml:space="preserve">52</t>
    </r>
    <r>
      <rPr>
        <sz val="10"/>
        <color rgb="FF1F2937"/>
        <rFont val="Noto Sans CJK SC"/>
        <family val="2"/>
      </rPr>
      <t xml:space="preserve">条命令基本功能用例。</t>
    </r>
  </si>
  <si>
    <r>
      <rPr>
        <sz val="10"/>
        <color rgb="FF1F2937"/>
        <rFont val="Noto Sans CJK SC"/>
        <family val="2"/>
      </rPr>
      <t xml:space="preserve">主机侧（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）头文件独有候选</t>
    </r>
  </si>
  <si>
    <r>
      <rPr>
        <sz val="10"/>
        <color rgb="FF1F2937"/>
        <rFont val="Calibri"/>
        <family val="0"/>
        <charset val="1"/>
      </rPr>
      <t xml:space="preserve">6. Firewall</t>
    </r>
    <r>
      <rPr>
        <sz val="10"/>
        <color rgb="FF1F2937"/>
        <rFont val="Noto Sans CJK SC"/>
        <family val="2"/>
      </rPr>
      <t xml:space="preserve">两条软件用例保持不变；配置权限不依赖鉴权或生命周期状态（</t>
    </r>
    <r>
      <rPr>
        <sz val="10"/>
        <color rgb="FF1F2937"/>
        <rFont val="Calibri"/>
        <family val="0"/>
        <charset val="1"/>
      </rPr>
      <t xml:space="preserve">LCS</t>
    </r>
    <r>
      <rPr>
        <sz val="10"/>
        <color rgb="FF1F2937"/>
        <rFont val="Noto Sans CJK SC"/>
        <family val="2"/>
      </rPr>
      <t xml:space="preserve">）。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</si>
  <si>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基本功能用例（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）</t>
    </r>
  </si>
  <si>
    <r>
      <rPr>
        <sz val="10"/>
        <color rgb="FF1F2937"/>
        <rFont val="Calibri"/>
        <family val="0"/>
        <charset val="1"/>
      </rPr>
      <t xml:space="preserve">7. HSM</t>
    </r>
    <r>
      <rPr>
        <sz val="10"/>
        <color rgb="FF1F2937"/>
        <rFont val="Noto Sans CJK SC"/>
        <family val="2"/>
      </rPr>
      <t xml:space="preserve">错误映射、软件可控复位和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各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条，与</t>
    </r>
    <r>
      <rPr>
        <sz val="10"/>
        <color rgb="FF1F2937"/>
        <rFont val="Calibri"/>
        <family val="0"/>
        <charset val="1"/>
      </rPr>
      <t xml:space="preserve">HSM</t>
    </r>
    <r>
      <rPr>
        <sz val="10"/>
        <color rgb="FF1F2937"/>
        <rFont val="Noto Sans CJK SC"/>
        <family val="2"/>
      </rPr>
      <t xml:space="preserve">读通路共同形成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软件用例。</t>
    </r>
  </si>
  <si>
    <r>
      <rPr>
        <sz val="10"/>
        <color rgb="FF1F2937"/>
        <rFont val="Calibri"/>
        <family val="0"/>
        <charset val="1"/>
      </rPr>
      <t xml:space="preserve">Mailbox eHSM</t>
    </r>
    <r>
      <rPr>
        <sz val="10"/>
        <color rgb="FF1F2937"/>
        <rFont val="Noto Sans CJK SC"/>
        <family val="2"/>
      </rPr>
      <t xml:space="preserve">负向用例</t>
    </r>
  </si>
  <si>
    <r>
      <rPr>
        <sz val="10"/>
        <color rgb="FF1F2937"/>
        <rFont val="Calibri"/>
        <family val="0"/>
        <charset val="1"/>
      </rPr>
      <t xml:space="preserve">8. </t>
    </r>
    <r>
      <rPr>
        <sz val="10"/>
        <color rgb="FF1F2937"/>
        <rFont val="Noto Sans CJK SC"/>
        <family val="2"/>
      </rPr>
      <t xml:space="preserve">共</t>
    </r>
    <r>
      <rPr>
        <sz val="10"/>
        <color rgb="FF1F2937"/>
        <rFont val="Calibri"/>
        <family val="0"/>
        <charset val="1"/>
      </rPr>
      <t xml:space="preserve">74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Codex</t>
    </r>
    <r>
      <rPr>
        <sz val="10"/>
        <color rgb="FF1F2937"/>
        <rFont val="Noto Sans CJK SC"/>
        <family val="2"/>
      </rPr>
      <t xml:space="preserve">可移植软件用例；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项硬件补充与软件用例关联。</t>
    </r>
  </si>
  <si>
    <r>
      <rPr>
        <sz val="10"/>
        <color rgb="FF1F2937"/>
        <rFont val="Calibri"/>
        <family val="0"/>
        <charset val="1"/>
      </rPr>
      <t xml:space="preserve">Mailbox </t>
    </r>
    <r>
      <rPr>
        <sz val="10"/>
        <color rgb="FF1F2937"/>
        <rFont val="Noto Sans CJK SC"/>
        <family val="2"/>
      </rPr>
      <t xml:space="preserve">软件用例合计</t>
    </r>
  </si>
  <si>
    <r>
      <rPr>
        <sz val="10"/>
        <color rgb="FF1F2937"/>
        <rFont val="Calibri"/>
        <family val="0"/>
        <charset val="1"/>
      </rPr>
      <t xml:space="preserve">9. </t>
    </r>
    <r>
      <rPr>
        <sz val="10"/>
        <color rgb="FF1F2937"/>
        <rFont val="Noto Sans CJK SC"/>
        <family val="2"/>
      </rPr>
      <t xml:space="preserve">禁止定制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固件或增加测试命令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钩子；合同或专用测试环境缺失时输出无法判定（</t>
    </r>
    <r>
      <rPr>
        <sz val="10"/>
        <color rgb="FF1F2937"/>
        <rFont val="Calibri"/>
        <family val="0"/>
        <charset val="1"/>
      </rPr>
      <t xml:space="preserve">INCONCLUSIVE</t>
    </r>
    <r>
      <rPr>
        <sz val="10"/>
        <color rgb="FF1F2937"/>
        <rFont val="Noto Sans CJK SC"/>
        <family val="2"/>
      </rPr>
      <t xml:space="preserve">）。</t>
    </r>
  </si>
  <si>
    <r>
      <rPr>
        <sz val="10"/>
        <color rgb="FF1F2937"/>
        <rFont val="Calibri"/>
        <family val="0"/>
        <charset val="1"/>
      </rPr>
      <t xml:space="preserve">SoC </t>
    </r>
    <r>
      <rPr>
        <sz val="10"/>
        <color rgb="FF1F2937"/>
        <rFont val="Noto Sans CJK SC"/>
        <family val="2"/>
      </rPr>
      <t xml:space="preserve">软件用例</t>
    </r>
  </si>
  <si>
    <r>
      <rPr>
        <sz val="10"/>
        <rFont val="Arial"/>
        <family val="2"/>
      </rPr>
      <t xml:space="preserve">10. </t>
    </r>
    <r>
      <rPr>
        <sz val="10"/>
        <rFont val="Noto Sans CJK SC"/>
        <family val="2"/>
      </rPr>
      <t xml:space="preserve">当前</t>
    </r>
    <r>
      <rPr>
        <sz val="10"/>
        <rFont val="Arial"/>
        <family val="2"/>
      </rPr>
      <t xml:space="preserve">52</t>
    </r>
    <r>
      <rPr>
        <sz val="10"/>
        <rFont val="Noto Sans CJK SC"/>
        <family val="2"/>
      </rPr>
      <t xml:space="preserve">条</t>
    </r>
    <r>
      <rPr>
        <sz val="10"/>
        <rFont val="Arial"/>
        <family val="2"/>
      </rPr>
      <t xml:space="preserve">Mailbox BASIC</t>
    </r>
    <r>
      <rPr>
        <sz val="10"/>
        <rFont val="Noto Sans CJK SC"/>
        <family val="2"/>
      </rPr>
      <t xml:space="preserve">已全部注册，</t>
    </r>
    <r>
      <rPr>
        <sz val="10"/>
        <rFont val="Arial"/>
        <family val="2"/>
      </rPr>
      <t xml:space="preserve">51</t>
    </r>
    <r>
      <rPr>
        <sz val="10"/>
        <rFont val="Noto Sans CJK SC"/>
        <family val="2"/>
      </rPr>
      <t xml:space="preserve">条已接入真实</t>
    </r>
    <r>
      <rPr>
        <sz val="10"/>
        <rFont val="Arial"/>
        <family val="2"/>
      </rPr>
      <t xml:space="preserve">typed API</t>
    </r>
    <r>
      <rPr>
        <sz val="10"/>
        <rFont val="Noto Sans CJK SC"/>
        <family val="2"/>
      </rPr>
      <t xml:space="preserve">，</t>
    </r>
    <r>
      <rPr>
        <sz val="10"/>
        <rFont val="Arial"/>
        <family val="2"/>
      </rPr>
      <t xml:space="preserve">MB-BL-006-BASIC</t>
    </r>
    <r>
      <rPr>
        <sz val="10"/>
        <rFont val="Noto Sans CJK SC"/>
        <family val="2"/>
      </rPr>
      <t xml:space="preserve">仍为</t>
    </r>
    <r>
      <rPr>
        <sz val="10"/>
        <rFont val="Arial"/>
        <family val="2"/>
      </rPr>
      <t xml:space="preserve">GATED_INCONCLUSIVE</t>
    </r>
    <r>
      <rPr>
        <sz val="10"/>
        <rFont val="Noto Sans CJK SC"/>
        <family val="2"/>
      </rPr>
      <t xml:space="preserve">；未取得</t>
    </r>
    <r>
      <rPr>
        <sz val="10"/>
        <rFont val="Arial"/>
        <family val="2"/>
      </rPr>
      <t xml:space="preserve">EMU/FPGA</t>
    </r>
    <r>
      <rPr>
        <sz val="10"/>
        <rFont val="Noto Sans CJK SC"/>
        <family val="2"/>
      </rPr>
      <t xml:space="preserve">目标</t>
    </r>
    <r>
      <rPr>
        <sz val="10"/>
        <rFont val="Arial"/>
        <family val="2"/>
      </rPr>
      <t xml:space="preserve">Evidence</t>
    </r>
    <r>
      <rPr>
        <sz val="10"/>
        <rFont val="Noto Sans CJK SC"/>
        <family val="2"/>
      </rPr>
      <t xml:space="preserve">，不声明硬件</t>
    </r>
    <r>
      <rPr>
        <sz val="10"/>
        <rFont val="Arial"/>
        <family val="2"/>
      </rPr>
      <t xml:space="preserve">PASS</t>
    </r>
    <r>
      <rPr>
        <sz val="10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</si>
  <si>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Codex</t>
    </r>
    <r>
      <rPr>
        <sz val="10"/>
        <color rgb="FF1F2937"/>
        <rFont val="Noto Sans CJK SC"/>
        <family val="2"/>
      </rPr>
      <t xml:space="preserve">可移植软件用例</t>
    </r>
  </si>
  <si>
    <t xml:space="preserve">硬件补充验证需求（关联软件用例）</t>
  </si>
  <si>
    <r>
      <rPr>
        <sz val="10"/>
        <color rgb="FF1F2937"/>
        <rFont val="Noto Sans CJK SC"/>
        <family val="2"/>
      </rPr>
      <t xml:space="preserve">主机侧（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）本地负向软件用例</t>
    </r>
  </si>
  <si>
    <r>
      <rPr>
        <sz val="10"/>
        <color rgb="FF1F2937"/>
        <rFont val="Calibri"/>
        <family val="0"/>
        <charset val="1"/>
      </rPr>
      <t xml:space="preserve">Mailbox BASIC</t>
    </r>
    <r>
      <rPr>
        <sz val="10"/>
        <color rgb="FF1F2937"/>
        <rFont val="Noto Sans CJK SC"/>
        <family val="2"/>
      </rPr>
      <t xml:space="preserve">移植状态</t>
    </r>
  </si>
  <si>
    <r>
      <rPr>
        <sz val="10"/>
        <color rgb="FF1F2937"/>
        <rFont val="Calibri"/>
        <family val="0"/>
        <charset val="1"/>
      </rPr>
      <t xml:space="preserve">52</t>
    </r>
    <r>
      <rPr>
        <sz val="10"/>
        <color rgb="FF1F2937"/>
        <rFont val="Noto Sans CJK SC"/>
        <family val="2"/>
      </rPr>
      <t xml:space="preserve">条已注册；</t>
    </r>
    <r>
      <rPr>
        <sz val="10"/>
        <color rgb="FF1F2937"/>
        <rFont val="Calibri"/>
        <family val="0"/>
        <charset val="1"/>
      </rPr>
      <t xml:space="preserve">51 REAL_API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1 GATED_INCONCLUSIVE</t>
    </r>
    <r>
      <rPr>
        <sz val="10"/>
        <color rgb="FF1F2937"/>
        <rFont val="Noto Sans CJK SC"/>
        <family val="2"/>
      </rPr>
      <t xml:space="preserve">；目标</t>
    </r>
    <r>
      <rPr>
        <sz val="10"/>
        <color rgb="FF1F2937"/>
        <rFont val="Calibri"/>
        <family val="0"/>
        <charset val="1"/>
      </rPr>
      <t xml:space="preserve">PASS 0</t>
    </r>
    <r>
      <rPr>
        <sz val="10"/>
        <color rgb="FF1F2937"/>
        <rFont val="Noto Sans CJK SC"/>
        <family val="2"/>
      </rPr>
      <t xml:space="preserve">条</t>
    </r>
  </si>
  <si>
    <t xml:space="preserve">来源与边界</t>
  </si>
  <si>
    <r>
      <rPr>
        <sz val="10"/>
        <color rgb="FF1F2937"/>
        <rFont val="Noto Sans CJK SC"/>
        <family val="2"/>
      </rPr>
      <t xml:space="preserve">已形成文档（</t>
    </r>
    <r>
      <rPr>
        <sz val="10"/>
        <color rgb="FF1F2937"/>
        <rFont val="Calibri"/>
        <family val="0"/>
        <charset val="1"/>
      </rPr>
      <t xml:space="preserve">DOCUMENTED</t>
    </r>
    <r>
      <rPr>
        <sz val="10"/>
        <color rgb="FF1F2937"/>
        <rFont val="Noto Sans CJK SC"/>
        <family val="2"/>
      </rPr>
      <t xml:space="preserve">）：芯片系统安全方案、芯片安全软件方案 </t>
    </r>
    <r>
      <rPr>
        <sz val="10"/>
        <color rgb="FF1F2937"/>
        <rFont val="Calibri"/>
        <family val="0"/>
        <charset val="1"/>
      </rPr>
      <t xml:space="preserve">v1.2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</si>
  <si>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实现证据（</t>
    </r>
    <r>
      <rPr>
        <sz val="10"/>
        <color rgb="FF1F2937"/>
        <rFont val="Calibri"/>
        <family val="0"/>
        <charset val="1"/>
      </rPr>
      <t xml:space="preserve">VENDOR_IMPLEMENTATION</t>
    </r>
    <r>
      <rPr>
        <sz val="10"/>
        <color rgb="FF1F2937"/>
        <rFont val="Noto Sans CJK SC"/>
        <family val="2"/>
      </rPr>
      <t xml:space="preserve">）：</t>
    </r>
    <r>
      <rPr>
        <sz val="10"/>
        <color rgb="FF1F2937"/>
        <rFont val="Calibri"/>
        <family val="0"/>
        <charset val="1"/>
      </rPr>
      <t xml:space="preserve">eHSM HP TRM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Host API TRM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BL/FW/Host</t>
    </r>
    <r>
      <rPr>
        <sz val="10"/>
        <color rgb="FF1F2937"/>
        <rFont val="Noto Sans CJK SC"/>
        <family val="2"/>
      </rPr>
      <t xml:space="preserve">命令头文件。</t>
    </r>
  </si>
  <si>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资料用于证明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能力与实现，不直接定义</t>
    </r>
    <r>
      <rPr>
        <sz val="10"/>
        <color rgb="FF1F2937"/>
        <rFont val="Calibri"/>
        <family val="0"/>
        <charset val="1"/>
      </rPr>
      <t xml:space="preserve">NGU800P SoC</t>
    </r>
    <r>
      <rPr>
        <sz val="10"/>
        <color rgb="FF1F2937"/>
        <rFont val="Noto Sans CJK SC"/>
        <family val="2"/>
      </rPr>
      <t xml:space="preserve">最终行为。</t>
    </r>
  </si>
  <si>
    <r>
      <rPr>
        <sz val="10"/>
        <color rgb="FF1F2937"/>
        <rFont val="Noto Sans CJK SC"/>
        <family val="2"/>
      </rPr>
      <t xml:space="preserve">最终通过判据由有效方案、批准的需求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决策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开放规范、冻结的</t>
    </r>
    <r>
      <rPr>
        <sz val="10"/>
        <color rgb="FF1F2937"/>
        <rFont val="Calibri"/>
        <family val="0"/>
        <charset val="1"/>
      </rPr>
      <t xml:space="preserve">RTL/</t>
    </r>
    <r>
      <rPr>
        <sz val="10"/>
        <color rgb="FF1F2937"/>
        <rFont val="Noto Sans CJK SC"/>
        <family val="2"/>
      </rPr>
      <t xml:space="preserve">软件测试基线和目标环境验证证据共同确定。</t>
    </r>
  </si>
  <si>
    <r>
      <rPr>
        <sz val="10"/>
        <color rgb="FF1F2937"/>
        <rFont val="Calibri"/>
        <family val="0"/>
        <charset val="1"/>
      </rPr>
      <t xml:space="preserve">C908</t>
    </r>
    <r>
      <rPr>
        <sz val="10"/>
        <color rgb="FF1F2937"/>
        <rFont val="Noto Sans CJK SC"/>
        <family val="2"/>
      </rPr>
      <t xml:space="preserve">可配置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、非安全管理核不可配置；精确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和寄存器仍待</t>
    </r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绑定。</t>
    </r>
  </si>
  <si>
    <r>
      <rPr>
        <sz val="10"/>
        <color rgb="FF1F2937"/>
        <rFont val="Noto Sans CJK SC"/>
        <family val="2"/>
      </rPr>
      <t xml:space="preserve">配套指导：</t>
    </r>
    <r>
      <rPr>
        <sz val="10"/>
        <color rgb="FF1F2937"/>
        <rFont val="Calibri"/>
        <family val="0"/>
        <charset val="1"/>
      </rPr>
      <t xml:space="preserve">docs/06-verification/NGU800P</t>
    </r>
    <r>
      <rPr>
        <sz val="10"/>
        <color rgb="FF1F2937"/>
        <rFont val="Noto Sans CJK SC"/>
        <family val="2"/>
      </rPr>
      <t xml:space="preserve">安全测试用例设计与</t>
    </r>
    <r>
      <rPr>
        <sz val="10"/>
        <color rgb="FF1F2937"/>
        <rFont val="Calibri"/>
        <family val="0"/>
        <charset val="1"/>
      </rPr>
      <t xml:space="preserve">Codex</t>
    </r>
    <r>
      <rPr>
        <sz val="10"/>
        <color rgb="FF1F2937"/>
        <rFont val="Noto Sans CJK SC"/>
        <family val="2"/>
      </rPr>
      <t xml:space="preserve">移植指导</t>
    </r>
    <r>
      <rPr>
        <sz val="10"/>
        <color rgb="FF1F2937"/>
        <rFont val="Calibri"/>
        <family val="0"/>
        <charset val="1"/>
      </rPr>
      <t xml:space="preserve">.md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</si>
  <si>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硬件验证：</t>
    </r>
    <r>
      <rPr>
        <sz val="10"/>
        <color rgb="FF1F2937"/>
        <rFont val="Calibri"/>
        <family val="0"/>
        <charset val="1"/>
      </rPr>
      <t xml:space="preserve">docs/06-verification/NGU800P</t>
    </r>
    <r>
      <rPr>
        <sz val="10"/>
        <color rgb="FF1F2937"/>
        <rFont val="Noto Sans CJK SC"/>
        <family val="2"/>
      </rPr>
      <t xml:space="preserve">软件不便覆盖的硬件安全验证项</t>
    </r>
    <r>
      <rPr>
        <sz val="10"/>
        <color rgb="FF1F2937"/>
        <rFont val="Calibri"/>
        <family val="0"/>
        <charset val="1"/>
      </rPr>
      <t xml:space="preserve">.md</t>
    </r>
    <r>
      <rPr>
        <sz val="10"/>
        <color rgb="FF1F2937"/>
        <rFont val="Noto Sans CJK SC"/>
        <family val="2"/>
      </rPr>
      <t xml:space="preserve">。</t>
    </r>
  </si>
  <si>
    <t xml:space="preserve">说明性文字已中文化；命令、寄存器、状态码和门禁码保留原标识，中文解释见“术语说明”工作表。</t>
  </si>
  <si>
    <t xml:space="preserve">流片前软件用例与硬件验证分层规则</t>
  </si>
  <si>
    <t xml:space="preserve">类型标识</t>
  </si>
  <si>
    <t xml:space="preserve">适用对象</t>
  </si>
  <si>
    <t xml:space="preserve">构造原则</t>
  </si>
  <si>
    <r>
      <rPr>
        <b val="true"/>
        <sz val="11"/>
        <color rgb="FFFFFFFF"/>
        <rFont val="Noto Sans CJK SC"/>
        <family val="2"/>
      </rPr>
      <t xml:space="preserve">用例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参数化输入拆分规则</t>
    </r>
  </si>
  <si>
    <t xml:space="preserve">主要验证层级</t>
  </si>
  <si>
    <t xml:space="preserve">流片前判定</t>
  </si>
  <si>
    <t xml:space="preserve">示例</t>
  </si>
  <si>
    <t xml:space="preserve">BASIC_MAILBOX</t>
  </si>
  <si>
    <r>
      <rPr>
        <sz val="10"/>
        <color rgb="FF1F2937"/>
        <rFont val="Calibri"/>
        <family val="0"/>
        <charset val="1"/>
      </rPr>
      <t xml:space="preserve">52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BL/FW</t>
    </r>
    <r>
      <rPr>
        <sz val="10"/>
        <color rgb="FF1F2937"/>
        <rFont val="Noto Sans CJK SC"/>
        <family val="2"/>
      </rPr>
      <t xml:space="preserve">目标命令</t>
    </r>
  </si>
  <si>
    <r>
      <rPr>
        <sz val="10"/>
        <color rgb="FF1F2937"/>
        <rFont val="Noto Sans CJK SC"/>
        <family val="2"/>
      </rPr>
      <t xml:space="preserve">每条目标命令保持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个稳定</t>
    </r>
    <r>
      <rPr>
        <sz val="10"/>
        <color rgb="FF1F2937"/>
        <rFont val="Calibri"/>
        <family val="0"/>
        <charset val="1"/>
      </rPr>
      <t xml:space="preserve">BASIC case ID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case</t>
    </r>
    <r>
      <rPr>
        <sz val="10"/>
        <color rgb="FF1F2937"/>
        <rFont val="Noto Sans CJK SC"/>
        <family val="2"/>
      </rPr>
      <t xml:space="preserve">内部完整覆盖已批准、参考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已启用且</t>
    </r>
    <r>
      <rPr>
        <sz val="10"/>
        <color rgb="FF1F2937"/>
        <rFont val="Calibri"/>
        <family val="0"/>
        <charset val="1"/>
      </rPr>
      <t xml:space="preserve">typed API/</t>
    </r>
    <r>
      <rPr>
        <sz val="10"/>
        <color rgb="FF1F2937"/>
        <rFont val="Noto Sans CJK SC"/>
        <family val="2"/>
      </rPr>
      <t xml:space="preserve">向量</t>
    </r>
    <r>
      <rPr>
        <sz val="10"/>
        <color rgb="FF1F2937"/>
        <rFont val="Calibri"/>
        <family val="0"/>
        <charset val="1"/>
      </rPr>
      <t xml:space="preserve">/Expected</t>
    </r>
    <r>
      <rPr>
        <sz val="10"/>
        <color rgb="FF1F2937"/>
        <rFont val="Noto Sans CJK SC"/>
        <family val="2"/>
      </rPr>
      <t xml:space="preserve">齐全的算法、模式、方向和调用路径</t>
    </r>
  </si>
  <si>
    <r>
      <rPr>
        <sz val="10"/>
        <color rgb="FF1F2937"/>
        <rFont val="Noto Sans CJK SC"/>
        <family val="2"/>
      </rPr>
      <t xml:space="preserve">每条命令独立用例；多算法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模式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方向、</t>
    </r>
    <r>
      <rPr>
        <sz val="10"/>
        <color rgb="FF1F2937"/>
        <rFont val="Calibri"/>
        <family val="0"/>
        <charset val="1"/>
      </rPr>
      <t xml:space="preserve">one-pass/stepwise</t>
    </r>
    <r>
      <rPr>
        <sz val="10"/>
        <color rgb="FF1F2937"/>
        <rFont val="Noto Sans CJK SC"/>
        <family val="2"/>
      </rPr>
      <t xml:space="preserve">及</t>
    </r>
    <r>
      <rPr>
        <sz val="10"/>
        <color rgb="FF1F2937"/>
        <rFont val="Calibri"/>
        <family val="0"/>
        <charset val="1"/>
      </rPr>
      <t xml:space="preserve">key-handle/plain-key</t>
    </r>
    <r>
      <rPr>
        <sz val="10"/>
        <color rgb="FF1F2937"/>
        <rFont val="Noto Sans CJK SC"/>
        <family val="2"/>
      </rPr>
      <t xml:space="preserve">作为</t>
    </r>
    <r>
      <rPr>
        <sz val="10"/>
        <color rgb="FF1F2937"/>
        <rFont val="Calibri"/>
        <family val="0"/>
        <charset val="1"/>
      </rPr>
      <t xml:space="preserve">case</t>
    </r>
    <r>
      <rPr>
        <sz val="10"/>
        <color rgb="FF1F2937"/>
        <rFont val="Noto Sans CJK SC"/>
        <family val="2"/>
      </rPr>
      <t xml:space="preserve">内参数化子路径，不机械拆分</t>
    </r>
    <r>
      <rPr>
        <sz val="10"/>
        <color rgb="FF1F2937"/>
        <rFont val="Calibri"/>
        <family val="0"/>
        <charset val="1"/>
      </rPr>
      <t xml:space="preserve">case</t>
    </r>
    <r>
      <rPr>
        <sz val="10"/>
        <color rgb="FF1F2937"/>
        <rFont val="Noto Sans CJK SC"/>
        <family val="2"/>
      </rPr>
      <t xml:space="preserve">；项目明确排除或存在可核查阻塞的路径单独登记</t>
    </r>
  </si>
  <si>
    <t xml:space="preserve">L3_EMU_INTEGRATION</t>
  </si>
  <si>
    <r>
      <rPr>
        <sz val="10"/>
        <color rgb="FF1F2937"/>
        <rFont val="Noto Sans CJK SC"/>
        <family val="2"/>
      </rPr>
      <t xml:space="preserve">代码接入不等于硬件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；目标</t>
    </r>
    <r>
      <rPr>
        <sz val="10"/>
        <color rgb="FF1F2937"/>
        <rFont val="Calibri"/>
        <family val="0"/>
        <charset val="1"/>
      </rPr>
      <t xml:space="preserve">EMU/FPGA</t>
    </r>
    <r>
      <rPr>
        <sz val="10"/>
        <color rgb="FF1F2937"/>
        <rFont val="Noto Sans CJK SC"/>
        <family val="2"/>
      </rPr>
      <t xml:space="preserve">全部</t>
    </r>
    <r>
      <rPr>
        <sz val="10"/>
        <color rgb="FF1F2937"/>
        <rFont val="Calibri"/>
        <family val="0"/>
        <charset val="1"/>
      </rPr>
      <t xml:space="preserve">Expected</t>
    </r>
    <r>
      <rPr>
        <sz val="10"/>
        <color rgb="FF1F2937"/>
        <rFont val="Noto Sans CJK SC"/>
        <family val="2"/>
      </rPr>
      <t xml:space="preserve">满足后才可</t>
    </r>
    <r>
      <rPr>
        <sz val="10"/>
        <color rgb="FF1F2937"/>
        <rFont val="Calibri"/>
        <family val="0"/>
        <charset val="1"/>
      </rPr>
      <t xml:space="preserve">MUST_PASS</t>
    </r>
    <r>
      <rPr>
        <sz val="10"/>
        <color rgb="FF1F2937"/>
        <rFont val="Noto Sans CJK SC"/>
        <family val="2"/>
      </rPr>
      <t xml:space="preserve">，破坏性命令缺少批准资源时</t>
    </r>
    <r>
      <rPr>
        <sz val="10"/>
        <color rgb="FF1F2937"/>
        <rFont val="Calibri"/>
        <family val="0"/>
        <charset val="1"/>
      </rPr>
      <t xml:space="preserve">INCONCLUSIVE</t>
    </r>
  </si>
  <si>
    <t xml:space="preserve">MB-*-BASIC</t>
  </si>
  <si>
    <t xml:space="preserve">EHSM_NEGATIVE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</si>
  <si>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验签、升级、密码验证、认证、密钥、</t>
    </r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、状态机和命令解析</t>
    </r>
  </si>
  <si>
    <r>
      <rPr>
        <sz val="10"/>
        <color rgb="FF1F2937"/>
        <rFont val="Noto Sans CJK SC"/>
        <family val="2"/>
      </rPr>
      <t xml:space="preserve">请求必须真实进入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；从可通过测试基线单点变异安全属性，检查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拒绝和无副作用</t>
    </r>
  </si>
  <si>
    <r>
      <rPr>
        <sz val="10"/>
        <color rgb="FF1F2937"/>
        <rFont val="Noto Sans CJK SC"/>
        <family val="2"/>
      </rPr>
      <t xml:space="preserve">相同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服务、通过判据、专用测试环境与资源和恢复方式的算法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输入放参数化测试输入；处理阶段、副作用或恢复不同才拆用例</t>
    </r>
  </si>
  <si>
    <r>
      <rPr>
        <sz val="10"/>
        <color rgb="FF1F2937"/>
        <rFont val="Noto Sans CJK SC"/>
        <family val="2"/>
      </rPr>
      <t xml:space="preserve">合同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专用测试环境与资源具备时必须通过；否则</t>
    </r>
    <r>
      <rPr>
        <sz val="10"/>
        <color rgb="FF1F2937"/>
        <rFont val="Calibri"/>
        <family val="0"/>
        <charset val="1"/>
      </rPr>
      <t xml:space="preserve">INCONCLUSIVE</t>
    </r>
    <r>
      <rPr>
        <sz val="10"/>
        <color rgb="FF1F2937"/>
        <rFont val="Noto Sans CJK SC"/>
        <family val="2"/>
      </rPr>
      <t xml:space="preserve">并记录</t>
    </r>
    <r>
      <rPr>
        <sz val="10"/>
        <color rgb="FF1F2937"/>
        <rFont val="Calibri"/>
        <family val="0"/>
        <charset val="1"/>
      </rPr>
      <t xml:space="preserve">Owner</t>
    </r>
  </si>
  <si>
    <t xml:space="preserve">错误签名、错误认证标签、错误认证响应、篡改密钥 数据块</t>
  </si>
  <si>
    <t xml:space="preserve">SOC_SOFTWARE</t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</si>
  <si>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HSM</t>
    </r>
    <r>
      <rPr>
        <sz val="10"/>
        <color rgb="FF1F2937"/>
        <rFont val="Noto Sans CJK SC"/>
        <family val="2"/>
      </rPr>
      <t xml:space="preserve">状态错误、复位和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功能</t>
    </r>
  </si>
  <si>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条软件用例通过配置、现有命令、寄存器、复位</t>
    </r>
    <r>
      <rPr>
        <sz val="10"/>
        <color rgb="FF1F2937"/>
        <rFont val="Calibri"/>
        <family val="0"/>
        <charset val="1"/>
      </rPr>
      <t xml:space="preserve">/IRQ</t>
    </r>
    <r>
      <rPr>
        <sz val="10"/>
        <color rgb="FF1F2937"/>
        <rFont val="Noto Sans CJK SC"/>
        <family val="2"/>
      </rPr>
      <t xml:space="preserve">控制形成软件可见闭环</t>
    </r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</si>
  <si>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路通道、权限、错误、复位和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组合均放参数化测试输入，不机械拆用例</t>
    </r>
  </si>
  <si>
    <t xml:space="preserve">L3/L4_EMU_INTEGRATION</t>
  </si>
  <si>
    <r>
      <rPr>
        <sz val="10"/>
        <color rgb="FF1F2937"/>
        <rFont val="Noto Sans CJK SC"/>
        <family val="2"/>
      </rPr>
      <t xml:space="preserve">绑定具备时必须通过；未冻结时</t>
    </r>
    <r>
      <rPr>
        <sz val="10"/>
        <color rgb="FF1F2937"/>
        <rFont val="Calibri"/>
        <family val="0"/>
        <charset val="1"/>
      </rPr>
      <t xml:space="preserve">INCONCLUSIVE</t>
    </r>
  </si>
  <si>
    <r>
      <rPr>
        <sz val="10"/>
        <color rgb="FF1F2937"/>
        <rFont val="Calibri"/>
        <family val="0"/>
        <charset val="1"/>
      </rPr>
      <t xml:space="preserve">SOC-MAILBOX-001/002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FIREWALL-001/002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HSM-STATUS/ERROR</t>
    </r>
    <r>
      <rPr>
        <sz val="10"/>
        <color rgb="FF1F2937"/>
        <rFont val="Noto Sans CJK SC"/>
        <family val="2"/>
      </rPr>
      <t xml:space="preserve">、复位、</t>
    </r>
    <r>
      <rPr>
        <sz val="10"/>
        <color rgb="FF1F2937"/>
        <rFont val="Calibri"/>
        <family val="0"/>
        <charset val="1"/>
      </rPr>
      <t xml:space="preserve">IRQ</t>
    </r>
  </si>
  <si>
    <t xml:space="preserve">HW_SUPPLEMENTAL</t>
  </si>
  <si>
    <t xml:space="preserve">内部译码、逐周期、跨时钟域、逐位、精确复位相位和多源并发</t>
  </si>
  <si>
    <r>
      <rPr>
        <sz val="10"/>
        <color rgb="FF1F2937"/>
        <rFont val="Noto Sans CJK SC"/>
        <family val="2"/>
      </rPr>
      <t xml:space="preserve">与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软件功能用例一一关联，只补充软件无法证明的内部事实</t>
    </r>
  </si>
  <si>
    <t xml:space="preserve">不再把整个功能目标判为纯硬件；硬件表明确关联软件用例和剩余验证</t>
  </si>
  <si>
    <t xml:space="preserve">RTL/DV/SoC_SIGNOFF</t>
  </si>
  <si>
    <r>
      <rPr>
        <sz val="10"/>
        <color rgb="FF1F2937"/>
        <rFont val="Noto Sans CJK SC"/>
        <family val="2"/>
      </rPr>
      <t xml:space="preserve">软件功能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与硬件补充验证证据共同完成签核</t>
    </r>
  </si>
  <si>
    <t xml:space="preserve">HW-MBX/FW/HSM/RST/IRQ</t>
  </si>
  <si>
    <t xml:space="preserve">OUT_OF_SCOPE_HOST_SOFTWARE</t>
  </si>
  <si>
    <r>
      <rPr>
        <sz val="10"/>
        <color rgb="FF1F2937"/>
        <rFont val="Noto Sans CJK SC"/>
        <family val="2"/>
      </rPr>
      <t xml:space="preserve">仅由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本地处理的</t>
    </r>
    <r>
      <rPr>
        <sz val="10"/>
        <color rgb="FF1F2937"/>
        <rFont val="Calibri"/>
        <family val="0"/>
        <charset val="1"/>
      </rPr>
      <t xml:space="preserve">NULL/</t>
    </r>
    <r>
      <rPr>
        <sz val="10"/>
        <color rgb="FF1F2937"/>
        <rFont val="Noto Sans CJK SC"/>
        <family val="2"/>
      </rPr>
      <t xml:space="preserve">缓冲区容量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本地枚举、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超时恢复和日志行为</t>
    </r>
  </si>
  <si>
    <r>
      <rPr>
        <sz val="10"/>
        <color rgb="FF1F2937"/>
        <rFont val="Noto Sans CJK SC"/>
        <family val="2"/>
      </rPr>
      <t xml:space="preserve">不作为本轮用例；若同类非法请求已真实进入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，则属于</t>
    </r>
    <r>
      <rPr>
        <sz val="10"/>
        <color rgb="FF1F2937"/>
        <rFont val="Calibri"/>
        <family val="0"/>
        <charset val="1"/>
      </rPr>
      <t xml:space="preserve">EHSM_NEGATIVE</t>
    </r>
    <r>
      <rPr>
        <sz val="10"/>
        <color rgb="FF1F2937"/>
        <rFont val="Noto Sans CJK SC"/>
        <family val="2"/>
      </rPr>
      <t xml:space="preserve">而不是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测试</t>
    </r>
  </si>
  <si>
    <r>
      <rPr>
        <sz val="10"/>
        <color rgb="FF1F2937"/>
        <rFont val="Noto Sans CJK SC"/>
        <family val="2"/>
      </rPr>
      <t xml:space="preserve">未来开展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软件质量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安全测试时单独建立工作包</t>
    </r>
  </si>
  <si>
    <t xml:space="preserve">HOST_UNIT/INTEGRATION</t>
  </si>
  <si>
    <r>
      <rPr>
        <sz val="10"/>
        <color rgb="FF1F2937"/>
        <rFont val="Noto Sans CJK SC"/>
        <family val="2"/>
      </rPr>
      <t xml:space="preserve">本工作包不执行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本地判定</t>
    </r>
  </si>
  <si>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本地拒绝且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未提交</t>
    </r>
  </si>
  <si>
    <r>
      <rPr>
        <b val="true"/>
        <sz val="16"/>
        <color rgb="FFFFFFFF"/>
        <rFont val="Calibri"/>
        <family val="0"/>
        <charset val="1"/>
      </rPr>
      <t xml:space="preserve">Mailbox </t>
    </r>
    <r>
      <rPr>
        <b val="true"/>
        <sz val="16"/>
        <color rgb="FFFFFFFF"/>
        <rFont val="Noto Sans CJK SC"/>
        <family val="2"/>
      </rPr>
      <t xml:space="preserve">命令全集、基本功能（</t>
    </r>
    <r>
      <rPr>
        <b val="true"/>
        <sz val="16"/>
        <color rgb="FFFFFFFF"/>
        <rFont val="Calibri"/>
        <family val="0"/>
        <charset val="1"/>
      </rPr>
      <t xml:space="preserve">BASIC</t>
    </r>
    <r>
      <rPr>
        <b val="true"/>
        <sz val="16"/>
        <color rgb="FFFFFFFF"/>
        <rFont val="Noto Sans CJK SC"/>
        <family val="2"/>
      </rPr>
      <t xml:space="preserve">）与</t>
    </r>
    <r>
      <rPr>
        <b val="true"/>
        <sz val="16"/>
        <color rgb="FFFFFFFF"/>
        <rFont val="Calibri"/>
        <family val="0"/>
        <charset val="1"/>
      </rPr>
      <t xml:space="preserve">eHSM</t>
    </r>
    <r>
      <rPr>
        <b val="true"/>
        <sz val="16"/>
        <color rgb="FFFFFFFF"/>
        <rFont val="Noto Sans CJK SC"/>
        <family val="2"/>
      </rPr>
      <t xml:space="preserve">负向覆盖策略</t>
    </r>
  </si>
  <si>
    <t xml:space="preserve">阶段</t>
  </si>
  <si>
    <r>
      <rPr>
        <b val="true"/>
        <sz val="11"/>
        <color rgb="FFFFFFFF"/>
        <rFont val="Noto Sans CJK SC"/>
        <family val="2"/>
      </rPr>
      <t xml:space="preserve">命令 </t>
    </r>
    <r>
      <rPr>
        <b val="true"/>
        <sz val="11"/>
        <color rgb="FFFFFFFF"/>
        <rFont val="Calibri"/>
        <family val="0"/>
        <charset val="1"/>
      </rPr>
      <t xml:space="preserve">ID</t>
    </r>
  </si>
  <si>
    <t xml:space="preserve">命令名</t>
  </si>
  <si>
    <t xml:space="preserve">分类</t>
  </si>
  <si>
    <t xml:space="preserve">风险等级</t>
  </si>
  <si>
    <t xml:space="preserve">适用性</t>
  </si>
  <si>
    <t xml:space="preserve">事实状态</t>
  </si>
  <si>
    <t xml:space="preserve">BASIC</t>
  </si>
  <si>
    <r>
      <rPr>
        <b val="true"/>
        <sz val="11"/>
        <color rgb="FFFFFFFF"/>
        <rFont val="Calibri"/>
        <family val="0"/>
        <charset val="1"/>
      </rPr>
      <t xml:space="preserve">eHSM</t>
    </r>
    <r>
      <rPr>
        <b val="true"/>
        <sz val="11"/>
        <color rgb="FFFFFFFF"/>
        <rFont val="Noto Sans CJK SC"/>
        <family val="2"/>
      </rPr>
      <t xml:space="preserve">负向策略</t>
    </r>
  </si>
  <si>
    <r>
      <rPr>
        <b val="true"/>
        <sz val="11"/>
        <color rgb="FFFFFFFF"/>
        <rFont val="Calibri"/>
        <family val="0"/>
        <charset val="1"/>
      </rPr>
      <t xml:space="preserve">Host</t>
    </r>
    <r>
      <rPr>
        <b val="true"/>
        <sz val="11"/>
        <color rgb="FFFFFFFF"/>
        <rFont val="Noto Sans CJK SC"/>
        <family val="2"/>
      </rPr>
      <t xml:space="preserve">本地负向策略</t>
    </r>
  </si>
  <si>
    <t xml:space="preserve">实现难度</t>
  </si>
  <si>
    <t xml:space="preserve">流片前门禁</t>
  </si>
  <si>
    <t xml:space="preserve">来源</t>
  </si>
  <si>
    <t xml:space="preserve">备注</t>
  </si>
  <si>
    <t xml:space="preserve">Baremetal Case ID</t>
  </si>
  <si>
    <t xml:space="preserve">代码入口</t>
  </si>
  <si>
    <t xml:space="preserve">执行命令</t>
  </si>
  <si>
    <t xml:space="preserve">移植状态</t>
  </si>
  <si>
    <t xml:space="preserve">构建状态</t>
  </si>
  <si>
    <t xml:space="preserve">目标执行状态</t>
  </si>
  <si>
    <r>
      <rPr>
        <b val="true"/>
        <sz val="11"/>
        <color rgb="FFFFFFFF"/>
        <rFont val="Calibri"/>
        <family val="0"/>
        <charset val="1"/>
      </rPr>
      <t xml:space="preserve">Evidence</t>
    </r>
    <r>
      <rPr>
        <b val="true"/>
        <sz val="11"/>
        <color rgb="FFFFFFFF"/>
        <rFont val="Noto Sans CJK SC"/>
        <family val="2"/>
      </rPr>
      <t xml:space="preserve">索引</t>
    </r>
  </si>
  <si>
    <t xml:space="preserve">BL</t>
  </si>
  <si>
    <t xml:space="preserve">0x0020 (hex)</t>
  </si>
  <si>
    <t xml:space="preserve">MB_CMD_ID_BL_SELF_TEST</t>
  </si>
  <si>
    <r>
      <rPr>
        <sz val="10"/>
        <color rgb="FF1F2937"/>
        <rFont val="Noto Sans CJK SC"/>
        <family val="2"/>
      </rPr>
      <t xml:space="preserve">自检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版本</t>
    </r>
  </si>
  <si>
    <t xml:space="preserve">B_DATA_PROCESSING</t>
  </si>
  <si>
    <t xml:space="preserve">TARGET_HEADER_BASELINE</t>
  </si>
  <si>
    <t xml:space="preserve">VENDOR_IMPLEMENTATION</t>
  </si>
  <si>
    <t xml:space="preserve">REQUIRED</t>
  </si>
  <si>
    <t xml:space="preserve">BASIC_ONLY_CURRENT_SCOPE</t>
  </si>
  <si>
    <t xml:space="preserve">HOST_LOCAL_NEGATIVE_NOT_PLANNED</t>
  </si>
  <si>
    <t xml:space="preserve">MEDIUM</t>
  </si>
  <si>
    <t xml:space="preserve">MUST_PASS_BASIC</t>
  </si>
  <si>
    <t xml:space="preserve">eHSM BL 2.3.5-4019-72f8fdc/inc/mb.h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</si>
  <si>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bl_self_test</t>
    </r>
  </si>
  <si>
    <t xml:space="preserve">MB-BL-014-BASIC</t>
  </si>
  <si>
    <t xml:space="preserve">security_case_mb_bl_014_basic()</t>
  </si>
  <si>
    <t xml:space="preserve">security_test run MB-BL-014-BASIC</t>
  </si>
  <si>
    <t xml:space="preserve">REAL_API</t>
  </si>
  <si>
    <t xml:space="preserve">BUILD_EVIDENCE_AVAILABLE</t>
  </si>
  <si>
    <t xml:space="preserve">TARGET_NOT_EXECUTED</t>
  </si>
  <si>
    <t xml:space="preserve">20260803-phase0-3-basic-port.md</t>
  </si>
  <si>
    <t xml:space="preserve">0x0f04 (hex)</t>
  </si>
  <si>
    <t xml:space="preserve">MB_CMD_ID_BL_SET_UART_BAUDRATE</t>
  </si>
  <si>
    <r>
      <rPr>
        <sz val="10"/>
        <color rgb="FF1F2937"/>
        <rFont val="Noto Sans CJK SC"/>
        <family val="2"/>
      </rPr>
      <t xml:space="preserve">平台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诊断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</si>
  <si>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bl_set_uart_baudrate</t>
    </r>
  </si>
  <si>
    <t xml:space="preserve">MB-BL-013-BASIC</t>
  </si>
  <si>
    <t xml:space="preserve">security_case_mb_bl_013_basic()</t>
  </si>
  <si>
    <t xml:space="preserve">security_test run MB-BL-013-BASIC</t>
  </si>
  <si>
    <t xml:space="preserve">0xff01 (hex)</t>
  </si>
  <si>
    <t xml:space="preserve">MB_CMD_ID_BL_OTP_WRITE</t>
  </si>
  <si>
    <t xml:space="preserve">OTP/eFuse</t>
  </si>
  <si>
    <t xml:space="preserve">D_IRREVERSIBLE_DESTRUCTIVE</t>
  </si>
  <si>
    <t xml:space="preserve">COVERED_BY_EHSM_NEGATIVE_FAMILY</t>
  </si>
  <si>
    <t xml:space="preserve">HIGH</t>
  </si>
  <si>
    <t xml:space="preserve">DEDICATED_FIXTURE_OR_INCONCLUSIVE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</si>
  <si>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bl_otp_write</t>
    </r>
  </si>
  <si>
    <t xml:space="preserve">MB-BL-003-BASIC</t>
  </si>
  <si>
    <t xml:space="preserve">security_case_mb_bl_003_basic()</t>
  </si>
  <si>
    <t xml:space="preserve">security_test run MB-BL-003-BASIC</t>
  </si>
  <si>
    <t xml:space="preserve">20260803-phase0-3-basic-port.md; 20260805-bl-basic-003-007-real-api.md; 20260805-cancelled-gates-real-api.md</t>
  </si>
  <si>
    <t xml:space="preserve">0xff02 (hex)</t>
  </si>
  <si>
    <t xml:space="preserve">MB_CMD_ID_BL_OTP_READ</t>
  </si>
  <si>
    <t xml:space="preserve">C_SECURITY_SENSITIVE</t>
  </si>
  <si>
    <t xml:space="preserve">MEDIUM_HIGH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</si>
  <si>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bl_otp_read</t>
    </r>
  </si>
  <si>
    <t xml:space="preserve">MB-BL-002-BASIC</t>
  </si>
  <si>
    <t xml:space="preserve">security_case_mb_bl_002_basic()</t>
  </si>
  <si>
    <t xml:space="preserve">security_test run MB-BL-002-BASIC</t>
  </si>
  <si>
    <t xml:space="preserve">20260803-phase0-3-basic-port.md; 20260805-otp-uid-profile-verdict.md</t>
  </si>
  <si>
    <t xml:space="preserve">0xff03 (hex)</t>
  </si>
  <si>
    <t xml:space="preserve">MB_CMD_ID_BL_GET_CHALLENGE</t>
  </si>
  <si>
    <r>
      <rPr>
        <sz val="10"/>
        <color rgb="FF1F2937"/>
        <rFont val="Noto Sans CJK SC"/>
        <family val="2"/>
      </rPr>
      <t xml:space="preserve">调试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鉴权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</si>
  <si>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bl_get_challenge</t>
    </r>
  </si>
  <si>
    <t xml:space="preserve">MB-BL-010-BASIC</t>
  </si>
  <si>
    <t xml:space="preserve">security_case_mb_bl_010_basic()</t>
  </si>
  <si>
    <t xml:space="preserve">security_test run MB-BL-010-BASIC</t>
  </si>
  <si>
    <t xml:space="preserve">0xff04 (hex)</t>
  </si>
  <si>
    <t xml:space="preserve">MB_CMD_ID_BL_DEBUG_AUTH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</si>
  <si>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bl_debug_auth</t>
    </r>
  </si>
  <si>
    <t xml:space="preserve">MB-BL-011-BASIC</t>
  </si>
  <si>
    <t xml:space="preserve">security_case_mb_bl_011_basic()</t>
  </si>
  <si>
    <t xml:space="preserve">security_test run MB-BL-011-BASIC</t>
  </si>
  <si>
    <t xml:space="preserve">20260803-phase0-3-basic-port.md; 20260807-debug-auth-profile-port.md</t>
  </si>
  <si>
    <t xml:space="preserve">0xff05 (hex)</t>
  </si>
  <si>
    <t xml:space="preserve">MB_CMD_ID_BL_FW_UPGRADE</t>
  </si>
  <si>
    <r>
      <rPr>
        <sz val="10"/>
        <color rgb="FF1F2937"/>
        <rFont val="Noto Sans CJK SC"/>
        <family val="2"/>
      </rPr>
      <t xml:space="preserve">启动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升级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验签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</si>
  <si>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bl_fw_upgrade</t>
    </r>
  </si>
  <si>
    <t xml:space="preserve">MB-BL-006-BASIC</t>
  </si>
  <si>
    <t xml:space="preserve">security_case_mb_bl_006_basic()</t>
  </si>
  <si>
    <t xml:space="preserve">security_test run MB-BL-006-BASIC</t>
  </si>
  <si>
    <t xml:space="preserve">GATED_INCONCLUSIVE</t>
  </si>
  <si>
    <t xml:space="preserve">20260803-phase0-3-basic-port.md; 20260805-bl-basic-003-007-real-api.md</t>
  </si>
  <si>
    <t xml:space="preserve">0xff06 (hex)</t>
  </si>
  <si>
    <t xml:space="preserve">MB_CMD_ID_BL_VERIFY_IMAGE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</si>
  <si>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bl_verify_image</t>
    </r>
  </si>
  <si>
    <t xml:space="preserve">MB-BL-007-BASIC</t>
  </si>
  <si>
    <t xml:space="preserve">security_case_mb_bl_007_basic()</t>
  </si>
  <si>
    <t xml:space="preserve">security_test run MB-BL-007-BASIC</t>
  </si>
  <si>
    <t xml:space="preserve">0xff08 (hex)</t>
  </si>
  <si>
    <t xml:space="preserve">MB_CMD_ID_BL_GET_RANDOM_KEY</t>
  </si>
  <si>
    <t xml:space="preserve">密钥管理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</si>
  <si>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bl_get_random_key</t>
    </r>
  </si>
  <si>
    <t xml:space="preserve">MB-BL-008-BASIC</t>
  </si>
  <si>
    <t xml:space="preserve">security_case_mb_bl_008_basic()</t>
  </si>
  <si>
    <t xml:space="preserve">security_test run MB-BL-008-BASIC</t>
  </si>
  <si>
    <t xml:space="preserve">20260803-phase0-3-basic-port.md; 20260805-cancelled-gates-real-api.md</t>
  </si>
  <si>
    <t xml:space="preserve">0xff09 (hex)</t>
  </si>
  <si>
    <t xml:space="preserve">MB_CMD_ID_BL_ENCRYPT_KEY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</si>
  <si>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bl_encrypt_key</t>
    </r>
  </si>
  <si>
    <t xml:space="preserve">MB-BL-009-BASIC</t>
  </si>
  <si>
    <t xml:space="preserve">security_case_mb_bl_009_basic()</t>
  </si>
  <si>
    <t xml:space="preserve">security_test run MB-BL-009-BASIC</t>
  </si>
  <si>
    <t xml:space="preserve">0xff0e (hex)</t>
  </si>
  <si>
    <t xml:space="preserve">MB_CMD_ID_BL_CLOSE_DEBUG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</si>
  <si>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bl_close_debug</t>
    </r>
  </si>
  <si>
    <t xml:space="preserve">MB-BL-012-BASIC</t>
  </si>
  <si>
    <t xml:space="preserve">security_case_mb_bl_012_basic()</t>
  </si>
  <si>
    <t xml:space="preserve">security_test run MB-BL-012-BASIC</t>
  </si>
  <si>
    <t xml:space="preserve">0xff10 (hex)</t>
  </si>
  <si>
    <t xml:space="preserve">MB_CMD_ID_BL_READ_VER</t>
  </si>
  <si>
    <t xml:space="preserve">A_PUBLIC_READ_ONLY</t>
  </si>
  <si>
    <t xml:space="preserve">LOW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</si>
  <si>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bl_read_ver</t>
    </r>
  </si>
  <si>
    <t xml:space="preserve">MB-BL-001-BASIC</t>
  </si>
  <si>
    <t xml:space="preserve">security_case_mb_bl_001_basic()</t>
  </si>
  <si>
    <t xml:space="preserve">security_test run MB-BL-001-BASIC</t>
  </si>
  <si>
    <t xml:space="preserve">0xff11 (hex)</t>
  </si>
  <si>
    <t xml:space="preserve">MB_CMD_ID_BL_READ_SELF_TEST_RESULT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</si>
  <si>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bl_read_self_test_result</t>
    </r>
  </si>
  <si>
    <t xml:space="preserve">MB-BL-015-BASIC</t>
  </si>
  <si>
    <t xml:space="preserve">security_case_mb_bl_015_basic()</t>
  </si>
  <si>
    <t xml:space="preserve">security_test run MB-BL-015-BASIC</t>
  </si>
  <si>
    <t xml:space="preserve">0xff23 (hex)</t>
  </si>
  <si>
    <t xml:space="preserve">MB_CMD_ID_BL_REG_WR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</si>
  <si>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bl_reg_wr</t>
    </r>
  </si>
  <si>
    <t xml:space="preserve">MB-BL-005-BASIC</t>
  </si>
  <si>
    <t xml:space="preserve">security_case_mb_bl_005_basic()</t>
  </si>
  <si>
    <t xml:space="preserve">security_test run MB-BL-005-BASIC</t>
  </si>
  <si>
    <t xml:space="preserve">0xff24 (hex)</t>
  </si>
  <si>
    <t xml:space="preserve">MB_CMD_ID_BL_REG_RD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</si>
  <si>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bl_reg_rd</t>
    </r>
  </si>
  <si>
    <t xml:space="preserve">MB-BL-004-BASIC</t>
  </si>
  <si>
    <t xml:space="preserve">security_case_mb_bl_004_basic()</t>
  </si>
  <si>
    <t xml:space="preserve">security_test run MB-BL-004-BASIC</t>
  </si>
  <si>
    <t xml:space="preserve">FW</t>
  </si>
  <si>
    <t xml:space="preserve">0x0070 (hex)</t>
  </si>
  <si>
    <t xml:space="preserve">MB_CMD_ID_GET_EMU</t>
  </si>
  <si>
    <t xml:space="preserve">eHSM FW 2.3.3-4019-6234423/inc/mb.h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</si>
  <si>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get_emu</t>
    </r>
  </si>
  <si>
    <t xml:space="preserve">MB-FW-037-BASIC</t>
  </si>
  <si>
    <t xml:space="preserve">security_case_mb_fw_037_basic()</t>
  </si>
  <si>
    <t xml:space="preserve">security_test run MB-FW-037-BASIC</t>
  </si>
  <si>
    <t xml:space="preserve">0x0101 (hex)</t>
  </si>
  <si>
    <t xml:space="preserve">MB_CMD_ID_SYMM_CIPHER</t>
  </si>
  <si>
    <t xml:space="preserve">对称密码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</si>
  <si>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symm_cipher</t>
    </r>
  </si>
  <si>
    <t xml:space="preserve">MB-FW-016-BASIC</t>
  </si>
  <si>
    <t xml:space="preserve">security_case_mb_fw_016_basic()</t>
  </si>
  <si>
    <t xml:space="preserve">security_test run MB-FW-016-BASIC</t>
  </si>
  <si>
    <t xml:space="preserve">20260803-phase0-3-basic-port.md; 20260807-fw016-symmetric-matrix.md</t>
  </si>
  <si>
    <t xml:space="preserve">0x0102 (hex)</t>
  </si>
  <si>
    <t xml:space="preserve">MB_CMD_ID_AEAD_GCM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</si>
  <si>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aead_gcm</t>
    </r>
  </si>
  <si>
    <t xml:space="preserve">MB-FW-017-BASIC</t>
  </si>
  <si>
    <t xml:space="preserve">security_case_mb_fw_017_basic()</t>
  </si>
  <si>
    <t xml:space="preserve">security_test run MB-FW-017-BASIC</t>
  </si>
  <si>
    <t xml:space="preserve">20260803-phase0-3-basic-port.md; 20260810-fw-remaining-basic-matrix.md</t>
  </si>
  <si>
    <t xml:space="preserve">0x0103 (hex)</t>
  </si>
  <si>
    <t xml:space="preserve">MB_CMD_ID_AEAD_CCM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</si>
  <si>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aead_ccm</t>
    </r>
  </si>
  <si>
    <t xml:space="preserve">MB-FW-018-BASIC</t>
  </si>
  <si>
    <t xml:space="preserve">security_case_mb_fw_018_basic()</t>
  </si>
  <si>
    <t xml:space="preserve">security_test run MB-FW-018-BASIC</t>
  </si>
  <si>
    <t xml:space="preserve">0x0201 (hex)</t>
  </si>
  <si>
    <t xml:space="preserve">MB_CMD_ID_MAC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</si>
  <si>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mac</t>
    </r>
  </si>
  <si>
    <t xml:space="preserve">MB-FW-021-BASIC</t>
  </si>
  <si>
    <t xml:space="preserve">security_case_mb_fw_021_basic()</t>
  </si>
  <si>
    <t xml:space="preserve">security_test run MB-FW-021-BASIC</t>
  </si>
  <si>
    <t xml:space="preserve">0x0301 (hex)</t>
  </si>
  <si>
    <t xml:space="preserve">MB_CMD_ID_HASH</t>
  </si>
  <si>
    <r>
      <rPr>
        <sz val="10"/>
        <color rgb="FF1F2937"/>
        <rFont val="Noto Sans CJK SC"/>
        <family val="2"/>
      </rPr>
      <t xml:space="preserve">摘要</t>
    </r>
    <r>
      <rPr>
        <sz val="10"/>
        <color rgb="FF1F2937"/>
        <rFont val="Calibri"/>
        <family val="0"/>
        <charset val="1"/>
      </rPr>
      <t xml:space="preserve">/HMAC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</si>
  <si>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hash</t>
    </r>
  </si>
  <si>
    <t xml:space="preserve">MB-FW-019-BASIC</t>
  </si>
  <si>
    <t xml:space="preserve">security_case_mb_fw_019_basic()</t>
  </si>
  <si>
    <t xml:space="preserve">security_test run MB-FW-019-BASIC</t>
  </si>
  <si>
    <t xml:space="preserve">0x0302 (hex)</t>
  </si>
  <si>
    <t xml:space="preserve">MB_CMD_ID_HMAC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</si>
  <si>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hmac</t>
    </r>
  </si>
  <si>
    <t xml:space="preserve">MB-FW-020-BASIC</t>
  </si>
  <si>
    <t xml:space="preserve">security_case_mb_fw_020_basic()</t>
  </si>
  <si>
    <t xml:space="preserve">security_test run MB-FW-020-BASIC</t>
  </si>
  <si>
    <t xml:space="preserve">0x0401 (hex)</t>
  </si>
  <si>
    <t xml:space="preserve">MB_CMD_ID_SM2_CIPHER</t>
  </si>
  <si>
    <r>
      <rPr>
        <sz val="10"/>
        <color rgb="FF1F2937"/>
        <rFont val="Noto Sans CJK SC"/>
        <family val="2"/>
      </rPr>
      <t xml:space="preserve">非对称</t>
    </r>
    <r>
      <rPr>
        <sz val="10"/>
        <color rgb="FF1F2937"/>
        <rFont val="Calibri"/>
        <family val="0"/>
        <charset val="1"/>
      </rPr>
      <t xml:space="preserve">/PQC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</si>
  <si>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sm2_cipher</t>
    </r>
  </si>
  <si>
    <t xml:space="preserve">MB-FW-022-BASIC</t>
  </si>
  <si>
    <t xml:space="preserve">security_case_mb_fw_022_basic()</t>
  </si>
  <si>
    <t xml:space="preserve">security_test run MB-FW-022-BASIC</t>
  </si>
  <si>
    <t xml:space="preserve">0x0402 (hex)</t>
  </si>
  <si>
    <t xml:space="preserve">MB_CMD_ID_SM2_SIGN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</si>
  <si>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sm2_sign</t>
    </r>
  </si>
  <si>
    <t xml:space="preserve">MB-FW-023-BASIC</t>
  </si>
  <si>
    <t xml:space="preserve">security_case_mb_fw_023_basic()</t>
  </si>
  <si>
    <t xml:space="preserve">security_test run MB-FW-023-BASIC</t>
  </si>
  <si>
    <t xml:space="preserve">20260803-phase0-3-basic-port.md; 20260810-fw-signature-matrix.md</t>
  </si>
  <si>
    <t xml:space="preserve">0x0501 (hex)</t>
  </si>
  <si>
    <t xml:space="preserve">MB_CMD_ID_RSA_CIPHER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</si>
  <si>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Rsa_cipher</t>
    </r>
  </si>
  <si>
    <t xml:space="preserve">MB-FW-024-BASIC</t>
  </si>
  <si>
    <t xml:space="preserve">security_case_mb_fw_024_basic()</t>
  </si>
  <si>
    <t xml:space="preserve">security_test run MB-FW-024-BASIC</t>
  </si>
  <si>
    <t xml:space="preserve">0x0502 (hex)</t>
  </si>
  <si>
    <t xml:space="preserve">MB_CMD_ID_RSA_SIGN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</si>
  <si>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Rsa_sign</t>
    </r>
  </si>
  <si>
    <t xml:space="preserve">MB-FW-025-BASIC</t>
  </si>
  <si>
    <t xml:space="preserve">security_case_mb_fw_025_basic()</t>
  </si>
  <si>
    <t xml:space="preserve">security_test run MB-FW-025-BASIC</t>
  </si>
  <si>
    <t xml:space="preserve">0x0601 (hex)</t>
  </si>
  <si>
    <t xml:space="preserve">MB_CMD_ID_ECDSA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</si>
  <si>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Ecdsa</t>
    </r>
  </si>
  <si>
    <t xml:space="preserve">MB-FW-026-BASIC</t>
  </si>
  <si>
    <t xml:space="preserve">security_case_mb_fw_026_basic()</t>
  </si>
  <si>
    <t xml:space="preserve">security_test run MB-FW-026-BASIC</t>
  </si>
  <si>
    <t xml:space="preserve">0x0801 (hex)</t>
  </si>
  <si>
    <t xml:space="preserve">MB_CMD_ID_EHSM_IMPORT_KEY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</si>
  <si>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ehsm_import_key</t>
    </r>
  </si>
  <si>
    <t xml:space="preserve">MB-FW-048-BASIC</t>
  </si>
  <si>
    <t xml:space="preserve">security_case_mb_fw_048_basic()</t>
  </si>
  <si>
    <t xml:space="preserve">security_test run MB-FW-048-BASIC</t>
  </si>
  <si>
    <t xml:space="preserve">0x0802 (hex)</t>
  </si>
  <si>
    <t xml:space="preserve">MB_CMD_ID_EHSM_EXPORT_KEY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</si>
  <si>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ehsm_export_key</t>
    </r>
  </si>
  <si>
    <t xml:space="preserve">MB-FW-049-BASIC</t>
  </si>
  <si>
    <t xml:space="preserve">security_case_mb_fw_049_basic()</t>
  </si>
  <si>
    <t xml:space="preserve">security_test run MB-FW-049-BASIC</t>
  </si>
  <si>
    <t xml:space="preserve">0x0805 (hex)</t>
  </si>
  <si>
    <t xml:space="preserve">MB_CMD_ID_EHSM_GET_PUB_FROM_PRIV</t>
  </si>
  <si>
    <t xml:space="preserve">其他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</si>
  <si>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ehsm_get_pub_from_priv</t>
    </r>
  </si>
  <si>
    <t xml:space="preserve">MB-FW-051-BASIC</t>
  </si>
  <si>
    <t xml:space="preserve">security_case_mb_fw_051_basic()</t>
  </si>
  <si>
    <t xml:space="preserve">security_test run MB-FW-051-BASIC</t>
  </si>
  <si>
    <t xml:space="preserve">0x0806 (hex)</t>
  </si>
  <si>
    <t xml:space="preserve">MB_CMD_ID_EHSM_REMOVE_KEY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</si>
  <si>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ehsm_remove_key</t>
    </r>
  </si>
  <si>
    <t xml:space="preserve">MB-FW-050-BASIC</t>
  </si>
  <si>
    <t xml:space="preserve">security_case_mb_fw_050_basic()</t>
  </si>
  <si>
    <t xml:space="preserve">security_test run MB-FW-050-BASIC</t>
  </si>
  <si>
    <t xml:space="preserve">0x080d (hex)</t>
  </si>
  <si>
    <t xml:space="preserve">MB_CMD_ID_EHSM_GEN_KEY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</si>
  <si>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ehsm_gen_key</t>
    </r>
  </si>
  <si>
    <t xml:space="preserve">MB-FW-045-BASIC</t>
  </si>
  <si>
    <t xml:space="preserve">security_case_mb_fw_045_basic()</t>
  </si>
  <si>
    <t xml:space="preserve">security_test run MB-FW-045-BASIC</t>
  </si>
  <si>
    <t xml:space="preserve">0x080e (hex)</t>
  </si>
  <si>
    <t xml:space="preserve">MB_CMD_ID_EHSM_KEY_DERIVE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</si>
  <si>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ehsm_key_derive</t>
    </r>
  </si>
  <si>
    <t xml:space="preserve">MB-FW-046-BASIC</t>
  </si>
  <si>
    <t xml:space="preserve">security_case_mb_fw_046_basic()</t>
  </si>
  <si>
    <t xml:space="preserve">security_test run MB-FW-046-BASIC</t>
  </si>
  <si>
    <t xml:space="preserve">0x080f (hex)</t>
  </si>
  <si>
    <t xml:space="preserve">MB_CMD_ID_EHSM_KEY_EXCHANGE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</si>
  <si>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ehsm_key_exchange</t>
    </r>
  </si>
  <si>
    <t xml:space="preserve">MB-FW-047-BASIC</t>
  </si>
  <si>
    <t xml:space="preserve">security_case_mb_fw_047_basic()</t>
  </si>
  <si>
    <t xml:space="preserve">security_test run MB-FW-047-BASIC</t>
  </si>
  <si>
    <t xml:space="preserve">0x0a01 (hex)</t>
  </si>
  <si>
    <t xml:space="preserve">MB_CMD_ID_RNG</t>
  </si>
  <si>
    <t xml:space="preserve">随机数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</si>
  <si>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rng</t>
    </r>
  </si>
  <si>
    <t xml:space="preserve">MB-FW-027-BASIC</t>
  </si>
  <si>
    <t xml:space="preserve">security_case_mb_fw_027_basic()</t>
  </si>
  <si>
    <t xml:space="preserve">security_test run MB-FW-027-BASIC</t>
  </si>
  <si>
    <t xml:space="preserve">0x0f01 (hex)</t>
  </si>
  <si>
    <t xml:space="preserve">MB_CMD_ID_CHANGE_LIFECYCLE</t>
  </si>
  <si>
    <r>
      <rPr>
        <sz val="10"/>
        <color rgb="FF1F2937"/>
        <rFont val="Noto Sans CJK SC"/>
        <family val="2"/>
      </rPr>
      <t xml:space="preserve">生命周期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控制域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</si>
  <si>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change_lifecycle</t>
    </r>
  </si>
  <si>
    <t xml:space="preserve">MB-FW-038-BASIC</t>
  </si>
  <si>
    <t xml:space="preserve">security_case_mb_fw_038_basic()</t>
  </si>
  <si>
    <t xml:space="preserve">security_test run MB-FW-038-BASIC</t>
  </si>
  <si>
    <t xml:space="preserve">0x0f02 (hex)</t>
  </si>
  <si>
    <t xml:space="preserve">MB_CMD_ID_CHANGE_CONTROL_FIELD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</si>
  <si>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change_control_field</t>
    </r>
  </si>
  <si>
    <t xml:space="preserve">MB-FW-039-BASIC</t>
  </si>
  <si>
    <t xml:space="preserve">security_case_mb_fw_039_basic()</t>
  </si>
  <si>
    <t xml:space="preserve">security_test run MB-FW-039-BASIC</t>
  </si>
  <si>
    <t xml:space="preserve">MB_CMD_ID_SET_UART_BAUDRATE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</si>
  <si>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set_uart_baudrate</t>
    </r>
  </si>
  <si>
    <t xml:space="preserve">MB-FW-040-BASIC</t>
  </si>
  <si>
    <t xml:space="preserve">security_case_mb_fw_040_basic()</t>
  </si>
  <si>
    <t xml:space="preserve">security_test run MB-FW-040-BASIC</t>
  </si>
  <si>
    <t xml:space="preserve">MB_CMD_ID_OTP_WRITE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</si>
  <si>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otp_write</t>
    </r>
  </si>
  <si>
    <t xml:space="preserve">MB-FW-028-BASIC</t>
  </si>
  <si>
    <t xml:space="preserve">security_case_mb_fw_028_basic()</t>
  </si>
  <si>
    <t xml:space="preserve">security_test run MB-FW-028-BASIC</t>
  </si>
  <si>
    <t xml:space="preserve">MB_CMD_ID_OTP_READ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</si>
  <si>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otp_read</t>
    </r>
  </si>
  <si>
    <t xml:space="preserve">MB-FW-029-BASIC</t>
  </si>
  <si>
    <t xml:space="preserve">security_case_mb_fw_029_basic()</t>
  </si>
  <si>
    <t xml:space="preserve">security_test run MB-FW-029-BASIC</t>
  </si>
  <si>
    <t xml:space="preserve">MB_CMD_ID_GET_CHALLENGE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</si>
  <si>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get_challenge</t>
    </r>
  </si>
  <si>
    <t xml:space="preserve">MB-FW-030-BASIC</t>
  </si>
  <si>
    <t xml:space="preserve">security_case_mb_fw_030_basic()</t>
  </si>
  <si>
    <t xml:space="preserve">security_test run MB-FW-030-BASIC</t>
  </si>
  <si>
    <t xml:space="preserve">MB_CMD_ID_AUTH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</si>
  <si>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auth</t>
    </r>
  </si>
  <si>
    <t xml:space="preserve">MB-FW-031-BASIC</t>
  </si>
  <si>
    <t xml:space="preserve">security_case_mb_fw_031_basic()</t>
  </si>
  <si>
    <t xml:space="preserve">security_test run MB-FW-031-BASIC</t>
  </si>
  <si>
    <t xml:space="preserve">MB_CMD_ID_FW_UPGRADE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</si>
  <si>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fw_upgrade</t>
    </r>
  </si>
  <si>
    <t xml:space="preserve">MB-FW-033-BASIC</t>
  </si>
  <si>
    <t xml:space="preserve">security_case_mb_fw_033_basic()</t>
  </si>
  <si>
    <t xml:space="preserve">security_test run MB-FW-033-BASIC</t>
  </si>
  <si>
    <t xml:space="preserve">MB_CMD_ID_SOC_VERIFY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</si>
  <si>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soc_verify</t>
    </r>
  </si>
  <si>
    <t xml:space="preserve">MB-FW-034-BASIC</t>
  </si>
  <si>
    <t xml:space="preserve">security_case_mb_fw_034_basic()</t>
  </si>
  <si>
    <t xml:space="preserve">security_test run MB-FW-034-BASIC</t>
  </si>
  <si>
    <t xml:space="preserve">MB_CMD_ID_INSTALL_RANDOM_KEY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</si>
  <si>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install_random_key</t>
    </r>
  </si>
  <si>
    <t xml:space="preserve">MB-FW-035-BASIC</t>
  </si>
  <si>
    <t xml:space="preserve">security_case_mb_fw_035_basic()</t>
  </si>
  <si>
    <t xml:space="preserve">security_test run MB-FW-035-BASIC</t>
  </si>
  <si>
    <t xml:space="preserve">MB_CMD_ID_INSTALL_ENCRYPT_KEY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</si>
  <si>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install_encrypt_key</t>
    </r>
  </si>
  <si>
    <t xml:space="preserve">MB-FW-036-BASIC</t>
  </si>
  <si>
    <t xml:space="preserve">security_case_mb_fw_036_basic()</t>
  </si>
  <si>
    <t xml:space="preserve">security_test run MB-FW-036-BASIC</t>
  </si>
  <si>
    <t xml:space="preserve">MB_CMD_ID_CLOSE_DEBUG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</si>
  <si>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close_debug</t>
    </r>
  </si>
  <si>
    <t xml:space="preserve">MB-FW-032-BASIC</t>
  </si>
  <si>
    <t xml:space="preserve">security_case_mb_fw_032_basic()</t>
  </si>
  <si>
    <t xml:space="preserve">security_test run MB-FW-032-BASIC</t>
  </si>
  <si>
    <t xml:space="preserve">MB_CMD_ID_EHSM_READ_VER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</si>
  <si>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ehsm_read_ver</t>
    </r>
  </si>
  <si>
    <t xml:space="preserve">MB-FW-043-BASIC</t>
  </si>
  <si>
    <t xml:space="preserve">security_case_mb_fw_043_basic()</t>
  </si>
  <si>
    <t xml:space="preserve">security_test run MB-FW-043-BASIC</t>
  </si>
  <si>
    <t xml:space="preserve">MB_CMD_ID_FW_REG_WR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</si>
  <si>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fw_reg_wr</t>
    </r>
  </si>
  <si>
    <t xml:space="preserve">MB-FW-041-BASIC</t>
  </si>
  <si>
    <t xml:space="preserve">security_case_mb_fw_041_basic()</t>
  </si>
  <si>
    <t xml:space="preserve">security_test run MB-FW-041-BASIC</t>
  </si>
  <si>
    <t xml:space="preserve">MB_CMD_ID_FW_REG_RD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</si>
  <si>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fw_reg_rd</t>
    </r>
  </si>
  <si>
    <t xml:space="preserve">MB-FW-042-BASIC</t>
  </si>
  <si>
    <t xml:space="preserve">security_case_mb_fw_042_basic()</t>
  </si>
  <si>
    <t xml:space="preserve">security_test run MB-FW-042-BASIC</t>
  </si>
  <si>
    <t xml:space="preserve">0xff26 (hex)</t>
  </si>
  <si>
    <t xml:space="preserve">MB_CMD_ID_ENTER_WFI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</si>
  <si>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enter_wfi</t>
    </r>
  </si>
  <si>
    <t xml:space="preserve">MB-FW-044-BASIC</t>
  </si>
  <si>
    <t xml:space="preserve">security_case_mb_fw_044_basic()</t>
  </si>
  <si>
    <t xml:space="preserve">security_test run MB-FW-044-BASIC</t>
  </si>
  <si>
    <t xml:space="preserve">0xfffe (hex)</t>
  </si>
  <si>
    <t xml:space="preserve">MB_CMD_ID_OTP_WRITE_FOR_TEST</t>
  </si>
  <si>
    <t xml:space="preserve">TARGET_TEST_ONLY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</si>
  <si>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otp_write_for_test</t>
    </r>
  </si>
  <si>
    <t xml:space="preserve">MB-FW-052-BASIC</t>
  </si>
  <si>
    <t xml:space="preserve">security_case_mb_fw_052_basic()</t>
  </si>
  <si>
    <t xml:space="preserve">security_test run MB-FW-052-BASIC</t>
  </si>
  <si>
    <t xml:space="preserve">HOST_HEADER_ONLY_CANDIDATE</t>
  </si>
  <si>
    <t xml:space="preserve">0x0003 (hex)</t>
  </si>
  <si>
    <t xml:space="preserve">MB_CMD_ID_SET_UTC_TIME</t>
  </si>
  <si>
    <r>
      <rPr>
        <sz val="10"/>
        <color rgb="FF1F2937"/>
        <rFont val="Noto Sans CJK SC"/>
        <family val="2"/>
      </rPr>
      <t xml:space="preserve">计数器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时间</t>
    </r>
  </si>
  <si>
    <t xml:space="preserve">SCOPE_UNCONFIRMED</t>
  </si>
  <si>
    <t xml:space="preserve">NEEDS_PROFILE_CONFIRMATION</t>
  </si>
  <si>
    <t xml:space="preserve">ASSUMPTION</t>
  </si>
  <si>
    <t xml:space="preserve">NOT_PLANNED</t>
  </si>
  <si>
    <t xml:space="preserve">N/A_UNTIL_APPLICABLE</t>
  </si>
  <si>
    <t xml:space="preserve">UNKNOWN</t>
  </si>
  <si>
    <t xml:space="preserve">NOT_IN_SCOPE</t>
  </si>
  <si>
    <t xml:space="preserve">eHSM Host 2.3.1-4019-2ee044d/src/mb.h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</si>
  <si>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set_utc_time</t>
    </r>
  </si>
  <si>
    <t xml:space="preserve">NOT_PLANNED_HOST_ONLY</t>
  </si>
  <si>
    <t xml:space="preserve">NOT_BUILT</t>
  </si>
  <si>
    <t xml:space="preserve">NOT_APPLICABLE</t>
  </si>
  <si>
    <t xml:space="preserve">0x0004 (hex)</t>
  </si>
  <si>
    <t xml:space="preserve">MB_CMD_ID_GET_UTC_TIME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</si>
  <si>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get_utc_time</t>
    </r>
  </si>
  <si>
    <t xml:space="preserve">0x0010 (hex)</t>
  </si>
  <si>
    <t xml:space="preserve">MB_CMD_ID_CREATE_COUNTER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</si>
  <si>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create_counter</t>
    </r>
  </si>
  <si>
    <t xml:space="preserve">0x0011 (hex)</t>
  </si>
  <si>
    <t xml:space="preserve">MB_CMD_ID_READ_COUNTER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</si>
  <si>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read_counter</t>
    </r>
  </si>
  <si>
    <t xml:space="preserve">0x0012 (hex)</t>
  </si>
  <si>
    <t xml:space="preserve">MB_CMD_ID_INCREASE_COUNTER_VALUE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</si>
  <si>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increase_counter_value</t>
    </r>
  </si>
  <si>
    <t xml:space="preserve">0x0013 (hex)</t>
  </si>
  <si>
    <t xml:space="preserve">MB_CMD_ID_DELETE_COUNTER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</si>
  <si>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delete_counter</t>
    </r>
  </si>
  <si>
    <t xml:space="preserve">0x0040 (hex)</t>
  </si>
  <si>
    <t xml:space="preserve">MB_CMD_ID_SHE_GET_STATUS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</si>
  <si>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she_get_status</t>
    </r>
  </si>
  <si>
    <t xml:space="preserve">0x0060 (hex)</t>
  </si>
  <si>
    <t xml:space="preserve">MB_CMD_ID_SHE_GET_ID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</si>
  <si>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she_get_id</t>
    </r>
  </si>
  <si>
    <t xml:space="preserve">0x0104 (hex)</t>
  </si>
  <si>
    <t xml:space="preserve">MB_CMD_ID_CHACHA_CIPHER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</si>
  <si>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chacha_cipher</t>
    </r>
  </si>
  <si>
    <t xml:space="preserve">0x0701 (hex)</t>
  </si>
  <si>
    <t xml:space="preserve">MB_CMD_ID_SM9_CIPHER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</si>
  <si>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sm9_cipher</t>
    </r>
  </si>
  <si>
    <t xml:space="preserve">0x0702 (hex)</t>
  </si>
  <si>
    <t xml:space="preserve">MB_CMD_ID_SM9_SIGN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</si>
  <si>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sm9_sign</t>
    </r>
  </si>
  <si>
    <t xml:space="preserve">0x070c (hex)</t>
  </si>
  <si>
    <t xml:space="preserve">MB_CMD_ID_EHSM_SM9_EXCHG_KEY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</si>
  <si>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ehsm_sm9_exchg_key</t>
    </r>
  </si>
  <si>
    <t xml:space="preserve">0x0808 (hex)</t>
  </si>
  <si>
    <t xml:space="preserve">MB_CMD_ID_EHSM_SHE_LOAD_KEY_CMD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</si>
  <si>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ehsm_she_load_key_cmd</t>
    </r>
  </si>
  <si>
    <t xml:space="preserve">0x0809 (hex)</t>
  </si>
  <si>
    <t xml:space="preserve">MB_CMD_ID_EHSM_SHE_LOAD_PLAIN_KEY_CMD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</si>
  <si>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ehsm_she_load_plain_key_cmd</t>
    </r>
  </si>
  <si>
    <t xml:space="preserve">0x080a (hex)</t>
  </si>
  <si>
    <t xml:space="preserve">MB_CMD_ID_EHSM_SHE_RAM_KEY_EXPORT_CMD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</si>
  <si>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ehsm_she_ram_key_export_cmd</t>
    </r>
  </si>
  <si>
    <t xml:space="preserve">0x0820 (hex)</t>
  </si>
  <si>
    <t xml:space="preserve">MB_CMD_ID_EHSM_SHE_EXPORT_TOTAL_NVM_KEYS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</si>
  <si>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ehsm_she_export_total_nvm_keys</t>
    </r>
  </si>
  <si>
    <t xml:space="preserve">0x0821 (hex)</t>
  </si>
  <si>
    <t xml:space="preserve">MB_CMD_ID_EHSM_SHE_IMPORT_TOTAL_NVM_KEYS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</si>
  <si>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ehsm_she_import_total_nvm_keys</t>
    </r>
  </si>
  <si>
    <t xml:space="preserve">MB_CMD_ID_DEBUG_AUTH</t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</si>
  <si>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debug_auth</t>
    </r>
  </si>
  <si>
    <r>
      <rPr>
        <b val="true"/>
        <sz val="16"/>
        <color rgb="FFFFFFFF"/>
        <rFont val="Calibri"/>
        <family val="0"/>
        <charset val="1"/>
      </rPr>
      <t xml:space="preserve">Mailbox</t>
    </r>
    <r>
      <rPr>
        <b val="true"/>
        <sz val="16"/>
        <color rgb="FFFFFFFF"/>
        <rFont val="Noto Sans CJK SC"/>
        <family val="2"/>
      </rPr>
      <t xml:space="preserve">基本功能（</t>
    </r>
    <r>
      <rPr>
        <b val="true"/>
        <sz val="16"/>
        <color rgb="FFFFFFFF"/>
        <rFont val="Calibri"/>
        <family val="0"/>
        <charset val="1"/>
      </rPr>
      <t xml:space="preserve">BASIC</t>
    </r>
    <r>
      <rPr>
        <b val="true"/>
        <sz val="16"/>
        <color rgb="FFFFFFFF"/>
        <rFont val="Noto Sans CJK SC"/>
        <family val="2"/>
      </rPr>
      <t xml:space="preserve">）与</t>
    </r>
    <r>
      <rPr>
        <b val="true"/>
        <sz val="16"/>
        <color rgb="FFFFFFFF"/>
        <rFont val="Calibri"/>
        <family val="0"/>
        <charset val="1"/>
      </rPr>
      <t xml:space="preserve">eHSM</t>
    </r>
    <r>
      <rPr>
        <b val="true"/>
        <sz val="16"/>
        <color rgb="FFFFFFFF"/>
        <rFont val="Noto Sans CJK SC"/>
        <family val="2"/>
      </rPr>
      <t xml:space="preserve">负向测试用例</t>
    </r>
  </si>
  <si>
    <r>
      <rPr>
        <b val="true"/>
        <sz val="11"/>
        <color rgb="FFFFFFFF"/>
        <rFont val="Noto Sans CJK SC"/>
        <family val="2"/>
      </rPr>
      <t xml:space="preserve">用例 </t>
    </r>
    <r>
      <rPr>
        <b val="true"/>
        <sz val="11"/>
        <color rgb="FFFFFFFF"/>
        <rFont val="Calibri"/>
        <family val="0"/>
        <charset val="1"/>
      </rPr>
      <t xml:space="preserve">ID</t>
    </r>
  </si>
  <si>
    <t xml:space="preserve">用例类型</t>
  </si>
  <si>
    <t xml:space="preserve">覆盖范围</t>
  </si>
  <si>
    <r>
      <rPr>
        <b val="true"/>
        <sz val="11"/>
        <color rgb="FFFFFFFF"/>
        <rFont val="Noto Sans CJK SC"/>
        <family val="2"/>
      </rPr>
      <t xml:space="preserve">命令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适用命令</t>
    </r>
  </si>
  <si>
    <r>
      <rPr>
        <b val="true"/>
        <sz val="11"/>
        <color rgb="FFFFFFFF"/>
        <rFont val="Noto Sans CJK SC"/>
        <family val="2"/>
      </rPr>
      <t xml:space="preserve">测试点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参数化输入策略</t>
    </r>
  </si>
  <si>
    <t xml:space="preserve">目标</t>
  </si>
  <si>
    <t xml:space="preserve">必要性</t>
  </si>
  <si>
    <t xml:space="preserve">前置条件</t>
  </si>
  <si>
    <t xml:space="preserve">步骤</t>
  </si>
  <si>
    <r>
      <rPr>
        <b val="true"/>
        <sz val="11"/>
        <color rgb="FFFFFFFF"/>
        <rFont val="Noto Sans CJK SC"/>
        <family val="2"/>
      </rPr>
      <t xml:space="preserve">输入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激励</t>
    </r>
  </si>
  <si>
    <t xml:space="preserve">预期结果</t>
  </si>
  <si>
    <t xml:space="preserve">安全判据</t>
  </si>
  <si>
    <t xml:space="preserve">优先级</t>
  </si>
  <si>
    <t xml:space="preserve">验证层级</t>
  </si>
  <si>
    <t xml:space="preserve">波次</t>
  </si>
  <si>
    <t xml:space="preserve">责任人</t>
  </si>
  <si>
    <t xml:space="preserve">执行方式</t>
  </si>
  <si>
    <t xml:space="preserve">准入门禁</t>
  </si>
  <si>
    <r>
      <rPr>
        <b val="true"/>
        <sz val="11"/>
        <color rgb="FFFFFFFF"/>
        <rFont val="Noto Sans CJK SC"/>
        <family val="2"/>
      </rPr>
      <t xml:space="preserve">遗留项</t>
    </r>
    <r>
      <rPr>
        <b val="true"/>
        <sz val="11"/>
        <color rgb="FFFFFFFF"/>
        <rFont val="Calibri"/>
        <family val="0"/>
        <charset val="1"/>
      </rPr>
      <t xml:space="preserve">ID/</t>
    </r>
    <r>
      <rPr>
        <b val="true"/>
        <sz val="11"/>
        <color rgb="FFFFFFFF"/>
        <rFont val="Noto Sans CJK SC"/>
        <family val="2"/>
      </rPr>
      <t xml:space="preserve">说明</t>
    </r>
  </si>
  <si>
    <t xml:space="preserve">COMMAND</t>
  </si>
  <si>
    <r>
      <rPr>
        <sz val="10"/>
        <color rgb="FF1F2937"/>
        <rFont val="Noto Sans CJK SC"/>
        <family val="2"/>
      </rPr>
      <t xml:space="preserve">读取</t>
    </r>
    <r>
      <rPr>
        <sz val="10"/>
        <color rgb="FF1F2937"/>
        <rFont val="Calibri"/>
        <family val="0"/>
        <charset val="1"/>
      </rPr>
      <t xml:space="preserve">eHSM BL</t>
    </r>
    <r>
      <rPr>
        <sz val="10"/>
        <color rgb="FF1F2937"/>
        <rFont val="Noto Sans CJK SC"/>
        <family val="2"/>
      </rPr>
      <t xml:space="preserve">版本；检查真实</t>
    </r>
    <r>
      <rPr>
        <sz val="10"/>
        <color rgb="FF1F2937"/>
        <rFont val="Calibri"/>
        <family val="0"/>
        <charset val="1"/>
      </rPr>
      <t xml:space="preserve">typed API</t>
    </r>
    <r>
      <rPr>
        <sz val="10"/>
        <color rgb="FF1F2937"/>
        <rFont val="Noto Sans CJK SC"/>
        <family val="2"/>
      </rPr>
      <t xml:space="preserve">返回、版本输出和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阶段连续事务</t>
    </r>
  </si>
  <si>
    <r>
      <rPr>
        <sz val="10"/>
        <color rgb="FF1F2937"/>
        <rFont val="Noto Sans CJK SC"/>
        <family val="2"/>
      </rPr>
      <t xml:space="preserve">验证合法请求能够按命令合同完成，原始返回、输出和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事务闭环一致</t>
    </r>
  </si>
  <si>
    <t xml:space="preserve">每条适用命令的流片前功能冒烟基线；不代表拒绝路径已经验证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</si>
  <si>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</si>
  <si>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security_case_mb_bl_001_basic()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</si>
  <si>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真实</t>
    </r>
    <r>
      <rPr>
        <sz val="10"/>
        <color rgb="FF1F2937"/>
        <rFont val="Calibri"/>
        <family val="0"/>
        <charset val="1"/>
      </rPr>
      <t xml:space="preserve">typed API</t>
    </r>
    <r>
      <rPr>
        <sz val="10"/>
        <color rgb="FF1F2937"/>
        <rFont val="Noto Sans CJK SC"/>
        <family val="2"/>
      </rPr>
      <t xml:space="preserve">返回、输出长度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内容、允许副作用、清理及后续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健康状态全部符合批准</t>
    </r>
    <r>
      <rPr>
        <sz val="10"/>
        <color rgb="FF1F2937"/>
        <rFont val="Calibri"/>
        <family val="0"/>
        <charset val="1"/>
      </rPr>
      <t xml:space="preserve">Expected</t>
    </r>
    <r>
      <rPr>
        <sz val="10"/>
        <color rgb="FF1F2937"/>
        <rFont val="Noto Sans CJK SC"/>
        <family val="2"/>
      </rPr>
      <t xml:space="preserve">；明确不匹配</t>
    </r>
    <r>
      <rPr>
        <sz val="10"/>
        <color rgb="FF1F2937"/>
        <rFont val="Calibri"/>
        <family val="0"/>
        <charset val="1"/>
      </rPr>
      <t xml:space="preserve">FAIL</t>
    </r>
    <r>
      <rPr>
        <sz val="10"/>
        <color rgb="FF1F2937"/>
        <rFont val="Noto Sans CJK SC"/>
        <family val="2"/>
      </rPr>
      <t xml:space="preserve">，必要事实缺失或</t>
    </r>
    <r>
      <rPr>
        <sz val="10"/>
        <color rgb="FF1F2937"/>
        <rFont val="Calibri"/>
        <family val="0"/>
        <charset val="1"/>
      </rPr>
      <t xml:space="preserve">transaction</t>
    </r>
    <r>
      <rPr>
        <sz val="10"/>
        <color rgb="FF1F2937"/>
        <rFont val="Noto Sans CJK SC"/>
        <family val="2"/>
      </rPr>
      <t xml:space="preserve">状态未知</t>
    </r>
    <r>
      <rPr>
        <sz val="10"/>
        <color rgb="FF1F2937"/>
        <rFont val="Calibri"/>
        <family val="0"/>
        <charset val="1"/>
      </rPr>
      <t xml:space="preserve">INCONCLUSIVE</t>
    </r>
  </si>
  <si>
    <r>
      <rPr>
        <sz val="10"/>
        <color rgb="FF1F2937"/>
        <rFont val="Noto Sans CJK SC"/>
        <family val="2"/>
      </rPr>
      <t xml:space="preserve">只依据真实</t>
    </r>
    <r>
      <rPr>
        <sz val="10"/>
        <color rgb="FF1F2937"/>
        <rFont val="Calibri"/>
        <family val="0"/>
        <charset val="1"/>
      </rPr>
      <t xml:space="preserve">Mailbox response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typed API</t>
    </r>
    <r>
      <rPr>
        <sz val="10"/>
        <color rgb="FF1F2937"/>
        <rFont val="Noto Sans CJK SC"/>
        <family val="2"/>
      </rPr>
      <t xml:space="preserve">返回、完整输出</t>
    </r>
    <r>
      <rPr>
        <sz val="10"/>
        <color rgb="FF1F2937"/>
        <rFont val="Calibri"/>
        <family val="0"/>
        <charset val="1"/>
      </rPr>
      <t xml:space="preserve">/verify flag</t>
    </r>
    <r>
      <rPr>
        <sz val="10"/>
        <color rgb="FF1F2937"/>
        <rFont val="Noto Sans CJK SC"/>
        <family val="2"/>
      </rPr>
      <t xml:space="preserve">、可观测副作用和清理结果判定；参考</t>
    </r>
    <r>
      <rPr>
        <sz val="10"/>
        <color rgb="FF1F2937"/>
        <rFont val="Calibri"/>
        <family val="0"/>
        <charset val="1"/>
      </rPr>
      <t xml:space="preserve">Demo</t>
    </r>
    <r>
      <rPr>
        <sz val="10"/>
        <color rgb="FF1F2937"/>
        <rFont val="Noto Sans CJK SC"/>
        <family val="2"/>
      </rPr>
      <t xml:space="preserve">日志、构建成功或未观察到错误均不能替代目标</t>
    </r>
    <r>
      <rPr>
        <sz val="10"/>
        <color rgb="FF1F2937"/>
        <rFont val="Calibri"/>
        <family val="0"/>
        <charset val="1"/>
      </rPr>
      <t xml:space="preserve">PASS</t>
    </r>
  </si>
  <si>
    <t xml:space="preserve">P0</t>
  </si>
  <si>
    <t xml:space="preserve">WAVE0_DAY0_SMOKE</t>
  </si>
  <si>
    <t xml:space="preserve">GSP</t>
  </si>
  <si>
    <t xml:space="preserve">CMD_SINGLE_CASE</t>
  </si>
  <si>
    <t xml:space="preserve">READY_AFTER_BASELINE</t>
  </si>
  <si>
    <t xml:space="preserve">eHSM BL 2.3.5-4019-72f8fdc/inc/mb.h; SRC-0018; Host API/TRM; TASK-SEC-BAREMETAL-EHSM-001</t>
  </si>
  <si>
    <t xml:space="preserve">OTP UID double-read + Profile content oracle; PRELOADED match PASS, mismatch FAIL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</si>
  <si>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合同有效；构建时明确</t>
    </r>
    <r>
      <rPr>
        <sz val="10"/>
        <color rgb="FF1F2937"/>
        <rFont val="Calibri"/>
        <family val="0"/>
        <charset val="1"/>
      </rPr>
      <t xml:space="preserve">SECURITY_OTP_PRELOADED=0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1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</si>
  <si>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security_case_mb_bl_002_basic()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</si>
  <si>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两个</t>
    </r>
    <r>
      <rPr>
        <sz val="10"/>
        <color rgb="FF1F2937"/>
        <rFont val="Calibri"/>
        <family val="0"/>
        <charset val="1"/>
      </rPr>
      <t xml:space="preserve">Profile</t>
    </r>
    <r>
      <rPr>
        <sz val="10"/>
        <color rgb="FF1F2937"/>
        <rFont val="Noto Sans CJK SC"/>
        <family val="2"/>
      </rPr>
      <t xml:space="preserve">都要求真实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双读成功、结果稳定且输出被覆写；</t>
    </r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还必须匹配批准的</t>
    </r>
    <r>
      <rPr>
        <sz val="10"/>
        <color rgb="FF1F2937"/>
        <rFont val="Calibri"/>
        <family val="0"/>
        <charset val="1"/>
      </rPr>
      <t xml:space="preserve">20-byte UID Expected</t>
    </r>
    <r>
      <rPr>
        <sz val="10"/>
        <color rgb="FF1F2937"/>
        <rFont val="Noto Sans CJK SC"/>
        <family val="2"/>
      </rPr>
      <t xml:space="preserve">，匹配</t>
    </r>
    <r>
      <rPr>
        <sz val="10"/>
        <color rgb="FF1F2937"/>
        <rFont val="Calibri"/>
        <family val="0"/>
        <charset val="1"/>
      </rPr>
      <t xml:space="preserve">SUCCESS</t>
    </r>
    <r>
      <rPr>
        <sz val="10"/>
        <color rgb="FF1F2937"/>
        <rFont val="Noto Sans CJK SC"/>
        <family val="2"/>
      </rPr>
      <t xml:space="preserve">、不匹配</t>
    </r>
    <r>
      <rPr>
        <sz val="10"/>
        <color rgb="FF1F2937"/>
        <rFont val="Calibri"/>
        <family val="0"/>
        <charset val="1"/>
      </rPr>
      <t xml:space="preserve">FAIL</t>
    </r>
  </si>
  <si>
    <t xml:space="preserve">WAVE1_ROOT_OF_TRUST</t>
  </si>
  <si>
    <t xml:space="preserve">EHSM-MAP-004; EHSM-OTP-002</t>
  </si>
  <si>
    <t xml:space="preserve">write eHSM counter word 0 at `BASE+0x050`, then Mailbox readback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</si>
  <si>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合同有效；使用获批可恢复</t>
    </r>
    <r>
      <rPr>
        <sz val="10"/>
        <color rgb="FF1F2937"/>
        <rFont val="Calibri"/>
        <family val="0"/>
        <charset val="1"/>
      </rPr>
      <t xml:space="preserve">EMU/FPGA TEST</t>
    </r>
    <r>
      <rPr>
        <sz val="10"/>
        <color rgb="FF1F2937"/>
        <rFont val="Noto Sans CJK SC"/>
        <family val="2"/>
      </rPr>
      <t xml:space="preserve">资源及</t>
    </r>
    <r>
      <rPr>
        <sz val="10"/>
        <color rgb="FF1F2937"/>
        <rFont val="Calibri"/>
        <family val="0"/>
        <charset val="1"/>
      </rPr>
      <t xml:space="preserve">fresh/reloaded</t>
    </r>
    <r>
      <rPr>
        <sz val="10"/>
        <color rgb="FF1F2937"/>
        <rFont val="Noto Sans CJK SC"/>
        <family val="2"/>
      </rPr>
      <t xml:space="preserve">初态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</si>
  <si>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security_case_mb_bl_003_basic()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</si>
  <si>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写入批准</t>
    </r>
    <r>
      <rPr>
        <sz val="10"/>
        <color rgb="FF1F2937"/>
        <rFont val="Calibri"/>
        <family val="0"/>
        <charset val="1"/>
      </rPr>
      <t xml:space="preserve">counter word</t>
    </r>
    <r>
      <rPr>
        <sz val="10"/>
        <color rgb="FF1F2937"/>
        <rFont val="Noto Sans CJK SC"/>
        <family val="2"/>
      </rPr>
      <t xml:space="preserve">后立即读回并逐字节一致；</t>
    </r>
    <r>
      <rPr>
        <sz val="10"/>
        <color rgb="FF1F2937"/>
        <rFont val="Calibri"/>
        <family val="0"/>
        <charset val="1"/>
      </rPr>
      <t xml:space="preserve">timeout</t>
    </r>
    <r>
      <rPr>
        <sz val="10"/>
        <color rgb="FF1F2937"/>
        <rFont val="Noto Sans CJK SC"/>
        <family val="2"/>
      </rPr>
      <t xml:space="preserve">不得重试；两个</t>
    </r>
    <r>
      <rPr>
        <sz val="10"/>
        <color rgb="FF1F2937"/>
        <rFont val="Calibri"/>
        <family val="0"/>
        <charset val="1"/>
      </rPr>
      <t xml:space="preserve">OTP Profile</t>
    </r>
    <r>
      <rPr>
        <sz val="10"/>
        <color rgb="FF1F2937"/>
        <rFont val="Noto Sans CJK SC"/>
        <family val="2"/>
      </rPr>
      <t xml:space="preserve">使用相同写入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读回判据</t>
    </r>
  </si>
  <si>
    <t xml:space="preserve">NEEDS_DEDICATED_FIXTURE_AND_APPROVAL</t>
  </si>
  <si>
    <t xml:space="preserve">EHSM-MAP-004; EHSM-OTP-001</t>
  </si>
  <si>
    <t xml:space="preserve">double-read eHSM AHB CFG `0x33400050` (window `0x33400000`–`0x334fffff`)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</si>
  <si>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security_case_mb_bl_004_basic()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</si>
  <si>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在</t>
    </r>
    <r>
      <rPr>
        <sz val="10"/>
        <color rgb="FF1F2937"/>
        <rFont val="Calibri"/>
        <family val="0"/>
        <charset val="1"/>
      </rPr>
      <t xml:space="preserve">0x33400000–0x334fffff</t>
    </r>
    <r>
      <rPr>
        <sz val="10"/>
        <color rgb="FF1F2937"/>
        <rFont val="Noto Sans CJK SC"/>
        <family val="2"/>
      </rPr>
      <t xml:space="preserve">确认窗口内双读代表地址，</t>
    </r>
    <r>
      <rPr>
        <sz val="10"/>
        <color rgb="FF1F2937"/>
        <rFont val="Calibri"/>
        <family val="0"/>
        <charset val="1"/>
      </rPr>
      <t xml:space="preserve">API</t>
    </r>
    <r>
      <rPr>
        <sz val="10"/>
        <color rgb="FF1F2937"/>
        <rFont val="Noto Sans CJK SC"/>
        <family val="2"/>
      </rPr>
      <t xml:space="preserve">均成功且结果稳定；不得混同</t>
    </r>
    <r>
      <rPr>
        <sz val="10"/>
        <color rgb="FF1F2937"/>
        <rFont val="Calibri"/>
        <family val="0"/>
        <charset val="1"/>
      </rPr>
      <t xml:space="preserve">GSP HSM status map</t>
    </r>
  </si>
  <si>
    <t xml:space="preserve">WAVE4_CRYPTO_COMPAT_VENDOR</t>
  </si>
  <si>
    <t xml:space="preserve">EHSM-PROFILE-001</t>
  </si>
  <si>
    <t xml:space="preserve">backup-write-readback-restore-verify eHSM AHB CFG `0x33400050`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</si>
  <si>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security_case_mb_bl_005_basic()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</si>
  <si>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备份、写入、真实回读、恢复及恢复回读全部成功并一致；任一恢复失败不得</t>
    </r>
    <r>
      <rPr>
        <sz val="10"/>
        <color rgb="FF1F2937"/>
        <rFont val="Calibri"/>
        <family val="0"/>
        <charset val="1"/>
      </rPr>
      <t xml:space="preserve">PASS</t>
    </r>
  </si>
  <si>
    <t xml:space="preserve">upgrade image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</si>
  <si>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合同有效；使用获批可恢复</t>
    </r>
    <r>
      <rPr>
        <sz val="10"/>
        <color rgb="FF1F2937"/>
        <rFont val="Calibri"/>
        <family val="0"/>
        <charset val="1"/>
      </rPr>
      <t xml:space="preserve">EMU/FPGA TEST</t>
    </r>
    <r>
      <rPr>
        <sz val="10"/>
        <color rgb="FF1F2937"/>
        <rFont val="Noto Sans CJK SC"/>
        <family val="2"/>
      </rPr>
      <t xml:space="preserve">资源及</t>
    </r>
    <r>
      <rPr>
        <sz val="10"/>
        <color rgb="FF1F2937"/>
        <rFont val="Calibri"/>
        <family val="0"/>
        <charset val="1"/>
      </rPr>
      <t xml:space="preserve">fresh/reloaded</t>
    </r>
    <r>
      <rPr>
        <sz val="10"/>
        <color rgb="FF1F2937"/>
        <rFont val="Noto Sans CJK SC"/>
        <family val="2"/>
      </rPr>
      <t xml:space="preserve">初态；升级镜像、提交和恢复合同尚未补齐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</si>
  <si>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security_case_mb_bl_006_basic()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</si>
  <si>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当前在发送升级命令前返回</t>
    </r>
    <r>
      <rPr>
        <sz val="10"/>
        <color rgb="FF1F2937"/>
        <rFont val="Calibri"/>
        <family val="0"/>
        <charset val="1"/>
      </rPr>
      <t xml:space="preserve">INCONCLUSIVE/</t>
    </r>
    <r>
      <rPr>
        <sz val="10"/>
        <color rgb="FF1F2937"/>
        <rFont val="Noto Sans CJK SC"/>
        <family val="2"/>
      </rPr>
      <t xml:space="preserve">门禁原因；补齐升级镜像、提交和恢复合同前不得形成</t>
    </r>
    <r>
      <rPr>
        <sz val="10"/>
        <color rgb="FF1F2937"/>
        <rFont val="Calibri"/>
        <family val="0"/>
        <charset val="1"/>
      </rPr>
      <t xml:space="preserve">PASS</t>
    </r>
  </si>
  <si>
    <t xml:space="preserve">EHSM-IMAGE-001</t>
  </si>
  <si>
    <t xml:space="preserve">Type 1 reference SoC image, `check_version=0`, dual-profile oracle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</si>
  <si>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合同有效；构建时明确</t>
    </r>
    <r>
      <rPr>
        <sz val="10"/>
        <color rgb="FF1F2937"/>
        <rFont val="Calibri"/>
        <family val="0"/>
        <charset val="1"/>
      </rPr>
      <t xml:space="preserve">SECURITY_OTP_PRELOADED=0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正向执行需匹配</t>
    </r>
    <r>
      <rPr>
        <sz val="10"/>
        <color rgb="FF1F2937"/>
        <rFont val="Calibri"/>
        <family val="0"/>
        <charset val="1"/>
      </rPr>
      <t xml:space="preserve">fixture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eHSM Key map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load receipt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</si>
  <si>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security_case_mb_bl_007_basic()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</si>
  <si>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按工作簿正向</t>
    </r>
    <r>
      <rPr>
        <sz val="10"/>
        <color rgb="FF1F2937"/>
        <rFont val="Calibri"/>
        <family val="0"/>
        <charset val="1"/>
      </rPr>
      <t xml:space="preserve">oracle</t>
    </r>
    <r>
      <rPr>
        <sz val="10"/>
        <color rgb="FF1F2937"/>
        <rFont val="Noto Sans CJK SC"/>
        <family val="2"/>
      </rPr>
      <t xml:space="preserve">要求</t>
    </r>
    <r>
      <rPr>
        <sz val="10"/>
        <color rgb="FF1F2937"/>
        <rFont val="Calibri"/>
        <family val="0"/>
        <charset val="1"/>
      </rPr>
      <t xml:space="preserve">API</t>
    </r>
    <r>
      <rPr>
        <sz val="10"/>
        <color rgb="FF1F2937"/>
        <rFont val="Noto Sans CJK SC"/>
        <family val="2"/>
      </rPr>
      <t xml:space="preserve">、输出、验签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状态及允许副作用全部正确；</t>
    </r>
    <r>
      <rPr>
        <sz val="10"/>
        <color rgb="FF1F2937"/>
        <rFont val="Calibri"/>
        <family val="0"/>
        <charset val="1"/>
      </rPr>
      <t xml:space="preserve">UNPROVISIONED</t>
    </r>
    <r>
      <rPr>
        <sz val="10"/>
        <color rgb="FF1F2937"/>
        <rFont val="Noto Sans CJK SC"/>
        <family val="2"/>
      </rPr>
      <t xml:space="preserve">只接受已确认的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功能性拒绝，意外成功</t>
    </r>
    <r>
      <rPr>
        <sz val="10"/>
        <color rgb="FF1F2937"/>
        <rFont val="Calibri"/>
        <family val="0"/>
        <charset val="1"/>
      </rPr>
      <t xml:space="preserve">FAIL</t>
    </r>
    <r>
      <rPr>
        <sz val="10"/>
        <color rgb="FF1F2937"/>
        <rFont val="Noto Sans CJK SC"/>
        <family val="2"/>
      </rPr>
      <t xml:space="preserve">，来源或副作用未知</t>
    </r>
    <r>
      <rPr>
        <sz val="10"/>
        <color rgb="FF1F2937"/>
        <rFont val="Calibri"/>
        <family val="0"/>
        <charset val="1"/>
      </rPr>
      <t xml:space="preserve">INCONCLUSIVE</t>
    </r>
  </si>
  <si>
    <t xml:space="preserve">EHSM-IMAGE-001; EHSM-OTP-003</t>
  </si>
  <si>
    <t xml:space="preserve">dual-profile root-key oracle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</si>
  <si>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合同有效；构建时明确</t>
    </r>
    <r>
      <rPr>
        <sz val="10"/>
        <color rgb="FF1F2937"/>
        <rFont val="Calibri"/>
        <family val="0"/>
        <charset val="1"/>
      </rPr>
      <t xml:space="preserve">SECURITY_OTP_PRELOADED=0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正向执行需匹配</t>
    </r>
    <r>
      <rPr>
        <sz val="10"/>
        <color rgb="FF1F2937"/>
        <rFont val="Calibri"/>
        <family val="0"/>
        <charset val="1"/>
      </rPr>
      <t xml:space="preserve">fixture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eHSM Key map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load receipt</t>
    </r>
    <r>
      <rPr>
        <sz val="10"/>
        <color rgb="FF1F2937"/>
        <rFont val="Noto Sans CJK SC"/>
        <family val="2"/>
      </rPr>
      <t xml:space="preserve">；使用获批可恢复</t>
    </r>
    <r>
      <rPr>
        <sz val="10"/>
        <color rgb="FF1F2937"/>
        <rFont val="Calibri"/>
        <family val="0"/>
        <charset val="1"/>
      </rPr>
      <t xml:space="preserve">EMU/FPGA TEST</t>
    </r>
    <r>
      <rPr>
        <sz val="10"/>
        <color rgb="FF1F2937"/>
        <rFont val="Noto Sans CJK SC"/>
        <family val="2"/>
      </rPr>
      <t xml:space="preserve">资源及</t>
    </r>
    <r>
      <rPr>
        <sz val="10"/>
        <color rgb="FF1F2937"/>
        <rFont val="Calibri"/>
        <family val="0"/>
        <charset val="1"/>
      </rPr>
      <t xml:space="preserve">fresh/reloaded</t>
    </r>
    <r>
      <rPr>
        <sz val="10"/>
        <color rgb="FF1F2937"/>
        <rFont val="Noto Sans CJK SC"/>
        <family val="2"/>
      </rPr>
      <t xml:space="preserve">初态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</si>
  <si>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security_case_mb_bl_008_basic()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</si>
  <si>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WAVE2_IDENTITY_KEY_PERMISSION</t>
  </si>
  <si>
    <t xml:space="preserve">EHSM-OTP-003; EHSM-VECTOR-001</t>
  </si>
  <si>
    <t xml:space="preserve">encrypted-key vector + dual-profile oracle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</si>
  <si>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security_case_mb_bl_009_basic()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</si>
  <si>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获取</t>
    </r>
    <r>
      <rPr>
        <sz val="10"/>
        <color rgb="FF1F2937"/>
        <rFont val="Calibri"/>
        <family val="0"/>
        <charset val="1"/>
      </rPr>
      <t xml:space="preserve">48-byte Debug Auth challenge</t>
    </r>
    <r>
      <rPr>
        <sz val="10"/>
        <color rgb="FF1F2937"/>
        <rFont val="Noto Sans CJK SC"/>
        <family val="2"/>
      </rPr>
      <t xml:space="preserve">；检查返回成功、输出被真实覆写和长度正确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</si>
  <si>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security_case_mb_bl_010_basic()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</si>
  <si>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P-256 </t>
    </r>
    <r>
      <rPr>
        <sz val="10"/>
        <color rgb="FF1F2937"/>
        <rFont val="Noto Sans CJK SC"/>
        <family val="2"/>
      </rPr>
      <t xml:space="preserve">或 </t>
    </r>
    <r>
      <rPr>
        <sz val="10"/>
        <color rgb="FF1F2937"/>
        <rFont val="Calibri"/>
        <family val="0"/>
        <charset val="1"/>
      </rPr>
      <t xml:space="preserve">SM2 challenge-response</t>
    </r>
    <r>
      <rPr>
        <sz val="10"/>
        <color rgb="FF1F2937"/>
        <rFont val="Noto Sans CJK SC"/>
        <family val="2"/>
      </rPr>
      <t xml:space="preserve">；由 </t>
    </r>
    <r>
      <rPr>
        <sz val="10"/>
        <color rgb="FF1F2937"/>
        <rFont val="Calibri"/>
        <family val="0"/>
        <charset val="1"/>
      </rPr>
      <t xml:space="preserve">`SECURITY_DEBUG_AUTH_PROFILE` </t>
    </r>
    <r>
      <rPr>
        <sz val="10"/>
        <color rgb="FF1F2937"/>
        <rFont val="Noto Sans CJK SC"/>
        <family val="2"/>
      </rPr>
      <t xml:space="preserve">与 </t>
    </r>
    <r>
      <rPr>
        <sz val="10"/>
        <color rgb="FF1F2937"/>
        <rFont val="Calibri"/>
        <family val="0"/>
        <charset val="1"/>
      </rPr>
      <t xml:space="preserve">slot 3 fixture </t>
    </r>
    <r>
      <rPr>
        <sz val="10"/>
        <color rgb="FF1F2937"/>
        <rFont val="Noto Sans CJK SC"/>
        <family val="2"/>
      </rPr>
      <t xml:space="preserve">绑定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</si>
  <si>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security_case_mb_bl_011_basic()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</si>
  <si>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close-debug + stage health query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</si>
  <si>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security_case_mb_bl_012_basic()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</si>
  <si>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EHSM-RECOVERY-001</t>
  </si>
  <si>
    <t xml:space="preserve">UART divider 6076 + stage health query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</si>
  <si>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security_case_mb_bl_013_basic()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</si>
  <si>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启动</t>
    </r>
    <r>
      <rPr>
        <sz val="10"/>
        <color rgb="FF1F2937"/>
        <rFont val="Calibri"/>
        <family val="0"/>
        <charset val="1"/>
      </rPr>
      <t xml:space="preserve">BL self-test</t>
    </r>
    <r>
      <rPr>
        <sz val="10"/>
        <color rgb="FF1F2937"/>
        <rFont val="Noto Sans CJK SC"/>
        <family val="2"/>
      </rPr>
      <t xml:space="preserve">；检查命令返回并保持后续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事务可用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</si>
  <si>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security_case_mb_bl_014_basic()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</si>
  <si>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读取</t>
    </r>
    <r>
      <rPr>
        <sz val="10"/>
        <color rgb="FF1F2937"/>
        <rFont val="Calibri"/>
        <family val="0"/>
        <charset val="1"/>
      </rPr>
      <t xml:space="preserve">BL self-test</t>
    </r>
    <r>
      <rPr>
        <sz val="10"/>
        <color rgb="FF1F2937"/>
        <rFont val="Noto Sans CJK SC"/>
        <family val="2"/>
      </rPr>
      <t xml:space="preserve">结果；检查返回、状态字段和后续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</si>
  <si>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security_case_mb_bl_015_basic()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</si>
  <si>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3 vectors × enc/dec × one-pass/stepwise × key-handle/plain-key = 24 Mailbox paths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</si>
  <si>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</si>
  <si>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security_case_mb_fw_016_basic()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</si>
  <si>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本行列出的全部参数化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子路径均满足</t>
    </r>
    <r>
      <rPr>
        <sz val="10"/>
        <color rgb="FF1F2937"/>
        <rFont val="Calibri"/>
        <family val="0"/>
        <charset val="1"/>
      </rPr>
      <t xml:space="preserve">API</t>
    </r>
    <r>
      <rPr>
        <sz val="10"/>
        <color rgb="FF1F2937"/>
        <rFont val="Noto Sans CJK SC"/>
        <family val="2"/>
      </rPr>
      <t xml:space="preserve">返回、长度、完整向量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闭环、</t>
    </r>
    <r>
      <rPr>
        <sz val="10"/>
        <color rgb="FF1F2937"/>
        <rFont val="Calibri"/>
        <family val="0"/>
        <charset val="1"/>
      </rPr>
      <t xml:space="preserve">verify flag</t>
    </r>
    <r>
      <rPr>
        <sz val="10"/>
        <color rgb="FF1F2937"/>
        <rFont val="Noto Sans CJK SC"/>
        <family val="2"/>
      </rPr>
      <t xml:space="preserve">和临时</t>
    </r>
    <r>
      <rPr>
        <sz val="10"/>
        <color rgb="FF1F2937"/>
        <rFont val="Calibri"/>
        <family val="0"/>
        <charset val="1"/>
      </rPr>
      <t xml:space="preserve">key</t>
    </r>
    <r>
      <rPr>
        <sz val="10"/>
        <color rgb="FF1F2937"/>
        <rFont val="Noto Sans CJK SC"/>
        <family val="2"/>
      </rPr>
      <t xml:space="preserve">清理；任一路径失败整条</t>
    </r>
    <r>
      <rPr>
        <sz val="10"/>
        <color rgb="FF1F2937"/>
        <rFont val="Calibri"/>
        <family val="0"/>
        <charset val="1"/>
      </rPr>
      <t xml:space="preserve">case</t>
    </r>
    <r>
      <rPr>
        <sz val="10"/>
        <color rgb="FF1F2937"/>
        <rFont val="Noto Sans CJK SC"/>
        <family val="2"/>
      </rPr>
      <t xml:space="preserve">非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，固定</t>
    </r>
    <r>
      <rPr>
        <sz val="10"/>
        <color rgb="FF1F2937"/>
        <rFont val="Calibri"/>
        <family val="0"/>
        <charset val="1"/>
      </rPr>
      <t xml:space="preserve">handle</t>
    </r>
    <r>
      <rPr>
        <sz val="10"/>
        <color rgb="FF1F2937"/>
        <rFont val="Noto Sans CJK SC"/>
        <family val="2"/>
      </rPr>
      <t xml:space="preserve">状态未知时</t>
    </r>
    <r>
      <rPr>
        <sz val="10"/>
        <color rgb="FF1F2937"/>
        <rFont val="Calibri"/>
        <family val="0"/>
        <charset val="1"/>
      </rPr>
      <t xml:space="preserve">quarantine</t>
    </r>
    <r>
      <rPr>
        <sz val="10"/>
        <color rgb="FF1F2937"/>
        <rFont val="Noto Sans CJK SC"/>
        <family val="2"/>
      </rPr>
      <t xml:space="preserve">并</t>
    </r>
    <r>
      <rPr>
        <sz val="10"/>
        <color rgb="FF1F2937"/>
        <rFont val="Calibri"/>
        <family val="0"/>
        <charset val="1"/>
      </rPr>
      <t xml:space="preserve">INCONCLUSIVE</t>
    </r>
  </si>
  <si>
    <t xml:space="preserve">eHSM FW 2.3.3-4019-6234423/inc/mb.h; SRC-0018; Host API/TRM; TASK-SEC-BAREMETAL-EHSM-001</t>
  </si>
  <si>
    <t xml:space="preserve">EHSM-BASELINE-001</t>
  </si>
  <si>
    <t xml:space="preserve">AES-128-GCM: enc/dec × one-pass/stepwise × key-handle/plain-key = 8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</si>
  <si>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security_case_mb_fw_017_basic()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</si>
  <si>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SM4-CCM: enc/dec × one-pass/stepwise × key-handle/plain-key = 8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</si>
  <si>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security_case_mb_fw_018_basic()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</si>
  <si>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SHA-256 one-pass + stepwise (10/70/16 bytes)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</si>
  <si>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security_case_mb_fw_019_basic()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</si>
  <si>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HMAC-SHA-256: gen/verify × one-pass/stepwise × key-handle/plain-key = 8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</si>
  <si>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security_case_mb_fw_020_basic()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</si>
  <si>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AES128-CMAC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AES256-CBCMAC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SM4-GMAC</t>
    </r>
    <r>
      <rPr>
        <sz val="10"/>
        <color rgb="FF1F2937"/>
        <rFont val="Noto Sans CJK SC"/>
        <family val="2"/>
      </rPr>
      <t xml:space="preserve">，各执行 </t>
    </r>
    <r>
      <rPr>
        <sz val="10"/>
        <color rgb="FF1F2937"/>
        <rFont val="Calibri"/>
        <family val="0"/>
        <charset val="1"/>
      </rPr>
      <t xml:space="preserve">8-path matrix = 24 paths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</si>
  <si>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security_case_mb_fw_021_basic()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</si>
  <si>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SM2 fixed decrypt + encrypt/decrypt closure × key-handle/plain-key = 4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</si>
  <si>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security_case_mb_fw_022_basic()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</si>
  <si>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SM2: fixed verify/generated reverify × one-pass/stepwise × key-handle/plain-key = 8 Mailbox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</si>
  <si>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security_case_mb_fw_023_basic()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</si>
  <si>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RSA1024 normal/CRT × fixed decrypt/encrypt × key-handle/plain-key = 8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</si>
  <si>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security_case_mb_fw_024_basic()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</si>
  <si>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RSA1024 normal/CRT × NONE/PSS × SHA1/SHA256: 4 vectors × 8 = 32 Mailbox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</si>
  <si>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security_case_mb_fw_025_basic()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</si>
  <si>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ECDSA P-256: fixed verify/generated reverify × one-pass/stepwise × key-handle/plain-key = 8 Mailbox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</si>
  <si>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security_case_mb_fw_026_basic()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</si>
  <si>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AES/SM4 CTR-DRBG × 1/128/129/1024-byte = 8 paths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</si>
  <si>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security_case_mb_fw_027_basic()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</si>
  <si>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write eHSM counter word 1 at `BASE+0x054` + readback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</si>
  <si>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合同有效；使用获批可恢复</t>
    </r>
    <r>
      <rPr>
        <sz val="10"/>
        <color rgb="FF1F2937"/>
        <rFont val="Calibri"/>
        <family val="0"/>
        <charset val="1"/>
      </rPr>
      <t xml:space="preserve">EMU/FPGA TEST</t>
    </r>
    <r>
      <rPr>
        <sz val="10"/>
        <color rgb="FF1F2937"/>
        <rFont val="Noto Sans CJK SC"/>
        <family val="2"/>
      </rPr>
      <t xml:space="preserve">资源及</t>
    </r>
    <r>
      <rPr>
        <sz val="10"/>
        <color rgb="FF1F2937"/>
        <rFont val="Calibri"/>
        <family val="0"/>
        <charset val="1"/>
      </rPr>
      <t xml:space="preserve">fresh/reloaded</t>
    </r>
    <r>
      <rPr>
        <sz val="10"/>
        <color rgb="FF1F2937"/>
        <rFont val="Noto Sans CJK SC"/>
        <family val="2"/>
      </rPr>
      <t xml:space="preserve">初态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</si>
  <si>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security_case_mb_fw_028_basic()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</si>
  <si>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EHSM-BASELINE-001; EHSM-MAP-004; EHSM-OTP-001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</si>
  <si>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合同有效；构建时明确</t>
    </r>
    <r>
      <rPr>
        <sz val="10"/>
        <color rgb="FF1F2937"/>
        <rFont val="Calibri"/>
        <family val="0"/>
        <charset val="1"/>
      </rPr>
      <t xml:space="preserve">SECURITY_OTP_PRELOADED=0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1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</si>
  <si>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security_case_mb_fw_029_basic()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</si>
  <si>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EHSM-BASELINE-001; EHSM-MAP-004; EHSM-OTP-002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</si>
  <si>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security_case_mb_fw_030_basic()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</si>
  <si>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合同有效；构建时明确</t>
    </r>
    <r>
      <rPr>
        <sz val="10"/>
        <color rgb="FF1F2937"/>
        <rFont val="Calibri"/>
        <family val="0"/>
        <charset val="1"/>
      </rPr>
      <t xml:space="preserve">SECURITY_OTP_PRELOADED=0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正向执行需匹配</t>
    </r>
    <r>
      <rPr>
        <sz val="10"/>
        <color rgb="FF1F2937"/>
        <rFont val="Calibri"/>
        <family val="0"/>
        <charset val="1"/>
      </rPr>
      <t xml:space="preserve">fixture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eHSM Key map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load receipt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</si>
  <si>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security_case_mb_fw_031_basic()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</si>
  <si>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EHSM-BASELINE-001; EHSM-OTP-003; EHSM-VECTOR-001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</si>
  <si>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security_case_mb_fw_032_basic()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</si>
  <si>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EHSM-BASELINE-001; EHSM-RECOVERY-001</t>
  </si>
  <si>
    <t xml:space="preserve">5120-byte Type 1 upgrade image + dual-profile oracle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</si>
  <si>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处于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阶段；首次</t>
    </r>
    <r>
      <rPr>
        <sz val="10"/>
        <color rgb="FF1F2937"/>
        <rFont val="Calibri"/>
        <family val="0"/>
        <charset val="1"/>
      </rPr>
      <t xml:space="preserve">runtime</t>
    </r>
    <r>
      <rPr>
        <sz val="10"/>
        <color rgb="FF1F2937"/>
        <rFont val="Noto Sans CJK SC"/>
        <family val="2"/>
      </rPr>
      <t xml:space="preserve">初始化成功；</t>
    </r>
    <r>
      <rPr>
        <sz val="10"/>
        <color rgb="FF1F2937"/>
        <rFont val="Calibri"/>
        <family val="0"/>
        <charset val="1"/>
      </rPr>
      <t xml:space="preserve">service channel 1/poll/100 ms</t>
    </r>
    <r>
      <rPr>
        <sz val="10"/>
        <color rgb="FF1F2937"/>
        <rFont val="Noto Sans CJK SC"/>
        <family val="2"/>
      </rPr>
      <t xml:space="preserve">合同有效；构建时明确</t>
    </r>
    <r>
      <rPr>
        <sz val="10"/>
        <color rgb="FF1F2937"/>
        <rFont val="Calibri"/>
        <family val="0"/>
        <charset val="1"/>
      </rPr>
      <t xml:space="preserve">SECURITY_OTP_PRELOADED=0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正向执行需匹配</t>
    </r>
    <r>
      <rPr>
        <sz val="10"/>
        <color rgb="FF1F2937"/>
        <rFont val="Calibri"/>
        <family val="0"/>
        <charset val="1"/>
      </rPr>
      <t xml:space="preserve">fixture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eHSM Key map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load receipt</t>
    </r>
    <r>
      <rPr>
        <sz val="10"/>
        <color rgb="FF1F2937"/>
        <rFont val="Noto Sans CJK SC"/>
        <family val="2"/>
      </rPr>
      <t xml:space="preserve">；使用获批可恢复</t>
    </r>
    <r>
      <rPr>
        <sz val="10"/>
        <color rgb="FF1F2937"/>
        <rFont val="Calibri"/>
        <family val="0"/>
        <charset val="1"/>
      </rPr>
      <t xml:space="preserve">EMU/FPGA TEST</t>
    </r>
    <r>
      <rPr>
        <sz val="10"/>
        <color rgb="FF1F2937"/>
        <rFont val="Noto Sans CJK SC"/>
        <family val="2"/>
      </rPr>
      <t xml:space="preserve">资源及</t>
    </r>
    <r>
      <rPr>
        <sz val="10"/>
        <color rgb="FF1F2937"/>
        <rFont val="Calibri"/>
        <family val="0"/>
        <charset val="1"/>
      </rPr>
      <t xml:space="preserve">fresh/reloaded</t>
    </r>
    <r>
      <rPr>
        <sz val="10"/>
        <color rgb="FF1F2937"/>
        <rFont val="Noto Sans CJK SC"/>
        <family val="2"/>
      </rPr>
      <t xml:space="preserve">初态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</si>
  <si>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security_case_mb_fw_033_basic()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</si>
  <si>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EHSM-BASELINE-001; EHSM-IMAGE-001; EHSM-OTP-003</t>
  </si>
  <si>
    <t xml:space="preserve">4096-byte Type 1 verify image + dual-profile oracle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</si>
  <si>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security_case_mb_fw_034_basic()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</si>
  <si>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random OTP key install + before/after readback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</si>
  <si>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security_case_mb_fw_035_basic()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</si>
  <si>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encrypted OTP key install + before/after readback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</si>
  <si>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security_case_mb_fw_036_basic()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</si>
  <si>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sensor fields not asserted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</si>
  <si>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security_case_mb_fw_037_basic()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</si>
  <si>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TEST→DEVELOP + OTP readback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</si>
  <si>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security_case_mb_fw_038_basic()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</si>
  <si>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SoC control field + OTP readback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</si>
  <si>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security_case_mb_fw_039_basic()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</si>
  <si>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security_case_mb_fw_040_basic()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</si>
  <si>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EHSM-BASELINE-001; EHSM-PROFILE-001</t>
  </si>
  <si>
    <t xml:space="preserve">CFG backup-write-readback-restore-verify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</si>
  <si>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security_case_mb_fw_041_basic()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</si>
  <si>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CFG double-read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</si>
  <si>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security_case_mb_fw_042_basic()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</si>
  <si>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读取</t>
    </r>
    <r>
      <rPr>
        <sz val="10"/>
        <color rgb="FF1F2937"/>
        <rFont val="Calibri"/>
        <family val="0"/>
        <charset val="1"/>
      </rPr>
      <t xml:space="preserve">eHSM FW</t>
    </r>
    <r>
      <rPr>
        <sz val="10"/>
        <color rgb="FF1F2937"/>
        <rFont val="Noto Sans CJK SC"/>
        <family val="2"/>
      </rPr>
      <t xml:space="preserve">版本；检查真实</t>
    </r>
    <r>
      <rPr>
        <sz val="10"/>
        <color rgb="FF1F2937"/>
        <rFont val="Calibri"/>
        <family val="0"/>
        <charset val="1"/>
      </rPr>
      <t xml:space="preserve">typed API</t>
    </r>
    <r>
      <rPr>
        <sz val="10"/>
        <color rgb="FF1F2937"/>
        <rFont val="Noto Sans CJK SC"/>
        <family val="2"/>
      </rPr>
      <t xml:space="preserve">返回、版本输出和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阶段连续事务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</si>
  <si>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security_case_mb_fw_043_basic()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</si>
  <si>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enter WFI + next Mailbox stage query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</si>
  <si>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security_case_mb_fw_044_basic()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</si>
  <si>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ENTER_WFI</t>
    </r>
    <r>
      <rPr>
        <sz val="10"/>
        <color rgb="FF1F2937"/>
        <rFont val="Noto Sans CJK SC"/>
        <family val="2"/>
      </rPr>
      <t xml:space="preserve">命令成功后下一条真实</t>
    </r>
    <r>
      <rPr>
        <sz val="10"/>
        <color rgb="FF1F2937"/>
        <rFont val="Calibri"/>
        <family val="0"/>
        <charset val="1"/>
      </rPr>
      <t xml:space="preserve">stage</t>
    </r>
    <r>
      <rPr>
        <sz val="10"/>
        <color rgb="FF1F2937"/>
        <rFont val="Noto Sans CJK SC"/>
        <family val="2"/>
      </rPr>
      <t xml:space="preserve">查询仍可完成；无法确定休眠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唤醒或事务状态时</t>
    </r>
    <r>
      <rPr>
        <sz val="10"/>
        <color rgb="FF1F2937"/>
        <rFont val="Calibri"/>
        <family val="0"/>
        <charset val="1"/>
      </rPr>
      <t xml:space="preserve">INCONCLUSIVE</t>
    </r>
  </si>
  <si>
    <r>
      <rPr>
        <sz val="10"/>
        <color rgb="FF1F2937"/>
        <rFont val="Calibri"/>
        <family val="0"/>
        <charset val="1"/>
      </rPr>
      <t xml:space="preserve">gen-remove: AES128 auto-handle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HMAC32 fixed-handle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DH1024 fixed-handle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</si>
  <si>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security_case_mb_fw_045_basic()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</si>
  <si>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derive: X9.63/SHA256→AES256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PBKDF2/SM3 password→SM4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PBKDF2/SHA256 parent→HMAC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</si>
  <si>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security_case_mb_fw_046_basic()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</si>
  <si>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exchange: DH2048→HMAC64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P-256→AES256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SM2→SM4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</si>
  <si>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security_case_mb_fw_047_basic()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</si>
  <si>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import-remove: AES128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P-256 keypair/private/public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</si>
  <si>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security_case_mb_fw_048_basic()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</si>
  <si>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AES plaintext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P-256 keypair/private ciphertext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P-256 public plaintext export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ciphertext paths use OTP Profile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</si>
  <si>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security_case_mb_fw_049_basic()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</si>
  <si>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generate-remove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</si>
  <si>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security_case_mb_fw_050_basic()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</si>
  <si>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Calibri"/>
        <family val="0"/>
        <charset val="1"/>
      </rPr>
      <t xml:space="preserve">get-public: P-256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SM2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DH1024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</si>
  <si>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security_case_mb_fw_051_basic()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</si>
  <si>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t xml:space="preserve">test command `0xfffe` + counter word 2 readback; command disabled → runtime INCONCLUSIVE</t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</si>
  <si>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阶段；调用</t>
    </r>
    <r>
      <rPr>
        <sz val="10"/>
        <color rgb="FF1F2937"/>
        <rFont val="Calibri"/>
        <family val="0"/>
        <charset val="1"/>
      </rPr>
      <t xml:space="preserve">security_case_mb_fw_052_basic()</t>
    </r>
    <r>
      <rPr>
        <sz val="10"/>
        <color rgb="FF1F2937"/>
        <rFont val="Noto Sans CJK SC"/>
        <family val="2"/>
      </rPr>
      <t xml:space="preserve">对应的</t>
    </r>
    <r>
      <rPr>
        <sz val="10"/>
        <color rgb="FF1F2937"/>
        <rFont val="Calibri"/>
        <family val="0"/>
        <charset val="1"/>
      </rPr>
      <t xml:space="preserve">baremetal eHSM typed API</t>
    </r>
    <r>
      <rPr>
        <sz val="10"/>
        <color rgb="FF1F2937"/>
        <rFont val="Noto Sans CJK SC"/>
        <family val="2"/>
      </rPr>
      <t xml:space="preserve">；按本行参数化覆盖执行真实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事务；比较</t>
    </r>
    <r>
      <rPr>
        <sz val="10"/>
        <color rgb="FF1F2937"/>
        <rFont val="Calibri"/>
        <family val="0"/>
        <charset val="1"/>
      </rPr>
      <t xml:space="preserve">return/output/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副作用；完成必要清理、读回或健康查询后返回唯一</t>
    </r>
    <r>
      <rPr>
        <sz val="10"/>
        <color rgb="FF1F2937"/>
        <rFont val="Calibri"/>
        <family val="0"/>
        <charset val="1"/>
      </rPr>
      <t xml:space="preserve">verdict</t>
    </r>
  </si>
  <si>
    <r>
      <rPr>
        <sz val="10"/>
        <color rgb="FF1F2937"/>
        <rFont val="Noto Sans CJK SC"/>
        <family val="2"/>
      </rPr>
      <t xml:space="preserve">真实执行</t>
    </r>
    <r>
      <rPr>
        <sz val="10"/>
        <color rgb="FF1F2937"/>
        <rFont val="Calibri"/>
        <family val="0"/>
        <charset val="1"/>
      </rPr>
      <t xml:space="preserve">0xfffe</t>
    </r>
    <r>
      <rPr>
        <sz val="10"/>
        <color rgb="FF1F2937"/>
        <rFont val="Noto Sans CJK SC"/>
        <family val="2"/>
      </rPr>
      <t xml:space="preserve">测试命令并读回</t>
    </r>
    <r>
      <rPr>
        <sz val="10"/>
        <color rgb="FF1F2937"/>
        <rFont val="Calibri"/>
        <family val="0"/>
        <charset val="1"/>
      </rPr>
      <t xml:space="preserve">counter word 2</t>
    </r>
    <r>
      <rPr>
        <sz val="10"/>
        <color rgb="FF1F2937"/>
        <rFont val="Noto Sans CJK SC"/>
        <family val="2"/>
      </rPr>
      <t xml:space="preserve">；目标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未启用</t>
    </r>
    <r>
      <rPr>
        <sz val="10"/>
        <color rgb="FF1F2937"/>
        <rFont val="Calibri"/>
        <family val="0"/>
        <charset val="1"/>
      </rPr>
      <t xml:space="preserve">CONFIG_EHSM_TEST_CMDS_ENABLE</t>
    </r>
    <r>
      <rPr>
        <sz val="10"/>
        <color rgb="FF1F2937"/>
        <rFont val="Noto Sans CJK SC"/>
        <family val="2"/>
      </rPr>
      <t xml:space="preserve">时返回</t>
    </r>
    <r>
      <rPr>
        <sz val="10"/>
        <color rgb="FF1F2937"/>
        <rFont val="Calibri"/>
        <family val="0"/>
        <charset val="1"/>
      </rPr>
      <t xml:space="preserve">INCONCLUSIVE/OTP_TEST_COMMAND_DISABLED</t>
    </r>
    <r>
      <rPr>
        <sz val="10"/>
        <color rgb="FF1F2937"/>
        <rFont val="Noto Sans CJK SC"/>
        <family val="2"/>
      </rPr>
      <t xml:space="preserve">，不得</t>
    </r>
    <r>
      <rPr>
        <sz val="10"/>
        <color rgb="FF1F2937"/>
        <rFont val="Calibri"/>
        <family val="0"/>
        <charset val="1"/>
      </rPr>
      <t xml:space="preserve">fallback</t>
    </r>
  </si>
  <si>
    <t xml:space="preserve">EHSM-NEG-VERIFY-001</t>
  </si>
  <si>
    <t xml:space="preserve">EHSM_FIRMWARE_OR_HARDWARE</t>
  </si>
  <si>
    <t xml:space="preserve">BL/FW</t>
  </si>
  <si>
    <t xml:space="preserve">N/A</t>
  </si>
  <si>
    <r>
      <rPr>
        <sz val="10"/>
        <color rgb="FF1F2937"/>
        <rFont val="Noto Sans CJK SC"/>
        <family val="2"/>
      </rPr>
      <t xml:space="preserve">从可通过的已验证正确的基准样本镜像分别翻转签名</t>
    </r>
    <r>
      <rPr>
        <sz val="10"/>
        <color rgb="FF1F2937"/>
        <rFont val="Calibri"/>
        <family val="0"/>
        <charset val="1"/>
      </rPr>
      <t xml:space="preserve">1 bit</t>
    </r>
    <r>
      <rPr>
        <sz val="10"/>
        <color rgb="FF1F2937"/>
        <rFont val="Noto Sans CJK SC"/>
        <family val="2"/>
      </rPr>
      <t xml:space="preserve">、有效载荷 </t>
    </r>
    <r>
      <rPr>
        <sz val="10"/>
        <color rgb="FF1F2937"/>
        <rFont val="Calibri"/>
        <family val="0"/>
        <charset val="1"/>
      </rPr>
      <t xml:space="preserve">1 bit</t>
    </r>
    <r>
      <rPr>
        <sz val="10"/>
        <color rgb="FF1F2937"/>
        <rFont val="Noto Sans CJK SC"/>
        <family val="2"/>
      </rPr>
      <t xml:space="preserve">、摘要相关字段</t>
    </r>
    <r>
      <rPr>
        <sz val="10"/>
        <color rgb="FF1F2937"/>
        <rFont val="Calibri"/>
        <family val="0"/>
        <charset val="1"/>
      </rPr>
      <t xml:space="preserve">1 bit</t>
    </r>
    <r>
      <rPr>
        <sz val="10"/>
        <color rgb="FF1F2937"/>
        <rFont val="Noto Sans CJK SC"/>
        <family val="2"/>
      </rPr>
      <t xml:space="preserve">；结构和地址保持合法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</si>
  <si>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BL</t>
    </r>
    <r>
      <rPr>
        <sz val="10"/>
        <color rgb="FF1F2937"/>
        <rFont val="Noto Sans CJK SC"/>
        <family val="2"/>
      </rPr>
      <t xml:space="preserve">不会接受被篡改镜像</t>
    </r>
  </si>
  <si>
    <r>
      <rPr>
        <sz val="10"/>
        <color rgb="FF1F2937"/>
        <rFont val="Noto Sans CJK SC"/>
        <family val="2"/>
      </rPr>
      <t xml:space="preserve">验证对象是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硬件拒绝路径；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仅负责构造并提交刺激。必须证明请求已到达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，不能把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本地拒绝当作本用例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</si>
  <si>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已验证正确的基准样本镜像和签名链可用；</t>
    </r>
    <r>
      <rPr>
        <sz val="10"/>
        <color rgb="FF1F2937"/>
        <rFont val="Calibri"/>
        <family val="0"/>
        <charset val="1"/>
      </rPr>
      <t xml:space="preserve">boot_after_verify</t>
    </r>
    <r>
      <rPr>
        <sz val="10"/>
        <color rgb="FF1F2937"/>
        <rFont val="Noto Sans CJK SC"/>
        <family val="2"/>
      </rPr>
      <t xml:space="preserve">关闭或使用可恢复专用测试环境与资源</t>
    </r>
  </si>
  <si>
    <r>
      <rPr>
        <sz val="10"/>
        <color rgb="FF1F2937"/>
        <rFont val="Noto Sans CJK SC"/>
        <family val="2"/>
      </rPr>
      <t xml:space="preserve">先验证已验证正确的基准样本通过；逐参数化测试输入篡改后重新提交；记录原始返回、目标区域、</t>
    </r>
    <r>
      <rPr>
        <sz val="10"/>
        <color rgb="FF1F2937"/>
        <rFont val="Calibri"/>
        <family val="0"/>
        <charset val="1"/>
      </rPr>
      <t xml:space="preserve">boot/</t>
    </r>
    <r>
      <rPr>
        <sz val="10"/>
        <color rgb="FF1F2937"/>
        <rFont val="Noto Sans CJK SC"/>
        <family val="2"/>
      </rPr>
      <t xml:space="preserve">解除隔离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放行和计数器状态；最后重新验证已验证正确的基准样本</t>
    </r>
  </si>
  <si>
    <r>
      <rPr>
        <sz val="10"/>
        <color rgb="FF1F2937"/>
        <rFont val="Noto Sans CJK SC"/>
        <family val="2"/>
      </rPr>
      <t xml:space="preserve">篡改参数化测试输入均不得验证成功、复制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启动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解除隔离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放行或推进计数器；已验证正确的基准样本复测仍成功</t>
    </r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</si>
  <si>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明确返回验签失败或等价的批准拒绝码；验证证据必须包含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</si>
  <si>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NOT_IMPLEMENTED</t>
  </si>
  <si>
    <t xml:space="preserve">PLANNED</t>
  </si>
  <si>
    <t xml:space="preserve">MUST_PASS_IF_CONTRACT_AND_FIXTURE_AVAILABLE; OTHERWISE INCONCLUSIVE_WITH_OWNER</t>
  </si>
  <si>
    <t xml:space="preserve">NEEDS_SIGNED_IMAGE_CORPUS</t>
  </si>
  <si>
    <t xml:space="preserve">SRC-0012/SRC-0014/SRC-0018; ADR-0014/0019/0024</t>
  </si>
  <si>
    <t xml:space="preserve">EHSM-NEG-VERIFY-002</t>
  </si>
  <si>
    <t xml:space="preserve">错误签名、有效载荷篡改、低于已提交值的防回滚 计数器（仅在专用计数器 专用测试环境与资源）</t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</si>
  <si>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FW</t>
    </r>
    <r>
      <rPr>
        <sz val="10"/>
        <color rgb="FF1F2937"/>
        <rFont val="Noto Sans CJK SC"/>
        <family val="2"/>
      </rPr>
      <t xml:space="preserve">的</t>
    </r>
    <r>
      <rPr>
        <sz val="10"/>
        <color rgb="FF1F2937"/>
        <rFont val="Calibri"/>
        <family val="0"/>
        <charset val="1"/>
      </rPr>
      <t xml:space="preserve">SoC Verify</t>
    </r>
    <r>
      <rPr>
        <sz val="10"/>
        <color rgb="FF1F2937"/>
        <rFont val="Noto Sans CJK SC"/>
        <family val="2"/>
      </rPr>
      <t xml:space="preserve">失败关闭</t>
    </r>
  </si>
  <si>
    <r>
      <rPr>
        <sz val="10"/>
        <color rgb="FF1F2937"/>
        <rFont val="Noto Sans CJK SC"/>
        <family val="2"/>
      </rPr>
      <t xml:space="preserve">已验证正确的基准样本 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包可通过；回滚参数化测试输入仅在可恢复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专用计数器环境执行</t>
    </r>
  </si>
  <si>
    <r>
      <rPr>
        <sz val="10"/>
        <color rgb="FF1F2937"/>
        <rFont val="Noto Sans CJK SC"/>
        <family val="2"/>
      </rPr>
      <t xml:space="preserve">先执行已验证正确的基准样本；逐参数化测试输入提交；读取原始返回、解除隔离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放行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度量记录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计数器；最后复测已验证正确的基准样本</t>
    </r>
  </si>
  <si>
    <r>
      <rPr>
        <sz val="10"/>
        <color rgb="FF1F2937"/>
        <rFont val="Noto Sans CJK SC"/>
        <family val="2"/>
      </rPr>
      <t xml:space="preserve">错误签名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摘要不得通过、解除隔离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放行或提交度量记录；回滚参数化测试输入不得推进计数器；已验证正确的基准样本复测成功</t>
    </r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</si>
  <si>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返回</t>
    </r>
    <r>
      <rPr>
        <sz val="10"/>
        <color rgb="FF1F2937"/>
        <rFont val="Calibri"/>
        <family val="0"/>
        <charset val="1"/>
      </rPr>
      <t xml:space="preserve">verify failed/</t>
    </r>
    <r>
      <rPr>
        <sz val="10"/>
        <color rgb="FF1F2937"/>
        <rFont val="Noto Sans CJK SC"/>
        <family val="2"/>
      </rPr>
      <t xml:space="preserve">防回滚拒绝的批准原始结果；验证证据必须包含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</si>
  <si>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NEEDS_SIGNED_SOC_PACKAGE_AND_COUNTER_FIXTURE</t>
  </si>
  <si>
    <t xml:space="preserve">SRC-0016/SRC-0017/SRC-0018; ADR-0014/0019/0024</t>
  </si>
  <si>
    <t xml:space="preserve">EHSM-NEG-UPGRADE-001</t>
  </si>
  <si>
    <r>
      <rPr>
        <sz val="10"/>
        <color rgb="FF1F2937"/>
        <rFont val="Noto Sans CJK SC"/>
        <family val="2"/>
      </rPr>
      <t xml:space="preserve">已验证正确的基准样本升级包的签名、有效载荷、头部长度或计数器各单点篡改；只使用能真实送达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的参数化测试输入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</si>
  <si>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BL</t>
    </r>
    <r>
      <rPr>
        <sz val="10"/>
        <color rgb="FF1F2937"/>
        <rFont val="Noto Sans CJK SC"/>
        <family val="2"/>
      </rPr>
      <t xml:space="preserve">升级服务不写入或激活未认证固件</t>
    </r>
  </si>
  <si>
    <r>
      <rPr>
        <sz val="10"/>
        <color rgb="FF1F2937"/>
        <rFont val="Noto Sans CJK SC"/>
        <family val="2"/>
      </rPr>
      <t xml:space="preserve">专用可恢复升级专用测试环境与资源；</t>
    </r>
    <r>
      <rPr>
        <sz val="10"/>
        <color rgb="FF1F2937"/>
        <rFont val="Calibri"/>
        <family val="0"/>
        <charset val="1"/>
      </rPr>
      <t xml:space="preserve">active/inactive</t>
    </r>
    <r>
      <rPr>
        <sz val="10"/>
        <color rgb="FF1F2937"/>
        <rFont val="Noto Sans CJK SC"/>
        <family val="2"/>
      </rPr>
      <t xml:space="preserve">与计数器基线可观测</t>
    </r>
  </si>
  <si>
    <r>
      <rPr>
        <sz val="10"/>
        <color rgb="FF1F2937"/>
        <rFont val="Noto Sans CJK SC"/>
        <family val="2"/>
      </rPr>
      <t xml:space="preserve">记录基线；提交篡改包；读取原始返回和闪存（</t>
    </r>
    <r>
      <rPr>
        <sz val="10"/>
        <color rgb="FF1F2937"/>
        <rFont val="Calibri"/>
        <family val="0"/>
        <charset val="1"/>
      </rPr>
      <t xml:space="preserve">Flash</t>
    </r>
    <r>
      <rPr>
        <sz val="10"/>
        <color rgb="FF1F2937"/>
        <rFont val="Noto Sans CJK SC"/>
        <family val="2"/>
      </rPr>
      <t xml:space="preserve">）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</t>
    </r>
    <r>
      <rPr>
        <sz val="10"/>
        <color rgb="FF1F2937"/>
        <rFont val="Calibri"/>
        <family val="0"/>
        <charset val="1"/>
      </rPr>
      <t xml:space="preserve">/active</t>
    </r>
    <r>
      <rPr>
        <sz val="10"/>
        <color rgb="FF1F2937"/>
        <rFont val="Noto Sans CJK SC"/>
        <family val="2"/>
      </rPr>
      <t xml:space="preserve">状态；复位后确认旧版本仍可启动</t>
    </r>
  </si>
  <si>
    <r>
      <rPr>
        <sz val="10"/>
        <color rgb="FF1F2937"/>
        <rFont val="Noto Sans CJK SC"/>
        <family val="2"/>
      </rPr>
      <t xml:space="preserve">篡改包拒绝；不改</t>
    </r>
    <r>
      <rPr>
        <sz val="10"/>
        <color rgb="FF1F2937"/>
        <rFont val="Calibri"/>
        <family val="0"/>
        <charset val="1"/>
      </rPr>
      <t xml:space="preserve">active</t>
    </r>
    <r>
      <rPr>
        <sz val="10"/>
        <color rgb="FF1F2937"/>
        <rFont val="Noto Sans CJK SC"/>
        <family val="2"/>
      </rPr>
      <t xml:space="preserve">内容、不激活、不推进计数器；旧版本保持可启动</t>
    </r>
  </si>
  <si>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闪存（</t>
    </r>
    <r>
      <rPr>
        <sz val="10"/>
        <color rgb="FF1F2937"/>
        <rFont val="Calibri"/>
        <family val="0"/>
        <charset val="1"/>
      </rPr>
      <t xml:space="preserve">Flash</t>
    </r>
    <r>
      <rPr>
        <sz val="10"/>
        <color rgb="FF1F2937"/>
        <rFont val="Noto Sans CJK SC"/>
        <family val="2"/>
      </rPr>
      <t xml:space="preserve">）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版本无副作用；验证证据必须包含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</si>
  <si>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NEEDS_RECOVERABLE_UPGRADE_FIXTURE</t>
  </si>
  <si>
    <t xml:space="preserve">SRC-0012/SRC-0018; ADR-0014/0019/0024</t>
  </si>
  <si>
    <t xml:space="preserve">EHSM-NEG-UPGRADE-002</t>
  </si>
  <si>
    <t xml:space="preserve">已验证正确的基准样本升级包的签名、有效载荷、头部或计数器单点篡改</t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</si>
  <si>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FW</t>
    </r>
    <r>
      <rPr>
        <sz val="10"/>
        <color rgb="FF1F2937"/>
        <rFont val="Noto Sans CJK SC"/>
        <family val="2"/>
      </rPr>
      <t xml:space="preserve">升级服务失败关闭</t>
    </r>
  </si>
  <si>
    <r>
      <rPr>
        <sz val="10"/>
        <color rgb="FF1F2937"/>
        <rFont val="Noto Sans CJK SC"/>
        <family val="2"/>
      </rPr>
      <t xml:space="preserve">专用可恢复升级专用测试环境与资源；目标槽位、</t>
    </r>
    <r>
      <rPr>
        <sz val="10"/>
        <color rgb="FF1F2937"/>
        <rFont val="Calibri"/>
        <family val="0"/>
        <charset val="1"/>
      </rPr>
      <t xml:space="preserve">active</t>
    </r>
    <r>
      <rPr>
        <sz val="10"/>
        <color rgb="FF1F2937"/>
        <rFont val="Noto Sans CJK SC"/>
        <family val="2"/>
      </rPr>
      <t xml:space="preserve">状态和计数器可观测</t>
    </r>
  </si>
  <si>
    <r>
      <rPr>
        <sz val="10"/>
        <color rgb="FF1F2937"/>
        <rFont val="Noto Sans CJK SC"/>
        <family val="2"/>
      </rPr>
      <t xml:space="preserve">记录基线；逐参数化测试输入提交；检查原始返回、目标槽位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计数器；复位后复核版本</t>
    </r>
  </si>
  <si>
    <r>
      <rPr>
        <sz val="10"/>
        <color rgb="FF1F2937"/>
        <rFont val="Noto Sans CJK SC"/>
        <family val="2"/>
      </rPr>
      <t xml:space="preserve">篡改包拒绝；不写入有效候选、不切</t>
    </r>
    <r>
      <rPr>
        <sz val="10"/>
        <color rgb="FF1F2937"/>
        <rFont val="Calibri"/>
        <family val="0"/>
        <charset val="1"/>
      </rPr>
      <t xml:space="preserve">active</t>
    </r>
    <r>
      <rPr>
        <sz val="10"/>
        <color rgb="FF1F2937"/>
        <rFont val="Noto Sans CJK SC"/>
        <family val="2"/>
      </rPr>
      <t xml:space="preserve">、不推进计数器、不静默降级</t>
    </r>
  </si>
  <si>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持久化状态无副作用；验证证据必须包含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</si>
  <si>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SRC-0018; ADR-0014/0019/0024</t>
  </si>
  <si>
    <t xml:space="preserve">EHSM-NEG-CRYPTO-001</t>
  </si>
  <si>
    <t xml:space="preserve">MB_CMD_ID_SM2_SIGN / MB_CMD_ID_RSA_SIGN / MB_CMD_ID_ECDSA</t>
  </si>
  <si>
    <r>
      <rPr>
        <sz val="10"/>
        <color rgb="FF1F2937"/>
        <rFont val="Noto Sans CJK SC"/>
        <family val="2"/>
      </rPr>
      <t xml:space="preserve">每个算法先生成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取得正确签名，再分别翻转签名</t>
    </r>
    <r>
      <rPr>
        <sz val="10"/>
        <color rgb="FF1F2937"/>
        <rFont val="Calibri"/>
        <family val="0"/>
        <charset val="1"/>
      </rPr>
      <t xml:space="preserve">1 bit</t>
    </r>
    <r>
      <rPr>
        <sz val="10"/>
        <color rgb="FF1F2937"/>
        <rFont val="Noto Sans CJK SC"/>
        <family val="2"/>
      </rPr>
      <t xml:space="preserve">和消息</t>
    </r>
    <r>
      <rPr>
        <sz val="10"/>
        <color rgb="FF1F2937"/>
        <rFont val="Calibri"/>
        <family val="0"/>
        <charset val="1"/>
      </rPr>
      <t xml:space="preserve">1 bit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</si>
  <si>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SM2/RSA/ECDSA</t>
    </r>
    <r>
      <rPr>
        <sz val="10"/>
        <color rgb="FF1F2937"/>
        <rFont val="Noto Sans CJK SC"/>
        <family val="2"/>
      </rPr>
      <t xml:space="preserve">验证不会接受错误签名</t>
    </r>
  </si>
  <si>
    <r>
      <rPr>
        <sz val="10"/>
        <color rgb="FF1F2937"/>
        <rFont val="Noto Sans CJK SC"/>
        <family val="2"/>
      </rPr>
      <t xml:space="preserve">公开测试</t>
    </r>
    <r>
      <rPr>
        <sz val="10"/>
        <color rgb="FF1F2937"/>
        <rFont val="Calibri"/>
        <family val="0"/>
        <charset val="1"/>
      </rPr>
      <t xml:space="preserve">key</t>
    </r>
    <r>
      <rPr>
        <sz val="10"/>
        <color rgb="FF1F2937"/>
        <rFont val="Noto Sans CJK SC"/>
        <family val="2"/>
      </rPr>
      <t xml:space="preserve">和消息可用；使用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正式</t>
    </r>
    <r>
      <rPr>
        <sz val="10"/>
        <color rgb="FF1F2937"/>
        <rFont val="Calibri"/>
        <family val="0"/>
        <charset val="1"/>
      </rPr>
      <t xml:space="preserve">verify API</t>
    </r>
  </si>
  <si>
    <r>
      <rPr>
        <sz val="10"/>
        <color rgb="FF1F2937"/>
        <rFont val="Noto Sans CJK SC"/>
        <family val="2"/>
      </rPr>
      <t xml:space="preserve">正确签名先验证为</t>
    </r>
    <r>
      <rPr>
        <sz val="10"/>
        <color rgb="FF1F2937"/>
        <rFont val="Calibri"/>
        <family val="0"/>
        <charset val="1"/>
      </rPr>
      <t xml:space="preserve">true</t>
    </r>
    <r>
      <rPr>
        <sz val="10"/>
        <color rgb="FF1F2937"/>
        <rFont val="Noto Sans CJK SC"/>
        <family val="2"/>
      </rPr>
      <t xml:space="preserve">；逐参数化测试输入提交错误签名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消息；记录</t>
    </r>
    <r>
      <rPr>
        <sz val="10"/>
        <color rgb="FF1F2937"/>
        <rFont val="Calibri"/>
        <family val="0"/>
        <charset val="1"/>
      </rPr>
      <t xml:space="preserve">ret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verify_result</t>
    </r>
    <r>
      <rPr>
        <sz val="10"/>
        <color rgb="FF1F2937"/>
        <rFont val="Noto Sans CJK SC"/>
        <family val="2"/>
      </rPr>
      <t xml:space="preserve">和原始响应；最后复测正确签名</t>
    </r>
  </si>
  <si>
    <r>
      <rPr>
        <sz val="10"/>
        <color rgb="FF1F2937"/>
        <rFont val="Noto Sans CJK SC"/>
        <family val="2"/>
      </rPr>
      <t xml:space="preserve">错误参数化测试输入的</t>
    </r>
    <r>
      <rPr>
        <sz val="10"/>
        <color rgb="FF1F2937"/>
        <rFont val="Calibri"/>
        <family val="0"/>
        <charset val="1"/>
      </rPr>
      <t xml:space="preserve">verify_result=false</t>
    </r>
    <r>
      <rPr>
        <sz val="10"/>
        <color rgb="FF1F2937"/>
        <rFont val="Noto Sans CJK SC"/>
        <family val="2"/>
      </rPr>
      <t xml:space="preserve">或返回文档化验签失败，绝不能为</t>
    </r>
    <r>
      <rPr>
        <sz val="10"/>
        <color rgb="FF1F2937"/>
        <rFont val="Calibri"/>
        <family val="0"/>
        <charset val="1"/>
      </rPr>
      <t xml:space="preserve">true</t>
    </r>
    <r>
      <rPr>
        <sz val="10"/>
        <color rgb="FF1F2937"/>
        <rFont val="Noto Sans CJK SC"/>
        <family val="2"/>
      </rPr>
      <t xml:space="preserve">；正确签名复测为</t>
    </r>
    <r>
      <rPr>
        <sz val="10"/>
        <color rgb="FF1F2937"/>
        <rFont val="Calibri"/>
        <family val="0"/>
        <charset val="1"/>
      </rPr>
      <t xml:space="preserve">true</t>
    </r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</si>
  <si>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返回的</t>
    </r>
    <r>
      <rPr>
        <sz val="10"/>
        <color rgb="FF1F2937"/>
        <rFont val="Calibri"/>
        <family val="0"/>
        <charset val="1"/>
      </rPr>
      <t xml:space="preserve">verify_result/</t>
    </r>
    <r>
      <rPr>
        <sz val="10"/>
        <color rgb="FF1F2937"/>
        <rFont val="Noto Sans CJK SC"/>
        <family val="2"/>
      </rPr>
      <t xml:space="preserve">原始结果，而非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自行比较；验证证据必须包含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</si>
  <si>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READY_AFTER_VENDOR_VERIFY_API_PORT</t>
  </si>
  <si>
    <t xml:space="preserve">SRC-0014/SRC-0018; Vendor PKE Demo</t>
  </si>
  <si>
    <t xml:space="preserve">EHSM-NEG-CRYPTO-002</t>
  </si>
  <si>
    <t xml:space="preserve">MB_CMD_ID_MAC / MB_CMD_ID_HMAC</t>
  </si>
  <si>
    <r>
      <rPr>
        <sz val="10"/>
        <color rgb="FF1F2937"/>
        <rFont val="Noto Sans CJK SC"/>
        <family val="2"/>
      </rPr>
      <t xml:space="preserve">正确</t>
    </r>
    <r>
      <rPr>
        <sz val="10"/>
        <color rgb="FF1F2937"/>
        <rFont val="Calibri"/>
        <family val="0"/>
        <charset val="1"/>
      </rPr>
      <t xml:space="preserve">MAC/HMAC</t>
    </r>
    <r>
      <rPr>
        <sz val="10"/>
        <color rgb="FF1F2937"/>
        <rFont val="Noto Sans CJK SC"/>
        <family val="2"/>
      </rPr>
      <t xml:space="preserve">基线；翻转认证值</t>
    </r>
    <r>
      <rPr>
        <sz val="10"/>
        <color rgb="FF1F2937"/>
        <rFont val="Calibri"/>
        <family val="0"/>
        <charset val="1"/>
      </rPr>
      <t xml:space="preserve">1 bit</t>
    </r>
    <r>
      <rPr>
        <sz val="10"/>
        <color rgb="FF1F2937"/>
        <rFont val="Noto Sans CJK SC"/>
        <family val="2"/>
      </rPr>
      <t xml:space="preserve">和消息</t>
    </r>
    <r>
      <rPr>
        <sz val="10"/>
        <color rgb="FF1F2937"/>
        <rFont val="Calibri"/>
        <family val="0"/>
        <charset val="1"/>
      </rPr>
      <t xml:space="preserve">1 bit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</si>
  <si>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认证码验证拒绝被篡改数据</t>
    </r>
  </si>
  <si>
    <r>
      <rPr>
        <sz val="10"/>
        <color rgb="FF1F2937"/>
        <rFont val="Noto Sans CJK SC"/>
        <family val="2"/>
      </rPr>
      <t xml:space="preserve">公开测试</t>
    </r>
    <r>
      <rPr>
        <sz val="10"/>
        <color rgb="FF1F2937"/>
        <rFont val="Calibri"/>
        <family val="0"/>
        <charset val="1"/>
      </rPr>
      <t xml:space="preserve">key</t>
    </r>
    <r>
      <rPr>
        <sz val="10"/>
        <color rgb="FF1F2937"/>
        <rFont val="Noto Sans CJK SC"/>
        <family val="2"/>
      </rPr>
      <t xml:space="preserve">和向量可用；使用</t>
    </r>
    <r>
      <rPr>
        <sz val="10"/>
        <color rgb="FF1F2937"/>
        <rFont val="Calibri"/>
        <family val="0"/>
        <charset val="1"/>
      </rPr>
      <t xml:space="preserve">Vendor verify API</t>
    </r>
  </si>
  <si>
    <r>
      <rPr>
        <sz val="10"/>
        <color rgb="FF1F2937"/>
        <rFont val="Noto Sans CJK SC"/>
        <family val="2"/>
      </rPr>
      <t xml:space="preserve">先验证正确值；逐参数化测试输入调用验证；记录</t>
    </r>
    <r>
      <rPr>
        <sz val="10"/>
        <color rgb="FF1F2937"/>
        <rFont val="Calibri"/>
        <family val="0"/>
        <charset val="1"/>
      </rPr>
      <t xml:space="preserve">ret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verify_result/</t>
    </r>
    <r>
      <rPr>
        <sz val="10"/>
        <color rgb="FF1F2937"/>
        <rFont val="Noto Sans CJK SC"/>
        <family val="2"/>
      </rPr>
      <t xml:space="preserve">原始响应；复测正确值</t>
    </r>
  </si>
  <si>
    <r>
      <rPr>
        <sz val="10"/>
        <color rgb="FF1F2937"/>
        <rFont val="Noto Sans CJK SC"/>
        <family val="2"/>
      </rPr>
      <t xml:space="preserve">错误参数化测试输入的</t>
    </r>
    <r>
      <rPr>
        <sz val="10"/>
        <color rgb="FF1F2937"/>
        <rFont val="Calibri"/>
        <family val="0"/>
        <charset val="1"/>
      </rPr>
      <t xml:space="preserve">verify_result=false</t>
    </r>
    <r>
      <rPr>
        <sz val="10"/>
        <color rgb="FF1F2937"/>
        <rFont val="Noto Sans CJK SC"/>
        <family val="2"/>
      </rPr>
      <t xml:space="preserve">或文档化失败；正确值复测为</t>
    </r>
    <r>
      <rPr>
        <sz val="10"/>
        <color rgb="FF1F2937"/>
        <rFont val="Calibri"/>
        <family val="0"/>
        <charset val="1"/>
      </rPr>
      <t xml:space="preserve">true</t>
    </r>
  </si>
  <si>
    <r>
      <rPr>
        <sz val="10"/>
        <color rgb="FF1F2937"/>
        <rFont val="Calibri"/>
        <family val="0"/>
        <charset val="1"/>
      </rPr>
      <t xml:space="preserve">eHSM verify_result/</t>
    </r>
    <r>
      <rPr>
        <sz val="10"/>
        <color rgb="FF1F2937"/>
        <rFont val="Noto Sans CJK SC"/>
        <family val="2"/>
      </rPr>
      <t xml:space="preserve">原始结果；验证证据必须包含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</si>
  <si>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SRC-0014/SRC-0018; Vendor MAC/HMAC Demo</t>
  </si>
  <si>
    <t xml:space="preserve">EHSM-NEG-CRYPTO-003</t>
  </si>
  <si>
    <t xml:space="preserve">MB_CMD_ID_AEAD_GCM / MB_CMD_ID_AEAD_CCM</t>
  </si>
  <si>
    <r>
      <rPr>
        <sz val="10"/>
        <color rgb="FF1F2937"/>
        <rFont val="Noto Sans CJK SC"/>
        <family val="2"/>
      </rPr>
      <t xml:space="preserve">正确密文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认证标签基线；分别翻转认证标签、附加认证数据（</t>
    </r>
    <r>
      <rPr>
        <sz val="10"/>
        <color rgb="FF1F2937"/>
        <rFont val="Calibri"/>
        <family val="0"/>
        <charset val="1"/>
      </rPr>
      <t xml:space="preserve">AAD</t>
    </r>
    <r>
      <rPr>
        <sz val="10"/>
        <color rgb="FF1F2937"/>
        <rFont val="Noto Sans CJK SC"/>
        <family val="2"/>
      </rPr>
      <t xml:space="preserve">）和密文</t>
    </r>
    <r>
      <rPr>
        <sz val="10"/>
        <color rgb="FF1F2937"/>
        <rFont val="Calibri"/>
        <family val="0"/>
        <charset val="1"/>
      </rPr>
      <t xml:space="preserve">1 bit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</si>
  <si>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AEAD</t>
    </r>
    <r>
      <rPr>
        <sz val="10"/>
        <color rgb="FF1F2937"/>
        <rFont val="Noto Sans CJK SC"/>
        <family val="2"/>
      </rPr>
      <t xml:space="preserve">解密认证不会把篡改数据判为有效</t>
    </r>
  </si>
  <si>
    <r>
      <rPr>
        <sz val="10"/>
        <color rgb="FF1F2937"/>
        <rFont val="Noto Sans CJK SC"/>
        <family val="2"/>
      </rPr>
      <t xml:space="preserve">公开</t>
    </r>
    <r>
      <rPr>
        <sz val="10"/>
        <color rgb="FF1F2937"/>
        <rFont val="Calibri"/>
        <family val="0"/>
        <charset val="1"/>
      </rPr>
      <t xml:space="preserve">GCM/CCM</t>
    </r>
    <r>
      <rPr>
        <sz val="10"/>
        <color rgb="FF1F2937"/>
        <rFont val="Noto Sans CJK SC"/>
        <family val="2"/>
      </rPr>
      <t xml:space="preserve">向量可用；输出缓冲区预填预置检查值</t>
    </r>
  </si>
  <si>
    <r>
      <rPr>
        <sz val="10"/>
        <color rgb="FF1F2937"/>
        <rFont val="Noto Sans CJK SC"/>
        <family val="2"/>
      </rPr>
      <t xml:space="preserve">先验证正确向量；逐参数化测试输入解密；记录</t>
    </r>
    <r>
      <rPr>
        <sz val="10"/>
        <color rgb="FF1F2937"/>
        <rFont val="Calibri"/>
        <family val="0"/>
        <charset val="1"/>
      </rPr>
      <t xml:space="preserve">ret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verify_result</t>
    </r>
    <r>
      <rPr>
        <sz val="10"/>
        <color rgb="FF1F2937"/>
        <rFont val="Noto Sans CJK SC"/>
        <family val="2"/>
      </rPr>
      <t xml:space="preserve">、原始响应和输出缓冲区；复测正确向量</t>
    </r>
  </si>
  <si>
    <r>
      <rPr>
        <sz val="10"/>
        <color rgb="FF1F2937"/>
        <rFont val="Noto Sans CJK SC"/>
        <family val="2"/>
      </rPr>
      <t xml:space="preserve">错误参数化测试输入的</t>
    </r>
    <r>
      <rPr>
        <sz val="10"/>
        <color rgb="FF1F2937"/>
        <rFont val="Calibri"/>
        <family val="0"/>
        <charset val="1"/>
      </rPr>
      <t xml:space="preserve">verify_result=false</t>
    </r>
    <r>
      <rPr>
        <sz val="10"/>
        <color rgb="FF1F2937"/>
        <rFont val="Noto Sans CJK SC"/>
        <family val="2"/>
      </rPr>
      <t xml:space="preserve">或文档化认证失败；不得被上层当成有效明文；是否要求输出缓冲区不变按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合同冻结</t>
    </r>
  </si>
  <si>
    <r>
      <rPr>
        <sz val="10"/>
        <color rgb="FF1F2937"/>
        <rFont val="Calibri"/>
        <family val="0"/>
        <charset val="1"/>
      </rPr>
      <t xml:space="preserve">eHSM verify_result/</t>
    </r>
    <r>
      <rPr>
        <sz val="10"/>
        <color rgb="FF1F2937"/>
        <rFont val="Noto Sans CJK SC"/>
        <family val="2"/>
      </rPr>
      <t xml:space="preserve">原始结果；明文发布规则缺失时该子判据为</t>
    </r>
    <r>
      <rPr>
        <sz val="10"/>
        <color rgb="FF1F2937"/>
        <rFont val="Calibri"/>
        <family val="0"/>
        <charset val="1"/>
      </rPr>
      <t xml:space="preserve">INCONCLUSIVE</t>
    </r>
    <r>
      <rPr>
        <sz val="10"/>
        <color rgb="FF1F2937"/>
        <rFont val="Noto Sans CJK SC"/>
        <family val="2"/>
      </rPr>
      <t xml:space="preserve">而非猜测；验证证据必须包含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</si>
  <si>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READY_AFTER_AEAD_OUTPUT_CONTRACT</t>
  </si>
  <si>
    <t xml:space="preserve">SRC-0005/SRC-0014/SRC-0018; Vendor AEAD Demo</t>
  </si>
  <si>
    <t xml:space="preserve">EHSM-NEG-AUTH-001</t>
  </si>
  <si>
    <t xml:space="preserve">MB_CMD_ID_BL_GET_CHALLENGE / MB_CMD_ID_BL_DEBUG_AUTH</t>
  </si>
  <si>
    <r>
      <rPr>
        <sz val="10"/>
        <color rgb="FF1F2937"/>
        <rFont val="Noto Sans CJK SC"/>
        <family val="2"/>
      </rPr>
      <t xml:space="preserve">对有效</t>
    </r>
    <r>
      <rPr>
        <sz val="10"/>
        <color rgb="FF1F2937"/>
        <rFont val="Calibri"/>
        <family val="0"/>
        <charset val="1"/>
      </rPr>
      <t xml:space="preserve">challenge</t>
    </r>
    <r>
      <rPr>
        <sz val="10"/>
        <color rgb="FF1F2937"/>
        <rFont val="Noto Sans CJK SC"/>
        <family val="2"/>
      </rPr>
      <t xml:space="preserve">使用错误签名</t>
    </r>
    <r>
      <rPr>
        <sz val="10"/>
        <color rgb="FF1F2937"/>
        <rFont val="Calibri"/>
        <family val="0"/>
        <charset val="1"/>
      </rPr>
      <t xml:space="preserve">/MAC</t>
    </r>
    <r>
      <rPr>
        <sz val="10"/>
        <color rgb="FF1F2937"/>
        <rFont val="Noto Sans CJK SC"/>
        <family val="2"/>
      </rPr>
      <t xml:space="preserve">、错误</t>
    </r>
    <r>
      <rPr>
        <sz val="10"/>
        <color rgb="FF1F2937"/>
        <rFont val="Calibri"/>
        <family val="0"/>
        <charset val="1"/>
      </rPr>
      <t xml:space="preserve">key</t>
    </r>
    <r>
      <rPr>
        <sz val="10"/>
        <color rgb="FF1F2937"/>
        <rFont val="Noto Sans CJK SC"/>
        <family val="2"/>
      </rPr>
      <t xml:space="preserve">生成的响应；重放仅在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合同定义单次</t>
    </r>
    <r>
      <rPr>
        <sz val="10"/>
        <color rgb="FF1F2937"/>
        <rFont val="Calibri"/>
        <family val="0"/>
        <charset val="1"/>
      </rPr>
      <t xml:space="preserve">challenge</t>
    </r>
    <r>
      <rPr>
        <sz val="10"/>
        <color rgb="FF1F2937"/>
        <rFont val="Noto Sans CJK SC"/>
        <family val="2"/>
      </rPr>
      <t xml:space="preserve">时执行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</si>
  <si>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BL</t>
    </r>
    <r>
      <rPr>
        <sz val="10"/>
        <color rgb="FF1F2937"/>
        <rFont val="Noto Sans CJK SC"/>
        <family val="2"/>
      </rPr>
      <t xml:space="preserve">不会因错误认证材料开启调试</t>
    </r>
  </si>
  <si>
    <r>
      <rPr>
        <sz val="10"/>
        <color rgb="FF1F2937"/>
        <rFont val="Noto Sans CJK SC"/>
        <family val="2"/>
      </rPr>
      <t xml:space="preserve">专用调试 专用测试环境与资源；初始</t>
    </r>
    <r>
      <rPr>
        <sz val="10"/>
        <color rgb="FF1F2937"/>
        <rFont val="Calibri"/>
        <family val="0"/>
        <charset val="1"/>
      </rPr>
      <t xml:space="preserve">debug</t>
    </r>
    <r>
      <rPr>
        <sz val="10"/>
        <color rgb="FF1F2937"/>
        <rFont val="Noto Sans CJK SC"/>
        <family val="2"/>
      </rPr>
      <t xml:space="preserve">关闭且状态可读</t>
    </r>
  </si>
  <si>
    <r>
      <rPr>
        <sz val="10"/>
        <color rgb="FF1F2937"/>
        <rFont val="Noto Sans CJK SC"/>
        <family val="2"/>
      </rPr>
      <t xml:space="preserve">获取</t>
    </r>
    <r>
      <rPr>
        <sz val="10"/>
        <color rgb="FF1F2937"/>
        <rFont val="Calibri"/>
        <family val="0"/>
        <charset val="1"/>
      </rPr>
      <t xml:space="preserve">challenge</t>
    </r>
    <r>
      <rPr>
        <sz val="10"/>
        <color rgb="FF1F2937"/>
        <rFont val="Noto Sans CJK SC"/>
        <family val="2"/>
      </rPr>
      <t xml:space="preserve">；提交错误响应；读取原始结果和</t>
    </r>
    <r>
      <rPr>
        <sz val="10"/>
        <color rgb="FF1F2937"/>
        <rFont val="Calibri"/>
        <family val="0"/>
        <charset val="1"/>
      </rPr>
      <t xml:space="preserve">debug</t>
    </r>
    <r>
      <rPr>
        <sz val="10"/>
        <color rgb="FF1F2937"/>
        <rFont val="Noto Sans CJK SC"/>
        <family val="2"/>
      </rPr>
      <t xml:space="preserve">状态；执行健康查询；必要时关闭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复位恢复</t>
    </r>
  </si>
  <si>
    <r>
      <rPr>
        <sz val="10"/>
        <color rgb="FF1F2937"/>
        <rFont val="Noto Sans CJK SC"/>
        <family val="2"/>
      </rPr>
      <t xml:space="preserve">认证失败；</t>
    </r>
    <r>
      <rPr>
        <sz val="10"/>
        <color rgb="FF1F2937"/>
        <rFont val="Calibri"/>
        <family val="0"/>
        <charset val="1"/>
      </rPr>
      <t xml:space="preserve">debug</t>
    </r>
    <r>
      <rPr>
        <sz val="10"/>
        <color rgb="FF1F2937"/>
        <rFont val="Noto Sans CJK SC"/>
        <family val="2"/>
      </rPr>
      <t xml:space="preserve">保持关闭；无权限提升；后续健康命令可执行</t>
    </r>
  </si>
  <si>
    <r>
      <rPr>
        <sz val="10"/>
        <color rgb="FF1F2937"/>
        <rFont val="Noto Sans CJK SC"/>
        <family val="2"/>
      </rPr>
      <t xml:space="preserve">原始认证失败 </t>
    </r>
    <r>
      <rPr>
        <sz val="10"/>
        <color rgb="FF1F2937"/>
        <rFont val="Calibri"/>
        <family val="0"/>
        <charset val="1"/>
      </rPr>
      <t xml:space="preserve">+ eHSM/SoC debug</t>
    </r>
    <r>
      <rPr>
        <sz val="10"/>
        <color rgb="FF1F2937"/>
        <rFont val="Noto Sans CJK SC"/>
        <family val="2"/>
      </rPr>
      <t xml:space="preserve">状态未开启；验证证据必须包含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</si>
  <si>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NEEDS_DEBUG_AUTH_FIXTURE</t>
  </si>
  <si>
    <r>
      <rPr>
        <sz val="10"/>
        <color rgb="FF1F2937"/>
        <rFont val="Calibri"/>
        <family val="0"/>
        <charset val="1"/>
      </rPr>
      <t xml:space="preserve">SRC-0012/SRC-0014/SRC-0018; Debug Auth</t>
    </r>
    <r>
      <rPr>
        <sz val="10"/>
        <color rgb="FF1F2937"/>
        <rFont val="Noto Sans CJK SC"/>
        <family val="2"/>
      </rPr>
      <t xml:space="preserve">合同</t>
    </r>
  </si>
  <si>
    <t xml:space="preserve">EHSM-NEG-AUTH-002</t>
  </si>
  <si>
    <t xml:space="preserve">MB_CMD_ID_GET_CHALLENGE / MB_CMD_ID_AUTH</t>
  </si>
  <si>
    <r>
      <rPr>
        <sz val="10"/>
        <color rgb="FF1F2937"/>
        <rFont val="Noto Sans CJK SC"/>
        <family val="2"/>
      </rPr>
      <t xml:space="preserve">有效</t>
    </r>
    <r>
      <rPr>
        <sz val="10"/>
        <color rgb="FF1F2937"/>
        <rFont val="Calibri"/>
        <family val="0"/>
        <charset val="1"/>
      </rPr>
      <t xml:space="preserve">challenge</t>
    </r>
    <r>
      <rPr>
        <sz val="10"/>
        <color rgb="FF1F2937"/>
        <rFont val="Noto Sans CJK SC"/>
        <family val="2"/>
      </rPr>
      <t xml:space="preserve">配错误签名</t>
    </r>
    <r>
      <rPr>
        <sz val="10"/>
        <color rgb="FF1F2937"/>
        <rFont val="Calibri"/>
        <family val="0"/>
        <charset val="1"/>
      </rPr>
      <t xml:space="preserve">/MAC</t>
    </r>
    <r>
      <rPr>
        <sz val="10"/>
        <color rgb="FF1F2937"/>
        <rFont val="Noto Sans CJK SC"/>
        <family val="2"/>
      </rPr>
      <t xml:space="preserve">或错误</t>
    </r>
    <r>
      <rPr>
        <sz val="10"/>
        <color rgb="FF1F2937"/>
        <rFont val="Calibri"/>
        <family val="0"/>
        <charset val="1"/>
      </rPr>
      <t xml:space="preserve">key</t>
    </r>
    <r>
      <rPr>
        <sz val="10"/>
        <color rgb="FF1F2937"/>
        <rFont val="Noto Sans CJK SC"/>
        <family val="2"/>
      </rPr>
      <t xml:space="preserve">响应；重放参数化测试输入仅在合同支持时启用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</si>
  <si>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FW</t>
    </r>
    <r>
      <rPr>
        <sz val="10"/>
        <color rgb="FF1F2937"/>
        <rFont val="Noto Sans CJK SC"/>
        <family val="2"/>
      </rPr>
      <t xml:space="preserve">认证状态不会被错误材料提升</t>
    </r>
  </si>
  <si>
    <r>
      <rPr>
        <sz val="10"/>
        <color rgb="FF1F2937"/>
        <rFont val="Noto Sans CJK SC"/>
        <family val="2"/>
      </rPr>
      <t xml:space="preserve">专用认证 专用测试环境与资源；认证前后状态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受保护命令可观测</t>
    </r>
  </si>
  <si>
    <r>
      <rPr>
        <sz val="10"/>
        <color rgb="FF1F2937"/>
        <rFont val="Noto Sans CJK SC"/>
        <family val="2"/>
      </rPr>
      <t xml:space="preserve">获取</t>
    </r>
    <r>
      <rPr>
        <sz val="10"/>
        <color rgb="FF1F2937"/>
        <rFont val="Calibri"/>
        <family val="0"/>
        <charset val="1"/>
      </rPr>
      <t xml:space="preserve">challenge</t>
    </r>
    <r>
      <rPr>
        <sz val="10"/>
        <color rgb="FF1F2937"/>
        <rFont val="Noto Sans CJK SC"/>
        <family val="2"/>
      </rPr>
      <t xml:space="preserve">；提交错误响应；读取原始结果；尝试一条需认证的无破坏性命令；执行健康查询</t>
    </r>
  </si>
  <si>
    <r>
      <rPr>
        <sz val="10"/>
        <color rgb="FF1F2937"/>
        <rFont val="Calibri"/>
        <family val="0"/>
        <charset val="1"/>
      </rPr>
      <t xml:space="preserve">AUTH</t>
    </r>
    <r>
      <rPr>
        <sz val="10"/>
        <color rgb="FF1F2937"/>
        <rFont val="Noto Sans CJK SC"/>
        <family val="2"/>
      </rPr>
      <t xml:space="preserve">失败；认证状态不提升；受保护命令仍拒绝；健康命令可执行</t>
    </r>
  </si>
  <si>
    <r>
      <rPr>
        <sz val="10"/>
        <color rgb="FF1F2937"/>
        <rFont val="Noto Sans CJK SC"/>
        <family val="2"/>
      </rPr>
      <t xml:space="preserve">原始认证失败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受保护能力未开放；验证证据必须包含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</si>
  <si>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NEEDS_AUTH_PROFILE_AND_FIXTURE</t>
  </si>
  <si>
    <r>
      <rPr>
        <sz val="10"/>
        <color rgb="FF1F2937"/>
        <rFont val="Calibri"/>
        <family val="0"/>
        <charset val="1"/>
      </rPr>
      <t xml:space="preserve">SRC-0005/SRC-0014/SRC-0018; Auth</t>
    </r>
    <r>
      <rPr>
        <sz val="10"/>
        <color rgb="FF1F2937"/>
        <rFont val="Noto Sans CJK SC"/>
        <family val="2"/>
      </rPr>
      <t xml:space="preserve">合同</t>
    </r>
  </si>
  <si>
    <t xml:space="preserve">EHSM-NEG-KEY-001</t>
  </si>
  <si>
    <t xml:space="preserve">MB_CMD_ID_INSTALL_RANDOM_KEY / MB_CMD_ID_INSTALL_ENCRYPT_KEY / MB_CMD_ID_EHSM_IMPORT_KEY</t>
  </si>
  <si>
    <r>
      <rPr>
        <sz val="10"/>
        <color rgb="FF1F2937"/>
        <rFont val="Noto Sans CJK SC"/>
        <family val="2"/>
      </rPr>
      <t xml:space="preserve">从可成功安装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导入的</t>
    </r>
    <r>
      <rPr>
        <sz val="10"/>
        <color rgb="FF1F2937"/>
        <rFont val="Calibri"/>
        <family val="0"/>
        <charset val="1"/>
      </rPr>
      <t xml:space="preserve">wrapped key</t>
    </r>
    <r>
      <rPr>
        <sz val="10"/>
        <color rgb="FF1F2937"/>
        <rFont val="Noto Sans CJK SC"/>
        <family val="2"/>
      </rPr>
      <t xml:space="preserve">或认证数据翻转数据块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签名</t>
    </r>
    <r>
      <rPr>
        <sz val="10"/>
        <color rgb="FF1F2937"/>
        <rFont val="Calibri"/>
        <family val="0"/>
        <charset val="1"/>
      </rPr>
      <t xml:space="preserve">/MAC 1 bit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</si>
  <si>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</t>
    </r>
    <r>
      <rPr>
        <sz val="10"/>
        <color rgb="FF1F2937"/>
        <rFont val="Noto Sans CJK SC"/>
        <family val="2"/>
      </rPr>
      <t xml:space="preserve">密钥 </t>
    </r>
    <r>
      <rPr>
        <sz val="10"/>
        <color rgb="FF1F2937"/>
        <rFont val="Calibri"/>
        <family val="0"/>
        <charset val="1"/>
      </rPr>
      <t xml:space="preserve">Manager</t>
    </r>
    <r>
      <rPr>
        <sz val="10"/>
        <color rgb="FF1F2937"/>
        <rFont val="Noto Sans CJK SC"/>
        <family val="2"/>
      </rPr>
      <t xml:space="preserve">不创建未经认证的密钥对象</t>
    </r>
  </si>
  <si>
    <r>
      <rPr>
        <sz val="10"/>
        <color rgb="FF1F2937"/>
        <rFont val="Noto Sans CJK SC"/>
        <family val="2"/>
      </rPr>
      <t xml:space="preserve">专用非量产</t>
    </r>
    <r>
      <rPr>
        <sz val="10"/>
        <color rgb="FF1F2937"/>
        <rFont val="Calibri"/>
        <family val="0"/>
        <charset val="1"/>
      </rPr>
      <t xml:space="preserve">key </t>
    </r>
    <r>
      <rPr>
        <sz val="10"/>
        <color rgb="FF1F2937"/>
        <rFont val="Noto Sans CJK SC"/>
        <family val="2"/>
      </rPr>
      <t xml:space="preserve">专用测试环境与资源；对象清单可查询；正确测试基线可成功</t>
    </r>
  </si>
  <si>
    <t xml:space="preserve">记录对象清单；提交篡改参数化测试输入；检查原始结果和对象状态；最后用正确材料复测并清理</t>
  </si>
  <si>
    <t xml:space="preserve">篡改参数化测试输入拒绝；不创建、覆盖或部分更新对象；正确材料复测成功</t>
  </si>
  <si>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密钥对象状态无变化；验证证据必须包含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</si>
  <si>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NEEDS_KEY_IMPORT_FIXTURE</t>
  </si>
  <si>
    <r>
      <rPr>
        <sz val="10"/>
        <color rgb="FF1F2937"/>
        <rFont val="Calibri"/>
        <family val="0"/>
        <charset val="1"/>
      </rPr>
      <t xml:space="preserve">SRC-0005/SRC-0014/SRC-0018; Key Manager</t>
    </r>
    <r>
      <rPr>
        <sz val="10"/>
        <color rgb="FF1F2937"/>
        <rFont val="Noto Sans CJK SC"/>
        <family val="2"/>
      </rPr>
      <t xml:space="preserve">合同</t>
    </r>
  </si>
  <si>
    <t xml:space="preserve">EHSM-NEG-KEY-002</t>
  </si>
  <si>
    <r>
      <rPr>
        <sz val="10"/>
        <color rgb="FF1F2937"/>
        <rFont val="Calibri"/>
        <family val="0"/>
        <charset val="1"/>
      </rPr>
      <t xml:space="preserve">Key Manager + SYMM/AEAD/HMAC/MAC/Sign</t>
    </r>
    <r>
      <rPr>
        <sz val="10"/>
        <color rgb="FF1F2937"/>
        <rFont val="Noto Sans CJK SC"/>
        <family val="2"/>
      </rPr>
      <t xml:space="preserve">命令</t>
    </r>
  </si>
  <si>
    <r>
      <rPr>
        <sz val="10"/>
        <color rgb="FF1F2937"/>
        <rFont val="Noto Sans CJK SC"/>
        <family val="2"/>
      </rPr>
      <t xml:space="preserve">不存在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已删除句柄、与命令不兼容用途权限、明确标记不可导出的密钥请求私钥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对称密钥导出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</si>
  <si>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以自身对象策略拒绝错误密钥引用和敏感导出</t>
    </r>
  </si>
  <si>
    <r>
      <rPr>
        <sz val="10"/>
        <color rgb="FF1F2937"/>
        <rFont val="Noto Sans CJK SC"/>
        <family val="2"/>
      </rPr>
      <t xml:space="preserve">专用</t>
    </r>
    <r>
      <rPr>
        <sz val="10"/>
        <color rgb="FF1F2937"/>
        <rFont val="Calibri"/>
        <family val="0"/>
        <charset val="1"/>
      </rPr>
      <t xml:space="preserve">key </t>
    </r>
    <r>
      <rPr>
        <sz val="10"/>
        <color rgb="FF1F2937"/>
        <rFont val="Noto Sans CJK SC"/>
        <family val="2"/>
      </rPr>
      <t xml:space="preserve">专用测试环境与资源；句柄、用途权限、可导出属性属性及查询方法已冻结</t>
    </r>
  </si>
  <si>
    <r>
      <rPr>
        <sz val="10"/>
        <color rgb="FF1F2937"/>
        <rFont val="Noto Sans CJK SC"/>
        <family val="2"/>
      </rPr>
      <t xml:space="preserve">逐参数化测试输入提交真实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命令；记录原始结果、输出预置检查值和对象状态；随后对合法对象执行健康操作</t>
    </r>
  </si>
  <si>
    <t xml:space="preserve">全部禁止组合拒绝；不输出密钥材料；对象状态不变；合法对象仍可用</t>
  </si>
  <si>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无敏感输出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对象无副作用；验证证据必须包含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</si>
  <si>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NEEDS_KEY_POLICY_CONTRACT</t>
  </si>
  <si>
    <t xml:space="preserve">EHSM-NEG-OTP-001</t>
  </si>
  <si>
    <t xml:space="preserve">BL/FW OTP_READ / OTP_WRITE</t>
  </si>
  <si>
    <r>
      <rPr>
        <sz val="10"/>
        <color rgb="FF1F2937"/>
        <rFont val="Noto Sans CJK SC"/>
        <family val="2"/>
      </rPr>
      <t xml:space="preserve">结构合法但偏移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长度越出批准对象、跨对象边界、访问受保护区域；写参数化测试输入仅用专用</t>
    </r>
    <r>
      <rPr>
        <sz val="10"/>
        <color rgb="FF1F2937"/>
        <rFont val="Calibri"/>
        <family val="0"/>
        <charset val="1"/>
      </rPr>
      <t xml:space="preserve">OTP </t>
    </r>
    <r>
      <rPr>
        <sz val="10"/>
        <color rgb="FF1F2937"/>
        <rFont val="Noto Sans CJK SC"/>
        <family val="2"/>
      </rPr>
      <t xml:space="preserve">专用测试环境与资源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</si>
  <si>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而非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执行</t>
    </r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范围和对象保护</t>
    </r>
  </si>
  <si>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对象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偏移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长度合同冻结；可证明请求真实提交；禁止量产密钥区域</t>
    </r>
  </si>
  <si>
    <t xml:space="preserve">记录允许区域和目标状态；提交负向参数化测试输入；读取原始结果；复核目标及相邻对象</t>
  </si>
  <si>
    <r>
      <rPr>
        <sz val="10"/>
        <color rgb="FF1F2937"/>
        <rFont val="Noto Sans CJK SC"/>
        <family val="2"/>
      </rPr>
      <t xml:space="preserve">非法访问由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拒绝；无数据泄露、无部分写、无相邻对象变化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</si>
  <si>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提交证据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OTP</t>
    </r>
    <r>
      <rPr>
        <sz val="10"/>
        <color rgb="FF1F2937"/>
        <rFont val="Noto Sans CJK SC"/>
        <family val="2"/>
      </rPr>
      <t xml:space="preserve">状态无副作用；验证证据必须包含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</si>
  <si>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NEEDS_OTP_OBJECT_MAP_AND_FIXTURE</t>
  </si>
  <si>
    <r>
      <rPr>
        <sz val="10"/>
        <color rgb="FF1F2937"/>
        <rFont val="Calibri"/>
        <family val="0"/>
        <charset val="1"/>
      </rPr>
      <t xml:space="preserve">SRC-0005/SRC-0012/SRC-0014/SRC-0018; OTP</t>
    </r>
    <r>
      <rPr>
        <sz val="10"/>
        <color rgb="FF1F2937"/>
        <rFont val="Noto Sans CJK SC"/>
        <family val="2"/>
      </rPr>
      <t xml:space="preserve">合同</t>
    </r>
  </si>
  <si>
    <t xml:space="preserve">EHSM-NEG-STATE-001</t>
  </si>
  <si>
    <t xml:space="preserve">MB_CMD_ID_CHANGE_LIFECYCLE / MB_CMD_ID_CHANGE_CONTROL_FIELD</t>
  </si>
  <si>
    <t xml:space="preserve">格式合法但不允许的回退、越级、重复或保留目标值；每次仅改变一个状态条件</t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</si>
  <si>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不可逆状态机和控制字段拒绝非法转换</t>
    </r>
  </si>
  <si>
    <r>
      <rPr>
        <sz val="10"/>
        <color rgb="FF1F2937"/>
        <rFont val="Noto Sans CJK SC"/>
        <family val="2"/>
      </rPr>
      <t xml:space="preserve">一次性专用实例；批准转换矩阵、读取方法、报废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恢复方案和人工批准齐全</t>
    </r>
  </si>
  <si>
    <t xml:space="preserve">读取初始状态；提交非法转换；读取原始结果和状态；对允许的非破坏性查询复测</t>
  </si>
  <si>
    <t xml:space="preserve">非法转换拒绝；状态和控制字段不发生部分改变；设备仍可查询</t>
  </si>
  <si>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状态回读不变；验证证据必须包含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</si>
  <si>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NEEDS_DESTRUCTIVE_STATE_FIXTURE</t>
  </si>
  <si>
    <r>
      <rPr>
        <sz val="10"/>
        <color rgb="FF1F2937"/>
        <rFont val="Calibri"/>
        <family val="0"/>
        <charset val="1"/>
      </rPr>
      <t xml:space="preserve">SRC-0005/SRC-0014/SRC-0018; Lifecycle/Control</t>
    </r>
    <r>
      <rPr>
        <sz val="10"/>
        <color rgb="FF1F2937"/>
        <rFont val="Noto Sans CJK SC"/>
        <family val="2"/>
      </rPr>
      <t xml:space="preserve">合同</t>
    </r>
  </si>
  <si>
    <t xml:space="preserve">EHSM-NEG-PROTOCOL-001</t>
  </si>
  <si>
    <r>
      <rPr>
        <sz val="10"/>
        <color rgb="FF1F2937"/>
        <rFont val="Noto Sans CJK SC"/>
        <family val="2"/>
      </rPr>
      <t xml:space="preserve">代表性</t>
    </r>
    <r>
      <rPr>
        <sz val="10"/>
        <color rgb="FF1F2937"/>
        <rFont val="Calibri"/>
        <family val="0"/>
        <charset val="1"/>
      </rPr>
      <t xml:space="preserve">BL/FW</t>
    </r>
    <r>
      <rPr>
        <sz val="10"/>
        <color rgb="FF1F2937"/>
        <rFont val="Noto Sans CJK SC"/>
        <family val="2"/>
      </rPr>
      <t xml:space="preserve">命令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未支持</t>
    </r>
    <r>
      <rPr>
        <sz val="10"/>
        <color rgb="FF1F2937"/>
        <rFont val="Calibri"/>
        <family val="0"/>
        <charset val="1"/>
      </rPr>
      <t xml:space="preserve">command ID</t>
    </r>
  </si>
  <si>
    <r>
      <rPr>
        <sz val="10"/>
        <color rgb="FF1F2937"/>
        <rFont val="Noto Sans CJK SC"/>
        <family val="2"/>
      </rPr>
      <t xml:space="preserve">未支持</t>
    </r>
    <r>
      <rPr>
        <sz val="10"/>
        <color rgb="FF1F2937"/>
        <rFont val="Calibri"/>
        <family val="0"/>
        <charset val="1"/>
      </rPr>
      <t xml:space="preserve">command ID</t>
    </r>
    <r>
      <rPr>
        <sz val="10"/>
        <color rgb="FF1F2937"/>
        <rFont val="Noto Sans CJK SC"/>
        <family val="2"/>
      </rPr>
      <t xml:space="preserve">、保留枚举、声明有效载荷长度与实际不一致；仅选能绕过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本地校验并确认已送达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的参数化测试输入</t>
    </r>
  </si>
  <si>
    <r>
      <rPr>
        <sz val="10"/>
        <color rgb="FF1F2937"/>
        <rFont val="Noto Sans CJK SC"/>
        <family val="2"/>
      </rPr>
      <t xml:space="preserve">验证</t>
    </r>
    <r>
      <rPr>
        <sz val="10"/>
        <color rgb="FF1F2937"/>
        <rFont val="Calibri"/>
        <family val="0"/>
        <charset val="1"/>
      </rPr>
      <t xml:space="preserve">eHSM Mailbox</t>
    </r>
    <r>
      <rPr>
        <sz val="10"/>
        <color rgb="FF1F2937"/>
        <rFont val="Noto Sans CJK SC"/>
        <family val="2"/>
      </rPr>
      <t xml:space="preserve">命令解析器不会接受非法请求或失去服务</t>
    </r>
  </si>
  <si>
    <r>
      <rPr>
        <sz val="10"/>
        <color rgb="FF1F2937"/>
        <rFont val="Noto Sans CJK SC"/>
        <family val="2"/>
      </rPr>
      <t xml:space="preserve">隔离的测试组包层可直接按现有</t>
    </r>
    <r>
      <rPr>
        <sz val="10"/>
        <color rgb="FF1F2937"/>
        <rFont val="Calibri"/>
        <family val="0"/>
        <charset val="1"/>
      </rPr>
      <t xml:space="preserve">Mailbox ABI</t>
    </r>
    <r>
      <rPr>
        <sz val="10"/>
        <color rgb="FF1F2937"/>
        <rFont val="Noto Sans CJK SC"/>
        <family val="2"/>
      </rPr>
      <t xml:space="preserve">写请求；不修改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固件；后续健康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可用</t>
    </r>
  </si>
  <si>
    <r>
      <rPr>
        <sz val="10"/>
        <color rgb="FF1F2937"/>
        <rFont val="Noto Sans CJK SC"/>
        <family val="2"/>
      </rPr>
      <t xml:space="preserve">从合法请求复制并单点变异；提交；记录</t>
    </r>
    <r>
      <rPr>
        <sz val="10"/>
        <color rgb="FF1F2937"/>
        <rFont val="Calibri"/>
        <family val="0"/>
        <charset val="1"/>
      </rPr>
      <t xml:space="preserve">command ID/note/</t>
    </r>
    <r>
      <rPr>
        <sz val="10"/>
        <color rgb="FF1F2937"/>
        <rFont val="Noto Sans CJK SC"/>
        <family val="2"/>
      </rPr>
      <t xml:space="preserve">原始响应；清理后执行健康</t>
    </r>
    <r>
      <rPr>
        <sz val="10"/>
        <color rgb="FF1F2937"/>
        <rFont val="Calibri"/>
        <family val="0"/>
        <charset val="1"/>
      </rPr>
      <t xml:space="preserve">BASIC</t>
    </r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</si>
  <si>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明确拒绝；无部分业务副作用；后续健康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成功；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本地拒绝的参数化测试输入记</t>
    </r>
    <r>
      <rPr>
        <sz val="10"/>
        <color rgb="FF1F2937"/>
        <rFont val="Calibri"/>
        <family val="0"/>
        <charset val="1"/>
      </rPr>
      <t xml:space="preserve">NOT_APPLICABLE</t>
    </r>
    <r>
      <rPr>
        <sz val="10"/>
        <color rgb="FF1F2937"/>
        <rFont val="Noto Sans CJK SC"/>
        <family val="2"/>
      </rPr>
      <t xml:space="preserve">而非</t>
    </r>
    <r>
      <rPr>
        <sz val="10"/>
        <color rgb="FF1F2937"/>
        <rFont val="Calibri"/>
        <family val="0"/>
        <charset val="1"/>
      </rPr>
      <t xml:space="preserve">PASS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</si>
  <si>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事务已提交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服务可恢复；验证证据必须包含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已提交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ID/eHSM</t>
    </r>
    <r>
      <rPr>
        <sz val="10"/>
        <color rgb="FF1F2937"/>
        <rFont val="Noto Sans CJK SC"/>
        <family val="2"/>
      </rPr>
      <t xml:space="preserve">原始响应，随后执行健康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证明服务未失效</t>
    </r>
  </si>
  <si>
    <t xml:space="preserve">NEEDS_ISOLATED_RAW_REQUEST_BUILDER</t>
  </si>
  <si>
    <t xml:space="preserve">SRC-0005/SRC-0014/SRC-0018; Mailbox ABI</t>
  </si>
  <si>
    <r>
      <rPr>
        <b val="true"/>
        <sz val="16"/>
        <color rgb="FFFFFFFF"/>
        <rFont val="Calibri"/>
        <family val="0"/>
        <charset val="1"/>
      </rPr>
      <t xml:space="preserve">SoC </t>
    </r>
    <r>
      <rPr>
        <b val="true"/>
        <sz val="16"/>
        <color rgb="FFFFFFFF"/>
        <rFont val="Noto Sans CJK SC"/>
        <family val="2"/>
      </rPr>
      <t xml:space="preserve">安全集成测试用例</t>
    </r>
  </si>
  <si>
    <t xml:space="preserve">分组</t>
  </si>
  <si>
    <t xml:space="preserve">名称</t>
  </si>
  <si>
    <t xml:space="preserve">自动化</t>
  </si>
  <si>
    <t xml:space="preserve">状态</t>
  </si>
  <si>
    <t xml:space="preserve">SOC-MAILBOX-001</t>
  </si>
  <si>
    <t xml:space="preserve">MAILBOX</t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</si>
  <si>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通道独立性</t>
    </r>
  </si>
  <si>
    <r>
      <rPr>
        <sz val="10"/>
        <color rgb="FF1F2937"/>
        <rFont val="Noto Sans CJK SC"/>
        <family val="2"/>
      </rPr>
      <t xml:space="preserve">通过软件遍历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路直连 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，用同一条无副作用命令验证各通道功能译码、响应归属和无跨通道串扰。</t>
    </r>
  </si>
  <si>
    <r>
      <rPr>
        <sz val="10"/>
        <color rgb="FF1F2937"/>
        <rFont val="Noto Sans CJK SC"/>
        <family val="2"/>
      </rPr>
      <t xml:space="preserve">直连 地址窗口 </t>
    </r>
    <r>
      <rPr>
        <sz val="10"/>
        <color rgb="FF1F2937"/>
        <rFont val="Calibri"/>
        <family val="0"/>
        <charset val="1"/>
      </rPr>
      <t xml:space="preserve">base/stride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路实现状态和测试可用通道已冻结；每路使用独立上下文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响应 预置检查值；不修改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固件。</t>
    </r>
  </si>
  <si>
    <r>
      <rPr>
        <sz val="10"/>
        <color rgb="FF1F2937"/>
        <rFont val="Noto Sans CJK SC"/>
        <family val="2"/>
      </rPr>
      <t xml:space="preserve">对通道 </t>
    </r>
    <r>
      <rPr>
        <sz val="10"/>
        <color rgb="FF1F2937"/>
        <rFont val="Calibri"/>
        <family val="0"/>
        <charset val="1"/>
      </rPr>
      <t xml:space="preserve">0</t>
    </r>
    <r>
      <rPr>
        <sz val="10"/>
        <color rgb="FF1F2937"/>
        <rFont val="Noto Sans CJK SC"/>
        <family val="2"/>
      </rPr>
      <t xml:space="preserve">～</t>
    </r>
    <r>
      <rPr>
        <sz val="10"/>
        <color rgb="FF1F2937"/>
        <rFont val="Calibri"/>
        <family val="0"/>
        <charset val="1"/>
      </rPr>
      <t xml:space="preserve">15</t>
    </r>
    <r>
      <rPr>
        <sz val="10"/>
        <color rgb="FF1F2937"/>
        <rFont val="Noto Sans CJK SC"/>
        <family val="2"/>
      </rPr>
      <t xml:space="preserve">逐路选择服务通道，提交同一条只读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并记录</t>
    </r>
    <r>
      <rPr>
        <sz val="10"/>
        <color rgb="FF1F2937"/>
        <rFont val="Calibri"/>
        <family val="0"/>
        <charset val="1"/>
      </rPr>
      <t xml:space="preserve">command ID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NOTE</t>
    </r>
    <r>
      <rPr>
        <sz val="10"/>
        <color rgb="FF1F2937"/>
        <rFont val="Noto Sans CJK SC"/>
        <family val="2"/>
      </rPr>
      <t xml:space="preserve">、原始响应；每次检查本通道输出和其他通道</t>
    </r>
    <r>
      <rPr>
        <sz val="10"/>
        <color rgb="FF1F2937"/>
        <rFont val="Calibri"/>
        <family val="0"/>
        <charset val="1"/>
      </rPr>
      <t xml:space="preserve">NOTE/</t>
    </r>
    <r>
      <rPr>
        <sz val="10"/>
        <color rgb="FF1F2937"/>
        <rFont val="Noto Sans CJK SC"/>
        <family val="2"/>
      </rPr>
      <t xml:space="preserve">响应 预置检查值；最后复测通道 </t>
    </r>
    <r>
      <rPr>
        <sz val="10"/>
        <color rgb="FF1F2937"/>
        <rFont val="Calibri"/>
        <family val="0"/>
        <charset val="1"/>
      </rPr>
      <t xml:space="preserve">0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</si>
  <si>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个通道作为同一用例的参数化测试输入，不拆成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条用例；未实现窗口按冻结</t>
    </r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定义判断。</t>
    </r>
  </si>
  <si>
    <r>
      <rPr>
        <sz val="10"/>
        <color rgb="FF1F2937"/>
        <rFont val="Noto Sans CJK SC"/>
        <family val="2"/>
      </rPr>
      <t xml:space="preserve">每个实现通道均独立完成正确命令；响应只出现在对应通道；其他通道状态和预置检查值不变；未实现窗口按合同拒绝；通道 </t>
    </r>
    <r>
      <rPr>
        <sz val="10"/>
        <color rgb="FF1F2937"/>
        <rFont val="Calibri"/>
        <family val="0"/>
        <charset val="1"/>
      </rPr>
      <t xml:space="preserve">0</t>
    </r>
    <r>
      <rPr>
        <sz val="10"/>
        <color rgb="FF1F2937"/>
        <rFont val="Noto Sans CJK SC"/>
        <family val="2"/>
      </rPr>
      <t xml:space="preserve">复测成功。</t>
    </r>
  </si>
  <si>
    <t xml:space="preserve">待移植</t>
  </si>
  <si>
    <t xml:space="preserve">NEEDS_DIRECT_MAILBOX_CHANNEL_MAP</t>
  </si>
  <si>
    <r>
      <rPr>
        <sz val="10"/>
        <color rgb="FF1F2937"/>
        <rFont val="Calibri"/>
        <family val="0"/>
        <charset val="1"/>
      </rPr>
      <t xml:space="preserve">SRC-0017 </t>
    </r>
    <r>
      <rPr>
        <sz val="10"/>
        <color rgb="FF1F2937"/>
        <rFont val="Noto Sans CJK SC"/>
        <family val="2"/>
      </rPr>
      <t xml:space="preserve">芯片系统安全方案 </t>
    </r>
    <r>
      <rPr>
        <sz val="10"/>
        <color rgb="FF1F2937"/>
        <rFont val="Calibri"/>
        <family val="0"/>
        <charset val="1"/>
      </rPr>
      <t xml:space="preserve">8.5/8.6/8.7/10.3; eHSM HP TRM 4.11 §2.5.2/§12.3/§12.4; CE-SEC-010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direct aperture/channel</t>
    </r>
    <r>
      <rPr>
        <sz val="10"/>
        <color rgb="FF1F2937"/>
        <rFont val="Noto Sans CJK SC"/>
        <family val="2"/>
      </rPr>
      <t xml:space="preserve">绑定待冻结</t>
    </r>
  </si>
  <si>
    <t xml:space="preserve">SOC-MAILBOX-002</t>
  </si>
  <si>
    <r>
      <rPr>
        <sz val="10"/>
        <color rgb="FF1F2937"/>
        <rFont val="Calibri"/>
        <family val="0"/>
        <charset val="1"/>
      </rPr>
      <t xml:space="preserve">Mailbox INFO/NOTE</t>
    </r>
    <r>
      <rPr>
        <sz val="10"/>
        <color rgb="FF1F2937"/>
        <rFont val="Noto Sans CJK SC"/>
        <family val="2"/>
      </rPr>
      <t xml:space="preserve">功能握手</t>
    </r>
  </si>
  <si>
    <r>
      <rPr>
        <sz val="10"/>
        <color rgb="FF1F2937"/>
        <rFont val="Noto Sans CJK SC"/>
        <family val="2"/>
      </rPr>
      <t xml:space="preserve">通过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侧</t>
    </r>
    <r>
      <rPr>
        <sz val="10"/>
        <color rgb="FF1F2937"/>
        <rFont val="Calibri"/>
        <family val="0"/>
        <charset val="1"/>
      </rPr>
      <t xml:space="preserve">MMIO</t>
    </r>
    <r>
      <rPr>
        <sz val="10"/>
        <color rgb="FF1F2937"/>
        <rFont val="Noto Sans CJK SC"/>
        <family val="2"/>
      </rPr>
      <t xml:space="preserve">轨迹和寄存器轮询验证</t>
    </r>
    <r>
      <rPr>
        <sz val="10"/>
        <color rgb="FF1F2937"/>
        <rFont val="Calibri"/>
        <family val="0"/>
        <charset val="1"/>
      </rPr>
      <t xml:space="preserve">S2H/H2S INFO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NOTE</t>
    </r>
    <r>
      <rPr>
        <sz val="10"/>
        <color rgb="FF1F2937"/>
        <rFont val="Noto Sans CJK SC"/>
        <family val="2"/>
      </rPr>
      <t xml:space="preserve">置位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清除、数据先于通知可见以及连续事务恢复。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</si>
  <si>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寄存器位义和读写属性已冻结；测试层可记录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侧</t>
    </r>
    <r>
      <rPr>
        <sz val="10"/>
        <color rgb="FF1F2937"/>
        <rFont val="Calibri"/>
        <family val="0"/>
        <charset val="1"/>
      </rPr>
      <t xml:space="preserve">MMIO</t>
    </r>
    <r>
      <rPr>
        <sz val="10"/>
        <color rgb="FF1F2937"/>
        <rFont val="Noto Sans CJK SC"/>
        <family val="2"/>
      </rPr>
      <t xml:space="preserve">访问及阶段快照，但不修改</t>
    </r>
    <r>
      <rPr>
        <sz val="10"/>
        <color rgb="FF1F2937"/>
        <rFont val="Calibri"/>
        <family val="0"/>
        <charset val="1"/>
      </rPr>
      <t xml:space="preserve">Vendor eHSM</t>
    </r>
    <r>
      <rPr>
        <sz val="10"/>
        <color rgb="FF1F2937"/>
        <rFont val="Noto Sans CJK SC"/>
        <family val="2"/>
      </rPr>
      <t xml:space="preserve">固件。</t>
    </r>
  </si>
  <si>
    <r>
      <rPr>
        <sz val="10"/>
        <color rgb="FF1F2937"/>
        <rFont val="Noto Sans CJK SC"/>
        <family val="2"/>
      </rPr>
      <t xml:space="preserve">在一个已冻结通道执行无副作用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；记录发布前后</t>
    </r>
    <r>
      <rPr>
        <sz val="10"/>
        <color rgb="FF1F2937"/>
        <rFont val="Calibri"/>
        <family val="0"/>
        <charset val="1"/>
      </rPr>
      <t xml:space="preserve">S2H INFO/NOTE</t>
    </r>
    <r>
      <rPr>
        <sz val="10"/>
        <color rgb="FF1F2937"/>
        <rFont val="Noto Sans CJK SC"/>
        <family val="2"/>
      </rPr>
      <t xml:space="preserve">、响应前后</t>
    </r>
    <r>
      <rPr>
        <sz val="10"/>
        <color rgb="FF1F2937"/>
        <rFont val="Calibri"/>
        <family val="0"/>
        <charset val="1"/>
      </rPr>
      <t xml:space="preserve">H2S INFO/NOTE</t>
    </r>
    <r>
      <rPr>
        <sz val="10"/>
        <color rgb="FF1F2937"/>
        <rFont val="Noto Sans CJK SC"/>
        <family val="2"/>
      </rPr>
      <t xml:space="preserve">和清除动作；连续执行两次不同预置检查值事务。</t>
    </r>
  </si>
  <si>
    <r>
      <rPr>
        <sz val="10"/>
        <color rgb="FF1F2937"/>
        <rFont val="Noto Sans CJK SC"/>
        <family val="2"/>
      </rPr>
      <t xml:space="preserve">正常请求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响应、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禁用轮询、连续两次事务作为参数化测试输入。</t>
    </r>
  </si>
  <si>
    <r>
      <rPr>
        <sz val="10"/>
        <color rgb="FF1F2937"/>
        <rFont val="Noto Sans CJK SC"/>
        <family val="2"/>
      </rPr>
      <t xml:space="preserve">请求数据在</t>
    </r>
    <r>
      <rPr>
        <sz val="10"/>
        <color rgb="FF1F2937"/>
        <rFont val="Calibri"/>
        <family val="0"/>
        <charset val="1"/>
      </rPr>
      <t xml:space="preserve">S2H NOTE</t>
    </r>
    <r>
      <rPr>
        <sz val="10"/>
        <color rgb="FF1F2937"/>
        <rFont val="Noto Sans CJK SC"/>
        <family val="2"/>
      </rPr>
      <t xml:space="preserve">前写入；响应数据在</t>
    </r>
    <r>
      <rPr>
        <sz val="10"/>
        <color rgb="FF1F2937"/>
        <rFont val="Calibri"/>
        <family val="0"/>
        <charset val="1"/>
      </rPr>
      <t xml:space="preserve">H2S NOTE</t>
    </r>
    <r>
      <rPr>
        <sz val="10"/>
        <color rgb="FF1F2937"/>
        <rFont val="Noto Sans CJK SC"/>
        <family val="2"/>
      </rPr>
      <t xml:space="preserve">后可读；</t>
    </r>
    <r>
      <rPr>
        <sz val="10"/>
        <color rgb="FF1F2937"/>
        <rFont val="Calibri"/>
        <family val="0"/>
        <charset val="1"/>
      </rPr>
      <t xml:space="preserve">NOTE</t>
    </r>
    <r>
      <rPr>
        <sz val="10"/>
        <color rgb="FF1F2937"/>
        <rFont val="Noto Sans CJK SC"/>
        <family val="2"/>
      </rPr>
      <t xml:space="preserve">按合同置位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清除；两次响应不重放、不混淆且后续事务可用。精确时钟周期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跨时钟域仍由硬件补充验证。</t>
    </r>
  </si>
  <si>
    <t xml:space="preserve">NEEDS_MAILBOX_INFO_NOTE_REGISTER_CONTRACT</t>
  </si>
  <si>
    <r>
      <rPr>
        <sz val="10"/>
        <color rgb="FF1F2937"/>
        <rFont val="Calibri"/>
        <family val="0"/>
        <charset val="1"/>
      </rPr>
      <t xml:space="preserve">eHSM HP TRM 4.11 §2.5.2/§12.3/§12.4; ehsm-host-adapter.md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INFO/NOTE</t>
    </r>
    <r>
      <rPr>
        <sz val="10"/>
        <color rgb="FF1F2937"/>
        <rFont val="Noto Sans CJK SC"/>
        <family val="2"/>
      </rPr>
      <t xml:space="preserve">准确位义待冻结</t>
    </r>
  </si>
  <si>
    <t xml:space="preserve">SOC-FIREWALL-001</t>
  </si>
  <si>
    <t xml:space="preserve">FIREWALL</t>
  </si>
  <si>
    <r>
      <rPr>
        <sz val="10"/>
        <color rgb="FF1F2937"/>
        <rFont val="Calibri"/>
        <family val="0"/>
        <charset val="1"/>
      </rPr>
      <t xml:space="preserve">Firewall </t>
    </r>
    <r>
      <rPr>
        <sz val="10"/>
        <color rgb="FF1F2937"/>
        <rFont val="Noto Sans CJK SC"/>
        <family val="2"/>
      </rPr>
      <t xml:space="preserve">配置权限</t>
    </r>
  </si>
  <si>
    <r>
      <rPr>
        <sz val="10"/>
        <color rgb="FF1F2937"/>
        <rFont val="Noto Sans CJK SC"/>
        <family val="2"/>
      </rPr>
      <t xml:space="preserve">验证 </t>
    </r>
    <r>
      <rPr>
        <sz val="10"/>
        <color rgb="FF1F2937"/>
        <rFont val="Calibri"/>
        <family val="0"/>
        <charset val="1"/>
      </rPr>
      <t xml:space="preserve">C908 </t>
    </r>
    <r>
      <rPr>
        <sz val="10"/>
        <color rgb="FF1F2937"/>
        <rFont val="Noto Sans CJK SC"/>
        <family val="2"/>
      </rPr>
      <t xml:space="preserve">具备 </t>
    </r>
    <r>
      <rPr>
        <sz val="10"/>
        <color rgb="FF1F2937"/>
        <rFont val="Calibri"/>
        <family val="0"/>
        <charset val="1"/>
      </rPr>
      <t xml:space="preserve">Firewall </t>
    </r>
    <r>
      <rPr>
        <sz val="10"/>
        <color rgb="FF1F2937"/>
        <rFont val="Noto Sans CJK SC"/>
        <family val="2"/>
      </rPr>
      <t xml:space="preserve">配置权限，非安全管理核不具备配置权限；本用例不依赖鉴权或 </t>
    </r>
    <r>
      <rPr>
        <sz val="10"/>
        <color rgb="FF1F2937"/>
        <rFont val="Calibri"/>
        <family val="0"/>
        <charset val="1"/>
      </rPr>
      <t xml:space="preserve">LCS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</si>
  <si>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冻结 </t>
    </r>
    <r>
      <rPr>
        <sz val="10"/>
        <color rgb="FF1F2937"/>
        <rFont val="Calibri"/>
        <family val="0"/>
        <charset val="1"/>
      </rPr>
      <t xml:space="preserve">Firewall </t>
    </r>
    <r>
      <rPr>
        <sz val="10"/>
        <color rgb="FF1F2937"/>
        <rFont val="Noto Sans CJK SC"/>
        <family val="2"/>
      </rPr>
      <t xml:space="preserve">配置寄存器、</t>
    </r>
    <r>
      <rPr>
        <sz val="10"/>
        <color rgb="FF1F2937"/>
        <rFont val="Calibri"/>
        <family val="0"/>
        <charset val="1"/>
      </rPr>
      <t xml:space="preserve">C908/</t>
    </r>
    <r>
      <rPr>
        <sz val="10"/>
        <color rgb="FF1F2937"/>
        <rFont val="Noto Sans CJK SC"/>
        <family val="2"/>
      </rPr>
      <t xml:space="preserve">非安全管理核 </t>
    </r>
    <r>
      <rPr>
        <sz val="10"/>
        <color rgb="FF1F2937"/>
        <rFont val="Calibri"/>
        <family val="0"/>
        <charset val="1"/>
      </rPr>
      <t xml:space="preserve">master_id </t>
    </r>
    <r>
      <rPr>
        <sz val="10"/>
        <color rgb="FF1F2937"/>
        <rFont val="Noto Sans CJK SC"/>
        <family val="2"/>
      </rPr>
      <t xml:space="preserve">和默认值；若未冻结则结果为 </t>
    </r>
    <r>
      <rPr>
        <sz val="10"/>
        <color rgb="FF1F2937"/>
        <rFont val="Calibri"/>
        <family val="0"/>
        <charset val="1"/>
      </rPr>
      <t xml:space="preserve">INCONCLUSIVE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</si>
  <si>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C908 </t>
    </r>
    <r>
      <rPr>
        <sz val="10"/>
        <color rgb="FF1F2937"/>
        <rFont val="Noto Sans CJK SC"/>
        <family val="2"/>
      </rPr>
      <t xml:space="preserve">写入一组可恢复配置并回读；恢复基线；再由非安全管理核写入同一寄存器并回读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检查目标配置。</t>
    </r>
  </si>
  <si>
    <r>
      <rPr>
        <sz val="10"/>
        <color rgb="FF1F2937"/>
        <rFont val="Noto Sans CJK SC"/>
        <family val="2"/>
      </rPr>
      <t xml:space="preserve">同一合法配置值，由 </t>
    </r>
    <r>
      <rPr>
        <sz val="10"/>
        <color rgb="FF1F2937"/>
        <rFont val="Calibri"/>
        <family val="0"/>
        <charset val="1"/>
      </rPr>
      <t xml:space="preserve">C908 </t>
    </r>
    <r>
      <rPr>
        <sz val="10"/>
        <color rgb="FF1F2937"/>
        <rFont val="Noto Sans CJK SC"/>
        <family val="2"/>
      </rPr>
      <t xml:space="preserve">与非安全管理核分别发起写事务。</t>
    </r>
  </si>
  <si>
    <r>
      <rPr>
        <sz val="10"/>
        <color rgb="FF1F2937"/>
        <rFont val="Calibri"/>
        <family val="0"/>
        <charset val="1"/>
      </rPr>
      <t xml:space="preserve">C908 </t>
    </r>
    <r>
      <rPr>
        <sz val="10"/>
        <color rgb="FF1F2937"/>
        <rFont val="Noto Sans CJK SC"/>
        <family val="2"/>
      </rPr>
      <t xml:space="preserve">写入生效且回读一致；非安全管理核写入被阻断或不生效，配置保持不变。总线响应按冻结 </t>
    </r>
    <r>
      <rPr>
        <sz val="10"/>
        <color rgb="FF1F2937"/>
        <rFont val="Calibri"/>
        <family val="0"/>
        <charset val="1"/>
      </rPr>
      <t xml:space="preserve">RTL </t>
    </r>
    <r>
      <rPr>
        <sz val="10"/>
        <color rgb="FF1F2937"/>
        <rFont val="Noto Sans CJK SC"/>
        <family val="2"/>
      </rPr>
      <t xml:space="preserve">判定，不把鉴权失败作为判据。</t>
    </r>
  </si>
  <si>
    <t xml:space="preserve">WAVE3_MULTIDIE_FIREWALL_FAULT</t>
  </si>
  <si>
    <t xml:space="preserve">NEEDS_FIREWALL_REGISTER_AND_MASTER_ID_MAP</t>
  </si>
  <si>
    <r>
      <rPr>
        <sz val="10"/>
        <color rgb="FF1F2937"/>
        <rFont val="Noto Sans CJK SC"/>
        <family val="2"/>
      </rPr>
      <t xml:space="preserve">用户确认的测试边界；</t>
    </r>
    <r>
      <rPr>
        <sz val="10"/>
        <color rgb="FF1F2937"/>
        <rFont val="Calibri"/>
        <family val="0"/>
        <charset val="1"/>
      </rPr>
      <t xml:space="preserve">SRC-0016/SRC-0017</t>
    </r>
    <r>
      <rPr>
        <sz val="10"/>
        <color rgb="FF1F2937"/>
        <rFont val="Noto Sans CJK SC"/>
        <family val="2"/>
      </rPr>
      <t xml:space="preserve">；精确 </t>
    </r>
    <r>
      <rPr>
        <sz val="10"/>
        <color rgb="FF1F2937"/>
        <rFont val="Calibri"/>
        <family val="0"/>
        <charset val="1"/>
      </rPr>
      <t xml:space="preserve">master_id/</t>
    </r>
    <r>
      <rPr>
        <sz val="10"/>
        <color rgb="FF1F2937"/>
        <rFont val="Noto Sans CJK SC"/>
        <family val="2"/>
      </rPr>
      <t xml:space="preserve">寄存器绑定待 </t>
    </r>
    <r>
      <rPr>
        <sz val="10"/>
        <color rgb="FF1F2937"/>
        <rFont val="Calibri"/>
        <family val="0"/>
        <charset val="1"/>
      </rPr>
      <t xml:space="preserve">SRC-0022/RTL </t>
    </r>
    <r>
      <rPr>
        <sz val="10"/>
        <color rgb="FF1F2937"/>
        <rFont val="Noto Sans CJK SC"/>
        <family val="2"/>
      </rPr>
      <t xml:space="preserve">冻结</t>
    </r>
  </si>
  <si>
    <t xml:space="preserve">SOC-FIREWALL-002</t>
  </si>
  <si>
    <r>
      <rPr>
        <sz val="10"/>
        <color rgb="FF1F2937"/>
        <rFont val="Calibri"/>
        <family val="0"/>
        <charset val="1"/>
      </rPr>
      <t xml:space="preserve">SRAM </t>
    </r>
    <r>
      <rPr>
        <sz val="10"/>
        <color rgb="FF1F2937"/>
        <rFont val="Noto Sans CJK SC"/>
        <family val="2"/>
      </rPr>
      <t xml:space="preserve">配置后隔离生效</t>
    </r>
  </si>
  <si>
    <r>
      <rPr>
        <sz val="10"/>
        <color rgb="FF1F2937"/>
        <rFont val="Noto Sans CJK SC"/>
        <family val="2"/>
      </rPr>
      <t xml:space="preserve">验证 </t>
    </r>
    <r>
      <rPr>
        <sz val="10"/>
        <color rgb="FF1F2937"/>
        <rFont val="Calibri"/>
        <family val="0"/>
        <charset val="1"/>
      </rPr>
      <t xml:space="preserve">C908 </t>
    </r>
    <r>
      <rPr>
        <sz val="10"/>
        <color rgb="FF1F2937"/>
        <rFont val="Noto Sans CJK SC"/>
        <family val="2"/>
      </rPr>
      <t xml:space="preserve">配置 </t>
    </r>
    <r>
      <rPr>
        <sz val="10"/>
        <color rgb="FF1F2937"/>
        <rFont val="Calibri"/>
        <family val="0"/>
        <charset val="1"/>
      </rPr>
      <t xml:space="preserve">SRAM </t>
    </r>
    <r>
      <rPr>
        <sz val="10"/>
        <color rgb="FF1F2937"/>
        <rFont val="Noto Sans CJK SC"/>
        <family val="2"/>
      </rPr>
      <t xml:space="preserve">区域 权限后，授权访问按配置成功，未授权访问不能改变或获得受保护数据。</t>
    </r>
  </si>
  <si>
    <r>
      <rPr>
        <sz val="10"/>
        <color rgb="FF1F2937"/>
        <rFont val="Noto Sans CJK SC"/>
        <family val="2"/>
      </rPr>
      <t xml:space="preserve">冻结 </t>
    </r>
    <r>
      <rPr>
        <sz val="10"/>
        <color rgb="FF1F2937"/>
        <rFont val="Calibri"/>
        <family val="0"/>
        <charset val="1"/>
      </rPr>
      <t xml:space="preserve">SRAM </t>
    </r>
    <r>
      <rPr>
        <sz val="10"/>
        <color rgb="FF1F2937"/>
        <rFont val="Noto Sans CJK SC"/>
        <family val="2"/>
      </rPr>
      <t xml:space="preserve">区域 地址、粒度、权限编码、授权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未授权 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；测试区域可恢复且不含量产秘密。</t>
    </r>
  </si>
  <si>
    <r>
      <rPr>
        <sz val="10"/>
        <color rgb="FF1F2937"/>
        <rFont val="Calibri"/>
        <family val="0"/>
        <charset val="1"/>
      </rPr>
      <t xml:space="preserve">C908 </t>
    </r>
    <r>
      <rPr>
        <sz val="10"/>
        <color rgb="FF1F2937"/>
        <rFont val="Noto Sans CJK SC"/>
        <family val="2"/>
      </rPr>
      <t xml:space="preserve">配置一个 </t>
    </r>
    <r>
      <rPr>
        <sz val="10"/>
        <color rgb="FF1F2937"/>
        <rFont val="Calibri"/>
        <family val="0"/>
        <charset val="1"/>
      </rPr>
      <t xml:space="preserve">SRAM </t>
    </r>
    <r>
      <rPr>
        <sz val="10"/>
        <color rgb="FF1F2937"/>
        <rFont val="Noto Sans CJK SC"/>
        <family val="2"/>
      </rPr>
      <t xml:space="preserve">区域；授权 主设备 读写并比对；未授权 主设备 读写；授权 主设备 再次回读目标与相邻 保护哨兵区；最后恢复基线。</t>
    </r>
  </si>
  <si>
    <r>
      <rPr>
        <sz val="10"/>
        <color rgb="FF1F2937"/>
        <rFont val="Noto Sans CJK SC"/>
        <family val="2"/>
      </rPr>
      <t xml:space="preserve">一个可恢复 区域；</t>
    </r>
    <r>
      <rPr>
        <sz val="10"/>
        <color rgb="FF1F2937"/>
        <rFont val="Calibri"/>
        <family val="0"/>
        <charset val="1"/>
      </rPr>
      <t xml:space="preserve">RO/RW/</t>
    </r>
    <r>
      <rPr>
        <sz val="10"/>
        <color rgb="FF1F2937"/>
        <rFont val="Noto Sans CJK SC"/>
        <family val="2"/>
      </rPr>
      <t xml:space="preserve">无权限等值作为同一用例的参数向量，不拆成大量独立 用例。</t>
    </r>
  </si>
  <si>
    <r>
      <rPr>
        <sz val="10"/>
        <color rgb="FF1F2937"/>
        <rFont val="Noto Sans CJK SC"/>
        <family val="2"/>
      </rPr>
      <t xml:space="preserve">授权组合符合权限编码；未授权写后数据和相邻 保护哨兵区 不变，未授权读不返回受保护真数据；具体 响应 依据冻结 </t>
    </r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。是否真正未选中 从设备 由硬件验证证据补充。</t>
    </r>
  </si>
  <si>
    <t xml:space="preserve">NEEDS_SRAM_REGION_PERMISSION_MAP</t>
  </si>
  <si>
    <r>
      <rPr>
        <sz val="10"/>
        <color rgb="FF1F2937"/>
        <rFont val="Calibri"/>
        <family val="0"/>
        <charset val="1"/>
      </rPr>
      <t xml:space="preserve">SRC-0017 §10.3</t>
    </r>
    <r>
      <rPr>
        <sz val="10"/>
        <color rgb="FF1F2937"/>
        <rFont val="Noto Sans CJK SC"/>
        <family val="2"/>
      </rPr>
      <t xml:space="preserve">；精确 </t>
    </r>
    <r>
      <rPr>
        <sz val="10"/>
        <color rgb="FF1F2937"/>
        <rFont val="Calibri"/>
        <family val="0"/>
        <charset val="1"/>
      </rPr>
      <t xml:space="preserve">Region/master/response </t>
    </r>
    <r>
      <rPr>
        <sz val="10"/>
        <color rgb="FF1F2937"/>
        <rFont val="Noto Sans CJK SC"/>
        <family val="2"/>
      </rPr>
      <t xml:space="preserve">绑定待 </t>
    </r>
    <r>
      <rPr>
        <sz val="10"/>
        <color rgb="FF1F2937"/>
        <rFont val="Calibri"/>
        <family val="0"/>
        <charset val="1"/>
      </rPr>
      <t xml:space="preserve">SRC-0022/RTL </t>
    </r>
    <r>
      <rPr>
        <sz val="10"/>
        <color rgb="FF1F2937"/>
        <rFont val="Noto Sans CJK SC"/>
        <family val="2"/>
      </rPr>
      <t xml:space="preserve">冻结</t>
    </r>
  </si>
  <si>
    <t xml:space="preserve">SOC-HSM-STATUS-001</t>
  </si>
  <si>
    <t xml:space="preserve">HSM-STATUS</t>
  </si>
  <si>
    <r>
      <rPr>
        <sz val="10"/>
        <color rgb="FF1F2937"/>
        <rFont val="Calibri"/>
        <family val="0"/>
        <charset val="1"/>
      </rPr>
      <t xml:space="preserve">HSM 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错误寄存器读取通路</t>
    </r>
  </si>
  <si>
    <r>
      <rPr>
        <sz val="10"/>
        <color rgb="FF1F2937"/>
        <rFont val="Noto Sans CJK SC"/>
        <family val="2"/>
      </rPr>
      <t xml:space="preserve">验证 </t>
    </r>
    <r>
      <rPr>
        <sz val="10"/>
        <color rgb="FF1F2937"/>
        <rFont val="Calibri"/>
        <family val="0"/>
        <charset val="1"/>
      </rPr>
      <t xml:space="preserve">SoC </t>
    </r>
    <r>
      <rPr>
        <sz val="10"/>
        <color rgb="FF1F2937"/>
        <rFont val="Noto Sans CJK SC"/>
        <family val="2"/>
      </rPr>
      <t xml:space="preserve">软件能够读取映射后的 </t>
    </r>
    <r>
      <rPr>
        <sz val="10"/>
        <color rgb="FF1F2937"/>
        <rFont val="Calibri"/>
        <family val="0"/>
        <charset val="1"/>
      </rPr>
      <t xml:space="preserve">o_hsm_status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o_hsm_err_hw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o_hsm_err_fw </t>
    </r>
    <r>
      <rPr>
        <sz val="10"/>
        <color rgb="FF1F2937"/>
        <rFont val="Noto Sans CJK SC"/>
        <family val="2"/>
      </rPr>
      <t xml:space="preserve">寄存器，作为通路冒烟；不声称覆盖每个状态位和错误位。</t>
    </r>
  </si>
  <si>
    <r>
      <rPr>
        <sz val="10"/>
        <color rgb="FF1F2937"/>
        <rFont val="Noto Sans CJK SC"/>
        <family val="2"/>
      </rPr>
      <t xml:space="preserve">冻结三个信号的 </t>
    </r>
    <r>
      <rPr>
        <sz val="10"/>
        <color rgb="FF1F2937"/>
        <rFont val="Calibri"/>
        <family val="0"/>
        <charset val="1"/>
      </rPr>
      <t xml:space="preserve">SoC </t>
    </r>
    <r>
      <rPr>
        <sz val="10"/>
        <color rgb="FF1F2937"/>
        <rFont val="Noto Sans CJK SC"/>
        <family val="2"/>
      </rPr>
      <t xml:space="preserve">地址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宽度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读取顺序和正常态预期；使用原版 </t>
    </r>
    <r>
      <rPr>
        <sz val="10"/>
        <color rgb="FF1F2937"/>
        <rFont val="Calibri"/>
        <family val="0"/>
        <charset val="1"/>
      </rPr>
      <t xml:space="preserve">eHSM BL/FW</t>
    </r>
    <r>
      <rPr>
        <sz val="10"/>
        <color rgb="FF1F2937"/>
        <rFont val="Noto Sans CJK SC"/>
        <family val="2"/>
      </rPr>
      <t xml:space="preserve">，不增加测试命令、测试钩子或固件定制。</t>
    </r>
  </si>
  <si>
    <r>
      <rPr>
        <sz val="10"/>
        <color rgb="FF1F2937"/>
        <rFont val="Noto Sans CJK SC"/>
        <family val="2"/>
      </rPr>
      <t xml:space="preserve">启动到稳定正常态；连续读取三个映射寄存器并保存 原始 值；执行一个已存在的无副作用 </t>
    </r>
    <r>
      <rPr>
        <sz val="10"/>
        <color rgb="FF1F2937"/>
        <rFont val="Calibri"/>
        <family val="0"/>
        <charset val="1"/>
      </rPr>
      <t xml:space="preserve">Mailbox BASIC </t>
    </r>
    <r>
      <rPr>
        <sz val="10"/>
        <color rgb="FF1F2937"/>
        <rFont val="Noto Sans CJK SC"/>
        <family val="2"/>
      </rPr>
      <t xml:space="preserve">命令；再次读取并比较文档允许的变化。</t>
    </r>
  </si>
  <si>
    <r>
      <rPr>
        <sz val="10"/>
        <color rgb="FF1F2937"/>
        <rFont val="Noto Sans CJK SC"/>
        <family val="2"/>
      </rPr>
      <t xml:space="preserve">正常启动状态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一条已有的只读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无副作用 </t>
    </r>
    <r>
      <rPr>
        <sz val="10"/>
        <color rgb="FF1F2937"/>
        <rFont val="Calibri"/>
        <family val="0"/>
        <charset val="1"/>
      </rPr>
      <t xml:space="preserve">BASIC </t>
    </r>
    <r>
      <rPr>
        <sz val="10"/>
        <color rgb="FF1F2937"/>
        <rFont val="Noto Sans CJK SC"/>
        <family val="2"/>
      </rPr>
      <t xml:space="preserve">命令。</t>
    </r>
  </si>
  <si>
    <r>
      <rPr>
        <sz val="10"/>
        <color rgb="FF1F2937"/>
        <rFont val="Noto Sans CJK SC"/>
        <family val="2"/>
      </rPr>
      <t xml:space="preserve">所有读取事务成功；原始 值可重复获取且符合冻结的正常态定义；不得凭未冻结位定义判 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。软件可构造错误另由</t>
    </r>
    <r>
      <rPr>
        <sz val="10"/>
        <color rgb="FF1F2937"/>
        <rFont val="Calibri"/>
        <family val="0"/>
        <charset val="1"/>
      </rPr>
      <t xml:space="preserve">SOC-HSM-ERROR-001</t>
    </r>
    <r>
      <rPr>
        <sz val="10"/>
        <color rgb="FF1F2937"/>
        <rFont val="Noto Sans CJK SC"/>
        <family val="2"/>
      </rPr>
      <t xml:space="preserve">验证，无法自然驱动的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由硬件补充验证。</t>
    </r>
  </si>
  <si>
    <t xml:space="preserve">NEEDS_HSM_STATUS_ERROR_REGISTER_MAP</t>
  </si>
  <si>
    <r>
      <rPr>
        <sz val="10"/>
        <color rgb="FF1F2937"/>
        <rFont val="Calibri"/>
        <family val="0"/>
        <charset val="1"/>
      </rPr>
      <t xml:space="preserve">SRC-0017 </t>
    </r>
    <r>
      <rPr>
        <sz val="10"/>
        <color rgb="FF1F2937"/>
        <rFont val="Noto Sans CJK SC"/>
        <family val="2"/>
      </rPr>
      <t xml:space="preserve">芯片系统安全方案 </t>
    </r>
    <r>
      <rPr>
        <sz val="10"/>
        <color rgb="FF1F2937"/>
        <rFont val="Calibri"/>
        <family val="0"/>
        <charset val="1"/>
      </rPr>
      <t xml:space="preserve">8.5/8.6/8.7/10.3; eHSM HP TRM 4.11 §2.5.2/§12.3/§12.4; SRC-0022</t>
    </r>
    <r>
      <rPr>
        <sz val="10"/>
        <color rgb="FF1F2937"/>
        <rFont val="Noto Sans CJK SC"/>
        <family val="2"/>
      </rPr>
      <t xml:space="preserve">（当前精确映射待补齐）</t>
    </r>
  </si>
  <si>
    <t xml:space="preserve">SOC-HSM-ERROR-001</t>
  </si>
  <si>
    <t xml:space="preserve">HSM-ERROR</t>
  </si>
  <si>
    <r>
      <rPr>
        <sz val="10"/>
        <color rgb="FF1F2937"/>
        <rFont val="Noto Sans CJK SC"/>
        <family val="2"/>
      </rPr>
      <t xml:space="preserve">软件可构造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错误到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寄存器映射</t>
    </r>
  </si>
  <si>
    <r>
      <rPr>
        <sz val="10"/>
        <color rgb="FF1F2937"/>
        <rFont val="Noto Sans CJK SC"/>
        <family val="2"/>
      </rPr>
      <t xml:space="preserve">使用现有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负向命令构造已知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错误，验证</t>
    </r>
    <r>
      <rPr>
        <sz val="10"/>
        <color rgb="FF1F2937"/>
        <rFont val="Calibri"/>
        <family val="0"/>
        <charset val="1"/>
      </rPr>
      <t xml:space="preserve">o_hsm_err_fw/o_hsm_status</t>
    </r>
    <r>
      <rPr>
        <sz val="10"/>
        <color rgb="FF1F2937"/>
        <rFont val="Noto Sans CJK SC"/>
        <family val="2"/>
      </rPr>
      <t xml:space="preserve">的软件可见映射、锁存、清除和恢复。</t>
    </r>
  </si>
  <si>
    <r>
      <rPr>
        <sz val="10"/>
        <color rgb="FF1F2937"/>
        <rFont val="Noto Sans CJK SC"/>
        <family val="2"/>
      </rPr>
      <t xml:space="preserve">冻结负向命令原始返回到</t>
    </r>
    <r>
      <rPr>
        <sz val="10"/>
        <color rgb="FF1F2937"/>
        <rFont val="Calibri"/>
        <family val="0"/>
        <charset val="1"/>
      </rPr>
      <t xml:space="preserve">o_hsm_err_fw/status bit</t>
    </r>
    <r>
      <rPr>
        <sz val="10"/>
        <color rgb="FF1F2937"/>
        <rFont val="Noto Sans CJK SC"/>
        <family val="2"/>
      </rPr>
      <t xml:space="preserve">的权威映射及清除语义；复用</t>
    </r>
    <r>
      <rPr>
        <sz val="10"/>
        <color rgb="FF1F2937"/>
        <rFont val="Calibri"/>
        <family val="0"/>
        <charset val="1"/>
      </rPr>
      <t xml:space="preserve">EHSM-NEG</t>
    </r>
    <r>
      <rPr>
        <sz val="10"/>
        <color rgb="FF1F2937"/>
        <rFont val="Noto Sans CJK SC"/>
        <family val="2"/>
      </rPr>
      <t xml:space="preserve">用例，不增加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测试命令或钩子。</t>
    </r>
  </si>
  <si>
    <r>
      <rPr>
        <sz val="10"/>
        <color rgb="FF1F2937"/>
        <rFont val="Noto Sans CJK SC"/>
        <family val="2"/>
      </rPr>
      <t xml:space="preserve">读取错误寄存器基线；执行错误签名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错误</t>
    </r>
    <r>
      <rPr>
        <sz val="10"/>
        <color rgb="FF1F2937"/>
        <rFont val="Calibri"/>
        <family val="0"/>
        <charset val="1"/>
      </rPr>
      <t xml:space="preserve">MAC/</t>
    </r>
    <r>
      <rPr>
        <sz val="10"/>
        <color rgb="FF1F2937"/>
        <rFont val="Noto Sans CJK SC"/>
        <family val="2"/>
      </rPr>
      <t xml:space="preserve">非法密钥等已明确映射的负向参数化测试输入；读取</t>
    </r>
    <r>
      <rPr>
        <sz val="10"/>
        <color rgb="FF1F2937"/>
        <rFont val="Calibri"/>
        <family val="0"/>
        <charset val="1"/>
      </rPr>
      <t xml:space="preserve">status/err_fw/err_hw</t>
    </r>
    <r>
      <rPr>
        <sz val="10"/>
        <color rgb="FF1F2937"/>
        <rFont val="Noto Sans CJK SC"/>
        <family val="2"/>
      </rPr>
      <t xml:space="preserve">；按合同清除；执行合法健康命令并再次读取。</t>
    </r>
  </si>
  <si>
    <r>
      <rPr>
        <sz val="10"/>
        <color rgb="FF1F2937"/>
        <rFont val="Noto Sans CJK SC"/>
        <family val="2"/>
      </rPr>
      <t xml:space="preserve">只纳入有权威映射的现有负向命令；不同错误作为参数化测试输入，未映射命令不猜测预期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</si>
  <si>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eHSM </t>
    </r>
    <r>
      <rPr>
        <sz val="10"/>
        <color rgb="FF1F2937"/>
        <rFont val="Noto Sans CJK SC"/>
        <family val="2"/>
      </rPr>
      <t xml:space="preserve">原始失败与指定</t>
    </r>
    <r>
      <rPr>
        <sz val="10"/>
        <color rgb="FF1F2937"/>
        <rFont val="Calibri"/>
        <family val="0"/>
        <charset val="1"/>
      </rPr>
      <t xml:space="preserve">err_fw/status bit</t>
    </r>
    <r>
      <rPr>
        <sz val="10"/>
        <color rgb="FF1F2937"/>
        <rFont val="Noto Sans CJK SC"/>
        <family val="2"/>
      </rPr>
      <t xml:space="preserve">一致；无无关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串扰；</t>
    </r>
    <r>
      <rPr>
        <sz val="10"/>
        <color rgb="FF1F2937"/>
        <rFont val="Calibri"/>
        <family val="0"/>
        <charset val="1"/>
      </rPr>
      <t xml:space="preserve">err_hw</t>
    </r>
    <r>
      <rPr>
        <sz val="10"/>
        <color rgb="FF1F2937"/>
        <rFont val="Noto Sans CJK SC"/>
        <family val="2"/>
      </rPr>
      <t xml:space="preserve">不因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业务错误误置位；锁存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清除符合合同；合法命令恢复成功。</t>
    </r>
  </si>
  <si>
    <t xml:space="preserve">NEEDS_EHSM_ERROR_TO_SOC_BIT_MAP</t>
  </si>
  <si>
    <r>
      <rPr>
        <sz val="10"/>
        <color rgb="FF1F2937"/>
        <rFont val="Calibri"/>
        <family val="0"/>
        <charset val="1"/>
      </rPr>
      <t xml:space="preserve">SRC-0017 </t>
    </r>
    <r>
      <rPr>
        <sz val="10"/>
        <color rgb="FF1F2937"/>
        <rFont val="Noto Sans CJK SC"/>
        <family val="2"/>
      </rPr>
      <t xml:space="preserve">芯片系统安全方案 </t>
    </r>
    <r>
      <rPr>
        <sz val="10"/>
        <color rgb="FF1F2937"/>
        <rFont val="Calibri"/>
        <family val="0"/>
        <charset val="1"/>
      </rPr>
      <t xml:space="preserve">8.5/8.6/8.7/10.3; eHSM HP TRM 4.11 §2.5.2/§12.3/§12.4; EHSM-NEG</t>
    </r>
    <r>
      <rPr>
        <sz val="10"/>
        <color rgb="FF1F2937"/>
        <rFont val="Noto Sans CJK SC"/>
        <family val="2"/>
      </rPr>
      <t xml:space="preserve">用例；错误到顶层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映射待</t>
    </r>
    <r>
      <rPr>
        <sz val="10"/>
        <color rgb="FF1F2937"/>
        <rFont val="Calibri"/>
        <family val="0"/>
        <charset val="1"/>
      </rPr>
      <t xml:space="preserve">Vendor/RTL</t>
    </r>
    <r>
      <rPr>
        <sz val="10"/>
        <color rgb="FF1F2937"/>
        <rFont val="Noto Sans CJK SC"/>
        <family val="2"/>
      </rPr>
      <t xml:space="preserve">冻结</t>
    </r>
  </si>
  <si>
    <t xml:space="preserve">SOC-RESET-001</t>
  </si>
  <si>
    <t xml:space="preserve">RESET</t>
  </si>
  <si>
    <t xml:space="preserve">软件可控复位后的安全状态恢复</t>
  </si>
  <si>
    <r>
      <rPr>
        <sz val="10"/>
        <color rgb="FF1F2937"/>
        <rFont val="Noto Sans CJK SC"/>
        <family val="2"/>
      </rPr>
      <t xml:space="preserve">通过现有复位 控制器、</t>
    </r>
    <r>
      <rPr>
        <sz val="10"/>
        <color rgb="FF1F2937"/>
        <rFont val="Calibri"/>
        <family val="0"/>
        <charset val="1"/>
      </rPr>
      <t xml:space="preserve">RAS</t>
    </r>
    <r>
      <rPr>
        <sz val="10"/>
        <color rgb="FF1F2937"/>
        <rFont val="Noto Sans CJK SC"/>
        <family val="2"/>
      </rPr>
      <t xml:space="preserve">接口或</t>
    </r>
    <r>
      <rPr>
        <sz val="10"/>
        <color rgb="FF1F2937"/>
        <rFont val="Calibri"/>
        <family val="0"/>
        <charset val="1"/>
      </rPr>
      <t xml:space="preserve">EMU</t>
    </r>
    <r>
      <rPr>
        <sz val="10"/>
        <color rgb="FF1F2937"/>
        <rFont val="Noto Sans CJK SC"/>
        <family val="2"/>
      </rPr>
      <t xml:space="preserve">控制触发</t>
    </r>
    <r>
      <rPr>
        <sz val="10"/>
        <color rgb="FF1F2937"/>
        <rFont val="Calibri"/>
        <family val="0"/>
        <charset val="1"/>
      </rPr>
      <t xml:space="preserve">eHSM </t>
    </r>
    <r>
      <rPr>
        <sz val="10"/>
        <color rgb="FF1F2937"/>
        <rFont val="Noto Sans CJK SC"/>
        <family val="2"/>
      </rPr>
      <t xml:space="preserve">复位</t>
    </r>
    <r>
      <rPr>
        <sz val="10"/>
        <color rgb="FF1F2937"/>
        <rFont val="Calibri"/>
        <family val="0"/>
        <charset val="1"/>
      </rPr>
      <t xml:space="preserve">/SoC </t>
    </r>
    <r>
      <rPr>
        <sz val="10"/>
        <color rgb="FF1F2937"/>
        <rFont val="Noto Sans CJK SC"/>
        <family val="2"/>
      </rPr>
      <t xml:space="preserve">热复位 复位，验证软件可见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HSM</t>
    </r>
    <r>
      <rPr>
        <sz val="10"/>
        <color rgb="FF1F2937"/>
        <rFont val="Noto Sans CJK SC"/>
        <family val="2"/>
      </rPr>
      <t xml:space="preserve">状态按复位 规则矩阵清除或保持。</t>
    </r>
  </si>
  <si>
    <r>
      <rPr>
        <sz val="10"/>
        <color rgb="FF1F2937"/>
        <rFont val="Noto Sans CJK SC"/>
        <family val="2"/>
      </rPr>
      <t xml:space="preserve">复位触发方法、复位 规则矩阵和测试重入机制已冻结；使用保持标记或外部</t>
    </r>
    <r>
      <rPr>
        <sz val="10"/>
        <color rgb="FF1F2937"/>
        <rFont val="Calibri"/>
        <family val="0"/>
        <charset val="1"/>
      </rPr>
      <t xml:space="preserve">runner</t>
    </r>
    <r>
      <rPr>
        <sz val="10"/>
        <color rgb="FF1F2937"/>
        <rFont val="Noto Sans CJK SC"/>
        <family val="2"/>
      </rPr>
      <t xml:space="preserve">区分复位前后阶段；不由</t>
    </r>
    <r>
      <rPr>
        <sz val="10"/>
        <color rgb="FF1F2937"/>
        <rFont val="Calibri"/>
        <family val="0"/>
        <charset val="1"/>
      </rPr>
      <t xml:space="preserve">security</t>
    </r>
    <r>
      <rPr>
        <sz val="10"/>
        <color rgb="FF1F2937"/>
        <rFont val="Noto Sans CJK SC"/>
        <family val="2"/>
      </rPr>
      <t xml:space="preserve">产品路径擅自复位。</t>
    </r>
  </si>
  <si>
    <r>
      <rPr>
        <sz val="10"/>
        <color rgb="FF1F2937"/>
        <rFont val="Noto Sans CJK SC"/>
        <family val="2"/>
      </rPr>
      <t xml:space="preserve">配置可恢复</t>
    </r>
    <r>
      <rPr>
        <sz val="10"/>
        <color rgb="FF1F2937"/>
        <rFont val="Calibri"/>
        <family val="0"/>
        <charset val="1"/>
      </rPr>
      <t xml:space="preserve">Firewall/</t>
    </r>
    <r>
      <rPr>
        <sz val="10"/>
        <color rgb="FF1F2937"/>
        <rFont val="Noto Sans CJK SC"/>
        <family val="2"/>
      </rPr>
      <t xml:space="preserve">寄存器基线并写入事务预置检查值；在</t>
    </r>
    <r>
      <rPr>
        <sz val="10"/>
        <color rgb="FF1F2937"/>
        <rFont val="Calibri"/>
        <family val="0"/>
        <charset val="1"/>
      </rPr>
      <t xml:space="preserve">idle</t>
    </r>
    <r>
      <rPr>
        <sz val="10"/>
        <color rgb="FF1F2937"/>
        <rFont val="Noto Sans CJK SC"/>
        <family val="2"/>
      </rPr>
      <t xml:space="preserve">和可控已提交阶段触发支持的复位；重启测试入口后读取</t>
    </r>
    <r>
      <rPr>
        <sz val="10"/>
        <color rgb="FF1F2937"/>
        <rFont val="Calibri"/>
        <family val="0"/>
        <charset val="1"/>
      </rPr>
      <t xml:space="preserve">Mailbox/status/error/Firewall</t>
    </r>
    <r>
      <rPr>
        <sz val="10"/>
        <color rgb="FF1F2937"/>
        <rFont val="Noto Sans CJK SC"/>
        <family val="2"/>
      </rPr>
      <t xml:space="preserve">；重新初始化并执行健康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</si>
  <si>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eHSM </t>
    </r>
    <r>
      <rPr>
        <sz val="10"/>
        <color rgb="FF1F2937"/>
        <rFont val="Noto Sans CJK SC"/>
        <family val="2"/>
      </rPr>
      <t xml:space="preserve">复位、</t>
    </r>
    <r>
      <rPr>
        <sz val="10"/>
        <color rgb="FF1F2937"/>
        <rFont val="Calibri"/>
        <family val="0"/>
        <charset val="1"/>
      </rPr>
      <t xml:space="preserve">SoC </t>
    </r>
    <r>
      <rPr>
        <sz val="10"/>
        <color rgb="FF1F2937"/>
        <rFont val="Noto Sans CJK SC"/>
        <family val="2"/>
      </rPr>
      <t xml:space="preserve">热复位 复位作为参数化测试输入；上电 复位和精确时钟周期相位留给硬件补充验证。</t>
    </r>
  </si>
  <si>
    <r>
      <rPr>
        <sz val="10"/>
        <color rgb="FF1F2937"/>
        <rFont val="Noto Sans CJK SC"/>
        <family val="2"/>
      </rPr>
      <t xml:space="preserve">复位后无旧事务伪成功或重放；软件可见状态的清除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保持符合矩阵；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无意外放宽；重新初始化后新事务独立成功。</t>
    </r>
  </si>
  <si>
    <t xml:space="preserve">L4_FAULT_RELEASE</t>
  </si>
  <si>
    <t xml:space="preserve">NEEDS_RESET_CONTROL_AND_MATRIX</t>
  </si>
  <si>
    <r>
      <rPr>
        <sz val="10"/>
        <color rgb="FF1F2937"/>
        <rFont val="Calibri"/>
        <family val="0"/>
        <charset val="1"/>
      </rPr>
      <t xml:space="preserve">SRC-0016/SRC-0017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reset matrix</t>
    </r>
    <r>
      <rPr>
        <sz val="10"/>
        <color rgb="FF1F2937"/>
        <rFont val="Noto Sans CJK SC"/>
        <family val="2"/>
      </rPr>
      <t xml:space="preserve">与控制接口待冻结</t>
    </r>
  </si>
  <si>
    <t xml:space="preserve">SOC-IRQ-001</t>
  </si>
  <si>
    <t xml:space="preserve">IRQ</t>
  </si>
  <si>
    <r>
      <rPr>
        <sz val="10"/>
        <color rgb="FF1F2937"/>
        <rFont val="Calibri"/>
        <family val="0"/>
        <charset val="1"/>
      </rPr>
      <t xml:space="preserve">Mailbox/</t>
    </r>
    <r>
      <rPr>
        <sz val="10"/>
        <color rgb="FF1F2937"/>
        <rFont val="Noto Sans CJK SC"/>
        <family val="2"/>
      </rPr>
      <t xml:space="preserve">错误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软件功能</t>
    </r>
  </si>
  <si>
    <r>
      <rPr>
        <sz val="10"/>
        <color rgb="FF1F2937"/>
        <rFont val="Noto Sans CJK SC"/>
        <family val="2"/>
      </rPr>
      <t xml:space="preserve">通过软件配置</t>
    </r>
    <r>
      <rPr>
        <sz val="10"/>
        <color rgb="FF1F2937"/>
        <rFont val="Calibri"/>
        <family val="0"/>
        <charset val="1"/>
      </rPr>
      <t xml:space="preserve">APLIC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IRQ </t>
    </r>
    <r>
      <rPr>
        <sz val="10"/>
        <color rgb="FF1F2937"/>
        <rFont val="Noto Sans CJK SC"/>
        <family val="2"/>
      </rPr>
      <t xml:space="preserve">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清除和中断处理函数，验证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</t>
    </r>
    <r>
      <rPr>
        <sz val="10"/>
        <color rgb="FF1F2937"/>
        <rFont val="Calibri"/>
        <family val="0"/>
        <charset val="1"/>
      </rPr>
      <t xml:space="preserve">Mailbox IRQ</t>
    </r>
    <r>
      <rPr>
        <sz val="10"/>
        <color rgb="FF1F2937"/>
        <rFont val="Noto Sans CJK SC"/>
        <family val="2"/>
      </rPr>
      <t xml:space="preserve">及可软件构造错误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的路由、屏蔽、识别和清除。</t>
    </r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</si>
  <si>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</t>
    </r>
    <r>
      <rPr>
        <sz val="10"/>
        <color rgb="FF1F2937"/>
        <rFont val="Calibri"/>
        <family val="0"/>
        <charset val="1"/>
      </rPr>
      <t xml:space="preserve">encoded IRQ</t>
    </r>
    <r>
      <rPr>
        <sz val="10"/>
        <color rgb="FF1F2937"/>
        <rFont val="Noto Sans CJK SC"/>
        <family val="2"/>
      </rPr>
      <t xml:space="preserve">宏已存在；通道到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逐项映射、错误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、屏蔽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清除寄存器和独立测试配置方案已冻结；产品首版仍可保持轮询。</t>
    </r>
  </si>
  <si>
    <r>
      <rPr>
        <sz val="10"/>
        <color rgb="FF1F2937"/>
        <rFont val="Noto Sans CJK SC"/>
        <family val="2"/>
      </rPr>
      <t xml:space="preserve">逐通道注册中断处理函数并使能；提交无副作用命令；检查中断服务程序（</t>
    </r>
    <r>
      <rPr>
        <sz val="10"/>
        <color rgb="FF1F2937"/>
        <rFont val="Calibri"/>
        <family val="0"/>
        <charset val="1"/>
      </rPr>
      <t xml:space="preserve">ISR</t>
    </r>
    <r>
      <rPr>
        <sz val="10"/>
        <color rgb="FF1F2937"/>
        <rFont val="Noto Sans CJK SC"/>
        <family val="2"/>
      </rPr>
      <t xml:space="preserve">） 来源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计数器；屏蔽后重复并以轮询确认事件仍可完成；解除屏蔽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清除后复测；对有映射的错误事件执行相同步骤。</t>
    </r>
  </si>
  <si>
    <r>
      <rPr>
        <sz val="10"/>
        <color rgb="FF1F2937"/>
        <rFont val="Noto Sans CJK SC"/>
        <family val="2"/>
      </rPr>
      <t xml:space="preserve">通道 </t>
    </r>
    <r>
      <rPr>
        <sz val="10"/>
        <color rgb="FF1F2937"/>
        <rFont val="Calibri"/>
        <family val="0"/>
        <charset val="1"/>
      </rPr>
      <t xml:space="preserve">0</t>
    </r>
    <r>
      <rPr>
        <sz val="10"/>
        <color rgb="FF1F2937"/>
        <rFont val="Noto Sans CJK SC"/>
        <family val="2"/>
      </rPr>
      <t xml:space="preserve">～</t>
    </r>
    <r>
      <rPr>
        <sz val="10"/>
        <color rgb="FF1F2937"/>
        <rFont val="Calibri"/>
        <family val="0"/>
        <charset val="1"/>
      </rPr>
      <t xml:space="preserve">15</t>
    </r>
    <r>
      <rPr>
        <sz val="10"/>
        <color rgb="FF1F2937"/>
        <rFont val="Noto Sans CJK SC"/>
        <family val="2"/>
      </rPr>
      <t xml:space="preserve">、屏蔽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解除屏蔽、连续两次事件和可软件构造错误作为同一用例的参数化测试输入。</t>
    </r>
  </si>
  <si>
    <r>
      <rPr>
        <sz val="10"/>
        <color rgb="FF1F2937"/>
        <rFont val="Noto Sans CJK SC"/>
        <family val="2"/>
      </rPr>
      <t xml:space="preserve">只有对应</t>
    </r>
    <r>
      <rPr>
        <sz val="10"/>
        <color rgb="FF1F2937"/>
        <rFont val="Calibri"/>
        <family val="0"/>
        <charset val="1"/>
      </rPr>
      <t xml:space="preserve">IRQ/</t>
    </r>
    <r>
      <rPr>
        <sz val="10"/>
        <color rgb="FF1F2937"/>
        <rFont val="Noto Sans CJK SC"/>
        <family val="2"/>
      </rPr>
      <t xml:space="preserve">中断处理函数计数增加；屏蔽时不进入中断服务程序（</t>
    </r>
    <r>
      <rPr>
        <sz val="10"/>
        <color rgb="FF1F2937"/>
        <rFont val="Calibri"/>
        <family val="0"/>
        <charset val="1"/>
      </rPr>
      <t xml:space="preserve">ISR</t>
    </r>
    <r>
      <rPr>
        <sz val="10"/>
        <color rgb="FF1F2937"/>
        <rFont val="Noto Sans CJK SC"/>
        <family val="2"/>
      </rPr>
      <t xml:space="preserve">）但轮询状态仍正确；清除后不风暴且下一事件可再次触发；无跨通道串源。脉冲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跨时钟域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多源同周期由硬件补充验证。</t>
    </r>
  </si>
  <si>
    <t xml:space="preserve">NEEDS_IRQ_CHANNEL_ERROR_MAP_AND_TEST_PROFILE</t>
  </si>
  <si>
    <r>
      <rPr>
        <sz val="10"/>
        <color rgb="FF1F2937"/>
        <rFont val="Calibri"/>
        <family val="0"/>
        <charset val="1"/>
      </rPr>
      <t xml:space="preserve">CE-SEC-010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SRC-0022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逐</t>
    </r>
    <r>
      <rPr>
        <sz val="10"/>
        <color rgb="FF1F2937"/>
        <rFont val="Calibri"/>
        <family val="0"/>
        <charset val="1"/>
      </rPr>
      <t xml:space="preserve">channel</t>
    </r>
    <r>
      <rPr>
        <sz val="10"/>
        <color rgb="FF1F2937"/>
        <rFont val="Noto Sans CJK SC"/>
        <family val="2"/>
      </rPr>
      <t xml:space="preserve">和错误源映射待冻结</t>
    </r>
  </si>
  <si>
    <r>
      <rPr>
        <b val="true"/>
        <sz val="16"/>
        <color rgb="FFFFFFFF"/>
        <rFont val="Calibri"/>
        <family val="0"/>
        <charset val="1"/>
      </rPr>
      <t xml:space="preserve">SoC</t>
    </r>
    <r>
      <rPr>
        <b val="true"/>
        <sz val="16"/>
        <color rgb="FFFFFFFF"/>
        <rFont val="Noto Sans CJK SC"/>
        <family val="2"/>
      </rPr>
      <t xml:space="preserve">软件功能用例对应的硬件补充验证需求</t>
    </r>
  </si>
  <si>
    <r>
      <rPr>
        <b val="true"/>
        <sz val="11"/>
        <color rgb="FFFFFFFF"/>
        <rFont val="Noto Sans CJK SC"/>
        <family val="2"/>
      </rPr>
      <t xml:space="preserve">需求 </t>
    </r>
    <r>
      <rPr>
        <b val="true"/>
        <sz val="11"/>
        <color rgb="FFFFFFFF"/>
        <rFont val="Calibri"/>
        <family val="0"/>
        <charset val="1"/>
      </rPr>
      <t xml:space="preserve">ID</t>
    </r>
  </si>
  <si>
    <t xml:space="preserve">补充验证目标</t>
  </si>
  <si>
    <t xml:space="preserve">关联软件用例</t>
  </si>
  <si>
    <r>
      <rPr>
        <b val="true"/>
        <sz val="11"/>
        <color rgb="FFFFFFFF"/>
        <rFont val="Noto Sans CJK SC"/>
        <family val="2"/>
      </rPr>
      <t xml:space="preserve">软件配置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激励</t>
    </r>
  </si>
  <si>
    <t xml:space="preserve">软件通过判据</t>
  </si>
  <si>
    <t xml:space="preserve">仍需硬件补充的内容</t>
  </si>
  <si>
    <t xml:space="preserve">建议责任人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</si>
  <si>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待绑定</t>
    </r>
  </si>
  <si>
    <t xml:space="preserve">分层结论</t>
  </si>
  <si>
    <t xml:space="preserve">禁止事项</t>
  </si>
  <si>
    <t xml:space="preserve">HW-MBX-001</t>
  </si>
  <si>
    <t xml:space="preserve">MAILBOX_PATH</t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</si>
  <si>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内部译码补充</t>
    </r>
  </si>
  <si>
    <r>
      <rPr>
        <sz val="10"/>
        <color rgb="FF1F2937"/>
        <rFont val="Noto Sans CJK SC"/>
        <family val="2"/>
      </rPr>
      <t xml:space="preserve">软件遍历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路并检查响应归属、邻路预置检查值和未实现窗口。</t>
    </r>
  </si>
  <si>
    <t xml:space="preserve">每路功能独立且无软件可见串扰。</t>
  </si>
  <si>
    <r>
      <rPr>
        <sz val="10"/>
        <color rgb="FF1F2937"/>
        <rFont val="Noto Sans CJK SC"/>
        <family val="2"/>
      </rPr>
      <t xml:space="preserve">内部</t>
    </r>
    <r>
      <rPr>
        <sz val="10"/>
        <color rgb="FF1F2937"/>
        <rFont val="Calibri"/>
        <family val="0"/>
        <charset val="1"/>
      </rPr>
      <t xml:space="preserve">address decode/</t>
    </r>
    <r>
      <rPr>
        <sz val="10"/>
        <color rgb="FF1F2937"/>
        <rFont val="Noto Sans CJK SC"/>
        <family val="2"/>
      </rPr>
      <t xml:space="preserve">从设备 </t>
    </r>
    <r>
      <rPr>
        <sz val="10"/>
        <color rgb="FF1F2937"/>
        <rFont val="Calibri"/>
        <family val="0"/>
        <charset val="1"/>
      </rPr>
      <t xml:space="preserve">select</t>
    </r>
    <r>
      <rPr>
        <sz val="10"/>
        <color rgb="FF1F2937"/>
        <rFont val="Noto Sans CJK SC"/>
        <family val="2"/>
      </rPr>
      <t xml:space="preserve">、保留地址全空间和不可见短脉冲断言。</t>
    </r>
  </si>
  <si>
    <t xml:space="preserve">RTL/DV</t>
  </si>
  <si>
    <r>
      <rPr>
        <sz val="10"/>
        <color rgb="FF1F2937"/>
        <rFont val="Calibri"/>
        <family val="0"/>
        <charset val="1"/>
      </rPr>
      <t xml:space="preserve">SRC-0018; SRC-0022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direct aperture</t>
    </r>
    <r>
      <rPr>
        <sz val="10"/>
        <color rgb="FF1F2937"/>
        <rFont val="Noto Sans CJK SC"/>
        <family val="2"/>
      </rPr>
      <t xml:space="preserve">待冻结</t>
    </r>
  </si>
  <si>
    <r>
      <rPr>
        <sz val="10"/>
        <color rgb="FF1F2937"/>
        <rFont val="Noto Sans CJK SC"/>
        <family val="2"/>
      </rPr>
      <t xml:space="preserve">软件用例</t>
    </r>
    <r>
      <rPr>
        <sz val="10"/>
        <color rgb="FF1F2937"/>
        <rFont val="Calibri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硬件补充</t>
    </r>
  </si>
  <si>
    <t xml:space="preserve">已规划</t>
  </si>
  <si>
    <r>
      <rPr>
        <sz val="10"/>
        <color rgb="FF1F2937"/>
        <rFont val="Noto Sans CJK SC"/>
        <family val="2"/>
      </rPr>
      <t xml:space="preserve">不得要求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固件定制、测试命令或测试钩子；软件功能通过与硬件补充验证证据分别记录</t>
    </r>
  </si>
  <si>
    <t xml:space="preserve">HW-MBX-002</t>
  </si>
  <si>
    <r>
      <rPr>
        <sz val="10"/>
        <color rgb="FF1F2937"/>
        <rFont val="Calibri"/>
        <family val="0"/>
        <charset val="1"/>
      </rPr>
      <t xml:space="preserve">INFO/NOTE</t>
    </r>
    <r>
      <rPr>
        <sz val="10"/>
        <color rgb="FF1F2937"/>
        <rFont val="Noto Sans CJK SC"/>
        <family val="2"/>
      </rPr>
      <t xml:space="preserve">逐周期与跨时钟域补充</t>
    </r>
  </si>
  <si>
    <r>
      <rPr>
        <sz val="10"/>
        <color rgb="FF1F2937"/>
        <rFont val="Noto Sans CJK SC"/>
        <family val="2"/>
      </rPr>
      <t xml:space="preserve">软件记录</t>
    </r>
    <r>
      <rPr>
        <sz val="10"/>
        <color rgb="FF1F2937"/>
        <rFont val="Calibri"/>
        <family val="0"/>
        <charset val="1"/>
      </rPr>
      <t xml:space="preserve">INFO/NOTE</t>
    </r>
    <r>
      <rPr>
        <sz val="10"/>
        <color rgb="FF1F2937"/>
        <rFont val="Noto Sans CJK SC"/>
        <family val="2"/>
      </rPr>
      <t xml:space="preserve">阶段快照、连续事务和轮询结果。</t>
    </r>
  </si>
  <si>
    <r>
      <rPr>
        <sz val="10"/>
        <color rgb="FF1F2937"/>
        <rFont val="Noto Sans CJK SC"/>
        <family val="2"/>
      </rPr>
      <t xml:space="preserve">数据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通知顺序正确，无重放和软件可见丢失。</t>
    </r>
  </si>
  <si>
    <t xml:space="preserve">逐时钟周期发布顺序、跨时钟同步、同周期竞争和脉冲不丢失。</t>
  </si>
  <si>
    <t xml:space="preserve">SRC-0018; eHSM HP TRM</t>
  </si>
  <si>
    <t xml:space="preserve">HW-FW-001</t>
  </si>
  <si>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配置内部阻断补充</t>
    </r>
  </si>
  <si>
    <r>
      <rPr>
        <sz val="10"/>
        <color rgb="FF1F2937"/>
        <rFont val="Calibri"/>
        <family val="0"/>
        <charset val="1"/>
      </rPr>
      <t xml:space="preserve">C908</t>
    </r>
    <r>
      <rPr>
        <sz val="10"/>
        <color rgb="FF1F2937"/>
        <rFont val="Noto Sans CJK SC"/>
        <family val="2"/>
      </rPr>
      <t xml:space="preserve">和非安全管理核写同一配置并回读。</t>
    </r>
  </si>
  <si>
    <r>
      <rPr>
        <sz val="10"/>
        <color rgb="FF1F2937"/>
        <rFont val="Calibri"/>
        <family val="0"/>
        <charset val="1"/>
      </rPr>
      <t xml:space="preserve">C908</t>
    </r>
    <r>
      <rPr>
        <sz val="10"/>
        <color rgb="FF1F2937"/>
        <rFont val="Noto Sans CJK SC"/>
        <family val="2"/>
      </rPr>
      <t xml:space="preserve">生效，非安全管理核写不生效且配置不变。</t>
    </r>
  </si>
  <si>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命中、内部</t>
    </r>
    <r>
      <rPr>
        <sz val="10"/>
        <color rgb="FF1F2937"/>
        <rFont val="Calibri"/>
        <family val="0"/>
        <charset val="1"/>
      </rPr>
      <t xml:space="preserve">write-</t>
    </r>
    <r>
      <rPr>
        <sz val="10"/>
        <color rgb="FF1F2937"/>
        <rFont val="Noto Sans CJK SC"/>
        <family val="2"/>
      </rPr>
      <t xml:space="preserve">使能不产生及总线响应波形。</t>
    </r>
  </si>
  <si>
    <r>
      <rPr>
        <sz val="10"/>
        <color rgb="FF1F2937"/>
        <rFont val="Noto Sans CJK SC"/>
        <family val="2"/>
      </rPr>
      <t xml:space="preserve">精确</t>
    </r>
    <r>
      <rPr>
        <sz val="10"/>
        <color rgb="FF1F2937"/>
        <rFont val="Calibri"/>
        <family val="0"/>
        <charset val="1"/>
      </rPr>
      <t xml:space="preserve">master_id/</t>
    </r>
    <r>
      <rPr>
        <sz val="10"/>
        <color rgb="FF1F2937"/>
        <rFont val="Noto Sans CJK SC"/>
        <family val="2"/>
      </rPr>
      <t xml:space="preserve">寄存器待</t>
    </r>
    <r>
      <rPr>
        <sz val="10"/>
        <color rgb="FF1F2937"/>
        <rFont val="Calibri"/>
        <family val="0"/>
        <charset val="1"/>
      </rPr>
      <t xml:space="preserve">RTL/SRC-0022</t>
    </r>
    <r>
      <rPr>
        <sz val="10"/>
        <color rgb="FF1F2937"/>
        <rFont val="Noto Sans CJK SC"/>
        <family val="2"/>
      </rPr>
      <t xml:space="preserve">冻结</t>
    </r>
  </si>
  <si>
    <t xml:space="preserve">HW-FW-002</t>
  </si>
  <si>
    <r>
      <rPr>
        <sz val="10"/>
        <color rgb="FF1F2937"/>
        <rFont val="Calibri"/>
        <family val="0"/>
        <charset val="1"/>
      </rPr>
      <t xml:space="preserve">SRAM</t>
    </r>
    <r>
      <rPr>
        <sz val="10"/>
        <color rgb="FF1F2937"/>
        <rFont val="Noto Sans CJK SC"/>
        <family val="2"/>
      </rPr>
      <t xml:space="preserve">隔离逐拍阻断补充</t>
    </r>
  </si>
  <si>
    <r>
      <rPr>
        <sz val="10"/>
        <color rgb="FF1F2937"/>
        <rFont val="Noto Sans CJK SC"/>
        <family val="2"/>
      </rPr>
      <t xml:space="preserve">软件配置区域并执行授权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未授权读写、边界和保护哨兵区检查。</t>
    </r>
  </si>
  <si>
    <t xml:space="preserve">授权访问正确，未授权不读真值且不改变数据。</t>
  </si>
  <si>
    <r>
      <rPr>
        <sz val="10"/>
        <color rgb="FF1F2937"/>
        <rFont val="Noto Sans CJK SC"/>
        <family val="2"/>
      </rPr>
      <t xml:space="preserve">跨区</t>
    </r>
    <r>
      <rPr>
        <sz val="10"/>
        <color rgb="FF1F2937"/>
        <rFont val="Calibri"/>
        <family val="0"/>
        <charset val="1"/>
      </rPr>
      <t xml:space="preserve">/burst</t>
    </r>
    <r>
      <rPr>
        <sz val="10"/>
        <color rgb="FF1F2937"/>
        <rFont val="Noto Sans CJK SC"/>
        <family val="2"/>
      </rPr>
      <t xml:space="preserve">每拍判定、从设备 </t>
    </r>
    <r>
      <rPr>
        <sz val="10"/>
        <color rgb="FF1F2937"/>
        <rFont val="Calibri"/>
        <family val="0"/>
        <charset val="1"/>
      </rPr>
      <t xml:space="preserve">select/write-</t>
    </r>
    <r>
      <rPr>
        <sz val="10"/>
        <color rgb="FF1F2937"/>
        <rFont val="Noto Sans CJK SC"/>
        <family val="2"/>
      </rPr>
      <t xml:space="preserve">使能不产生及不可见瞬态。</t>
    </r>
  </si>
  <si>
    <r>
      <rPr>
        <sz val="10"/>
        <color rgb="FF1F2937"/>
        <rFont val="Calibri"/>
        <family val="0"/>
        <charset val="1"/>
      </rPr>
      <t xml:space="preserve">SRC-0017 §10.3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Region/</t>
    </r>
    <r>
      <rPr>
        <sz val="10"/>
        <color rgb="FF1F2937"/>
        <rFont val="Noto Sans CJK SC"/>
        <family val="2"/>
      </rPr>
      <t xml:space="preserve">权限</t>
    </r>
    <r>
      <rPr>
        <sz val="10"/>
        <color rgb="FF1F2937"/>
        <rFont val="Calibri"/>
        <family val="0"/>
        <charset val="1"/>
      </rPr>
      <t xml:space="preserve">/response</t>
    </r>
    <r>
      <rPr>
        <sz val="10"/>
        <color rgb="FF1F2937"/>
        <rFont val="Noto Sans CJK SC"/>
        <family val="2"/>
      </rPr>
      <t xml:space="preserve">待冻结</t>
    </r>
  </si>
  <si>
    <t xml:space="preserve">HW-HSM-001</t>
  </si>
  <si>
    <t xml:space="preserve">HSM_STATUS_ERROR</t>
  </si>
  <si>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错误未覆盖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映射补充</t>
    </r>
  </si>
  <si>
    <t xml:space="preserve">SOC-HSM-STATUS-001 + SOC-HSM-ERROR-001</t>
  </si>
  <si>
    <r>
      <rPr>
        <sz val="10"/>
        <color rgb="FF1F2937"/>
        <rFont val="Noto Sans CJK SC"/>
        <family val="2"/>
      </rPr>
      <t xml:space="preserve">软件读取正常态并用已有负向命令驱动可构造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</si>
  <si>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正常值和已映射错误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读取正确，无无关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串扰。</t>
    </r>
  </si>
  <si>
    <r>
      <rPr>
        <sz val="10"/>
        <color rgb="FF1F2937"/>
        <rFont val="Noto Sans CJK SC"/>
        <family val="2"/>
      </rPr>
      <t xml:space="preserve">软件无法自然驱动的全部实现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、极性、宽度、跨时钟域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锁存和保留位。</t>
    </r>
  </si>
  <si>
    <t xml:space="preserve">eHSM/RTL/DV</t>
  </si>
  <si>
    <r>
      <rPr>
        <sz val="10"/>
        <color rgb="FF1F2937"/>
        <rFont val="Calibri"/>
        <family val="0"/>
        <charset val="1"/>
      </rPr>
      <t xml:space="preserve">SRC-0018; SRC-0022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bit map</t>
    </r>
    <r>
      <rPr>
        <sz val="10"/>
        <color rgb="FF1F2937"/>
        <rFont val="Noto Sans CJK SC"/>
        <family val="2"/>
      </rPr>
      <t xml:space="preserve">待冻结</t>
    </r>
  </si>
  <si>
    <t xml:space="preserve">HW-HSM-002</t>
  </si>
  <si>
    <t xml:space="preserve">硬件错误源与脉冲行为补充</t>
  </si>
  <si>
    <r>
      <rPr>
        <sz val="10"/>
        <color rgb="FF1F2937"/>
        <rFont val="Noto Sans CJK SC"/>
        <family val="2"/>
      </rPr>
      <t xml:space="preserve">软件用错误签名</t>
    </r>
    <r>
      <rPr>
        <sz val="10"/>
        <color rgb="FF1F2937"/>
        <rFont val="Calibri"/>
        <family val="0"/>
        <charset val="1"/>
      </rPr>
      <t xml:space="preserve">/MAC/</t>
    </r>
    <r>
      <rPr>
        <sz val="10"/>
        <color rgb="FF1F2937"/>
        <rFont val="Noto Sans CJK SC"/>
        <family val="2"/>
      </rPr>
      <t xml:space="preserve">密钥等已映射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错误检查锁存、清除和恢复。</t>
    </r>
  </si>
  <si>
    <r>
      <rPr>
        <sz val="10"/>
        <color rgb="FF1F2937"/>
        <rFont val="Noto Sans CJK SC"/>
        <family val="2"/>
      </rPr>
      <t xml:space="preserve">原始错误、目标</t>
    </r>
    <r>
      <rPr>
        <sz val="10"/>
        <color rgb="FF1F2937"/>
        <rFont val="Calibri"/>
        <family val="0"/>
        <charset val="1"/>
      </rPr>
      <t xml:space="preserve">err_fw/status bit</t>
    </r>
    <r>
      <rPr>
        <sz val="10"/>
        <color rgb="FF1F2937"/>
        <rFont val="Noto Sans CJK SC"/>
        <family val="2"/>
      </rPr>
      <t xml:space="preserve">及清除恢复一致。</t>
    </r>
  </si>
  <si>
    <r>
      <rPr>
        <sz val="10"/>
        <color rgb="FF1F2937"/>
        <rFont val="Calibri"/>
        <family val="0"/>
        <charset val="1"/>
      </rPr>
      <t xml:space="preserve">ECC/watchdog</t>
    </r>
    <r>
      <rPr>
        <sz val="10"/>
        <color rgb="FF1F2937"/>
        <rFont val="Noto Sans CJK SC"/>
        <family val="2"/>
      </rPr>
      <t xml:space="preserve">等硬件错误、无法公开构造的</t>
    </r>
    <r>
      <rPr>
        <sz val="10"/>
        <color rgb="FF1F2937"/>
        <rFont val="Calibri"/>
        <family val="0"/>
        <charset val="1"/>
      </rPr>
      <t xml:space="preserve">err_hw</t>
    </r>
    <r>
      <rPr>
        <sz val="10"/>
        <color rgb="FF1F2937"/>
        <rFont val="Noto Sans CJK SC"/>
        <family val="2"/>
      </rPr>
      <t xml:space="preserve">、脉冲捕获和计数边界。</t>
    </r>
  </si>
  <si>
    <r>
      <rPr>
        <sz val="10"/>
        <color rgb="FF1F2937"/>
        <rFont val="Noto Sans CJK SC"/>
        <family val="2"/>
      </rPr>
      <t xml:space="preserve">错误源到输出映射和</t>
    </r>
    <r>
      <rPr>
        <sz val="10"/>
        <color rgb="FF1F2937"/>
        <rFont val="Calibri"/>
        <family val="0"/>
        <charset val="1"/>
      </rPr>
      <t xml:space="preserve">fault model</t>
    </r>
    <r>
      <rPr>
        <sz val="10"/>
        <color rgb="FF1F2937"/>
        <rFont val="Noto Sans CJK SC"/>
        <family val="2"/>
      </rPr>
      <t xml:space="preserve">待冻结</t>
    </r>
  </si>
  <si>
    <t xml:space="preserve">HW-RST-001</t>
  </si>
  <si>
    <t xml:space="preserve">精确复位相位和内部状态补充</t>
  </si>
  <si>
    <r>
      <rPr>
        <sz val="10"/>
        <color rgb="FF1F2937"/>
        <rFont val="Noto Sans CJK SC"/>
        <family val="2"/>
      </rPr>
      <t xml:space="preserve">软件触发可控</t>
    </r>
    <r>
      <rPr>
        <sz val="10"/>
        <color rgb="FF1F2937"/>
        <rFont val="Calibri"/>
        <family val="0"/>
        <charset val="1"/>
      </rPr>
      <t xml:space="preserve">eHSM/</t>
    </r>
    <r>
      <rPr>
        <sz val="10"/>
        <color rgb="FF1F2937"/>
        <rFont val="Noto Sans CJK SC"/>
        <family val="2"/>
      </rPr>
      <t xml:space="preserve">热复位 复位并检查重启后的</t>
    </r>
    <r>
      <rPr>
        <sz val="10"/>
        <color rgb="FF1F2937"/>
        <rFont val="Calibri"/>
        <family val="0"/>
        <charset val="1"/>
      </rPr>
      <t xml:space="preserve">Mailbox/Firewall/status/error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</si>
  <si>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无旧事务伪成功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重放，软件可见清除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保持符合规则矩阵。</t>
    </r>
  </si>
  <si>
    <r>
      <rPr>
        <sz val="10"/>
        <color rgb="FF1F2937"/>
        <rFont val="Noto Sans CJK SC"/>
        <family val="2"/>
      </rPr>
      <t xml:space="preserve">上电 复位、精确请求相位、内部状态机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复位 </t>
    </r>
    <r>
      <rPr>
        <sz val="10"/>
        <color rgb="FF1F2937"/>
        <rFont val="Calibri"/>
        <family val="0"/>
        <charset val="1"/>
      </rPr>
      <t xml:space="preserve">domain/</t>
    </r>
    <r>
      <rPr>
        <sz val="10"/>
        <color rgb="FF1F2937"/>
        <rFont val="Noto Sans CJK SC"/>
        <family val="2"/>
      </rPr>
      <t xml:space="preserve">跨时钟域和不可见瞬态。</t>
    </r>
  </si>
  <si>
    <t xml:space="preserve">RTL/DV/SoC</t>
  </si>
  <si>
    <r>
      <rPr>
        <sz val="10"/>
        <color rgb="FF1F2937"/>
        <rFont val="Calibri"/>
        <family val="0"/>
        <charset val="1"/>
      </rPr>
      <t xml:space="preserve">reset control</t>
    </r>
    <r>
      <rPr>
        <sz val="10"/>
        <color rgb="FF1F2937"/>
        <rFont val="Noto Sans CJK SC"/>
        <family val="2"/>
      </rPr>
      <t xml:space="preserve">与</t>
    </r>
    <r>
      <rPr>
        <sz val="10"/>
        <color rgb="FF1F2937"/>
        <rFont val="Calibri"/>
        <family val="0"/>
        <charset val="1"/>
      </rPr>
      <t xml:space="preserve">matrix</t>
    </r>
    <r>
      <rPr>
        <sz val="10"/>
        <color rgb="FF1F2937"/>
        <rFont val="Noto Sans CJK SC"/>
        <family val="2"/>
      </rPr>
      <t xml:space="preserve">待冻结</t>
    </r>
  </si>
  <si>
    <t xml:space="preserve">HW-IRQ-001</t>
  </si>
  <si>
    <t xml:space="preserve">INTERRUPT</t>
  </si>
  <si>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逐周期与多源并发补充</t>
    </r>
  </si>
  <si>
    <r>
      <rPr>
        <sz val="10"/>
        <color rgb="FF1F2937"/>
        <rFont val="Noto Sans CJK SC"/>
        <family val="2"/>
      </rPr>
      <t xml:space="preserve">软件配置</t>
    </r>
    <r>
      <rPr>
        <sz val="10"/>
        <color rgb="FF1F2937"/>
        <rFont val="Calibri"/>
        <family val="0"/>
        <charset val="1"/>
      </rPr>
      <t xml:space="preserve">APLIC</t>
    </r>
    <r>
      <rPr>
        <sz val="10"/>
        <color rgb="FF1F2937"/>
        <rFont val="Noto Sans CJK SC"/>
        <family val="2"/>
      </rPr>
      <t xml:space="preserve">、屏蔽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中断处理函数并逐通道触发命令和可构造错误。</t>
    </r>
  </si>
  <si>
    <r>
      <rPr>
        <sz val="10"/>
        <color rgb="FF1F2937"/>
        <rFont val="Noto Sans CJK SC"/>
        <family val="2"/>
      </rPr>
      <t xml:space="preserve">正确来源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中断处理函数，屏蔽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清除有效，无软件可见串源或风暴。</t>
    </r>
  </si>
  <si>
    <r>
      <rPr>
        <sz val="10"/>
        <color rgb="FF1F2937"/>
        <rFont val="Noto Sans CJK SC"/>
        <family val="2"/>
      </rPr>
      <t xml:space="preserve">脉冲宽度、跨时钟域、聚合逻辑、多源同周期、优先级和无法软件构造的错误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</si>
  <si>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Calibri"/>
        <family val="0"/>
        <charset val="1"/>
      </rPr>
      <t xml:space="preserve">SRC-0022</t>
    </r>
    <r>
      <rPr>
        <sz val="10"/>
        <color rgb="FF1F2937"/>
        <rFont val="Noto Sans CJK SC"/>
        <family val="2"/>
      </rPr>
      <t xml:space="preserve">已有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路宏；逐</t>
    </r>
    <r>
      <rPr>
        <sz val="10"/>
        <color rgb="FF1F2937"/>
        <rFont val="Calibri"/>
        <family val="0"/>
        <charset val="1"/>
      </rPr>
      <t xml:space="preserve">channel/error map</t>
    </r>
    <r>
      <rPr>
        <sz val="10"/>
        <color rgb="FF1F2937"/>
        <rFont val="Noto Sans CJK SC"/>
        <family val="2"/>
      </rPr>
      <t xml:space="preserve">待冻结</t>
    </r>
  </si>
  <si>
    <r>
      <rPr>
        <b val="true"/>
        <sz val="16"/>
        <color rgb="FFFFFFFF"/>
        <rFont val="Noto Sans CJK SC"/>
        <family val="2"/>
      </rPr>
      <t xml:space="preserve">供后续 </t>
    </r>
    <r>
      <rPr>
        <b val="true"/>
        <sz val="16"/>
        <color rgb="FFFFFFFF"/>
        <rFont val="Calibri"/>
        <family val="0"/>
        <charset val="1"/>
      </rPr>
      <t xml:space="preserve">Codex </t>
    </r>
    <r>
      <rPr>
        <b val="true"/>
        <sz val="16"/>
        <color rgb="FFFFFFFF"/>
        <rFont val="Noto Sans CJK SC"/>
        <family val="2"/>
      </rPr>
      <t xml:space="preserve">使用的裸机（</t>
    </r>
    <r>
      <rPr>
        <b val="true"/>
        <sz val="16"/>
        <color rgb="FFFFFFFF"/>
        <rFont val="Calibri"/>
        <family val="0"/>
        <charset val="1"/>
      </rPr>
      <t xml:space="preserve">bare-metal</t>
    </r>
    <r>
      <rPr>
        <b val="true"/>
        <sz val="16"/>
        <color rgb="FFFFFFFF"/>
        <rFont val="Noto Sans CJK SC"/>
        <family val="2"/>
      </rPr>
      <t xml:space="preserve">）软件用例移植指导（</t>
    </r>
    <r>
      <rPr>
        <b val="true"/>
        <sz val="16"/>
        <color rgb="FFFFFFFF"/>
        <rFont val="Calibri"/>
        <family val="0"/>
        <charset val="1"/>
      </rPr>
      <t xml:space="preserve">74</t>
    </r>
    <r>
      <rPr>
        <b val="true"/>
        <sz val="16"/>
        <color rgb="FFFFFFFF"/>
        <rFont val="Noto Sans CJK SC"/>
        <family val="2"/>
      </rPr>
      <t xml:space="preserve">条；</t>
    </r>
    <r>
      <rPr>
        <b val="true"/>
        <sz val="16"/>
        <color rgb="FFFFFFFF"/>
        <rFont val="Calibri"/>
        <family val="0"/>
        <charset val="1"/>
      </rPr>
      <t xml:space="preserve">8</t>
    </r>
    <r>
      <rPr>
        <b val="true"/>
        <sz val="16"/>
        <color rgb="FFFFFFFF"/>
        <rFont val="Noto Sans CJK SC"/>
        <family val="2"/>
      </rPr>
      <t xml:space="preserve">项硬件补充不移植）</t>
    </r>
  </si>
  <si>
    <t xml:space="preserve">来源工作表</t>
  </si>
  <si>
    <t xml:space="preserve">域</t>
  </si>
  <si>
    <t xml:space="preserve">目标仓库</t>
  </si>
  <si>
    <t xml:space="preserve">设计状态</t>
  </si>
  <si>
    <t xml:space="preserve">移植实现要求</t>
  </si>
  <si>
    <t xml:space="preserve">所需输入</t>
  </si>
  <si>
    <t xml:space="preserve">完成标准</t>
  </si>
  <si>
    <t xml:space="preserve">验证证据要求</t>
  </si>
  <si>
    <r>
      <rPr>
        <b val="true"/>
        <sz val="11"/>
        <color rgb="FFFFFFFF"/>
        <rFont val="Calibri"/>
        <family val="0"/>
        <charset val="1"/>
      </rPr>
      <t xml:space="preserve">Codex</t>
    </r>
    <r>
      <rPr>
        <b val="true"/>
        <sz val="11"/>
        <color rgb="FFFFFFFF"/>
        <rFont val="Noto Sans CJK SC"/>
        <family val="2"/>
      </rPr>
      <t xml:space="preserve">执行顺序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</si>
  <si>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用例</t>
    </r>
  </si>
  <si>
    <t xml:space="preserve">MAILBOX_COMMAND</t>
  </si>
  <si>
    <t xml:space="preserve">MB_CMD_ID_BL_READ_VER - BASIC</t>
  </si>
  <si>
    <t xml:space="preserve">../baremetal</t>
  </si>
  <si>
    <t xml:space="preserve">DESIGN_COMPLETE</t>
  </si>
  <si>
    <r>
      <rPr>
        <sz val="10"/>
        <color rgb="FF1F2937"/>
        <rFont val="Noto Sans CJK SC"/>
        <family val="2"/>
      </rPr>
      <t xml:space="preserve">已落在</t>
    </r>
    <r>
      <rPr>
        <sz val="10"/>
        <color rgb="FF1F2937"/>
        <rFont val="Calibri"/>
        <family val="0"/>
        <charset val="1"/>
      </rPr>
      <t xml:space="preserve">components/security</t>
    </r>
    <r>
      <rPr>
        <sz val="10"/>
        <color rgb="FF1F2937"/>
        <rFont val="Noto Sans CJK SC"/>
        <family val="2"/>
      </rPr>
      <t xml:space="preserve">并复用</t>
    </r>
    <r>
      <rPr>
        <sz val="10"/>
        <color rgb="FF1F2937"/>
        <rFont val="Calibri"/>
        <family val="0"/>
        <charset val="1"/>
      </rPr>
      <t xml:space="preserve">baremetal</t>
    </r>
    <r>
      <rPr>
        <sz val="10"/>
        <color rgb="FF1F2937"/>
        <rFont val="Noto Sans CJK SC"/>
        <family val="2"/>
      </rPr>
      <t xml:space="preserve">内移植的</t>
    </r>
    <r>
      <rPr>
        <sz val="10"/>
        <color rgb="FF1F2937"/>
        <rFont val="Calibri"/>
        <family val="0"/>
        <charset val="1"/>
      </rPr>
      <t xml:space="preserve">eHSM Host typed API</t>
    </r>
    <r>
      <rPr>
        <sz val="10"/>
        <color rgb="FF1F2937"/>
        <rFont val="Noto Sans CJK SC"/>
        <family val="2"/>
      </rPr>
      <t xml:space="preserve">与真实</t>
    </r>
    <r>
      <rPr>
        <sz val="10"/>
        <color rgb="FF1F2937"/>
        <rFont val="Calibri"/>
        <family val="0"/>
        <charset val="1"/>
      </rPr>
      <t xml:space="preserve">Mailbox transport</t>
    </r>
    <r>
      <rPr>
        <sz val="10"/>
        <color rgb="FF1F2937"/>
        <rFont val="Noto Sans CJK SC"/>
        <family val="2"/>
      </rPr>
      <t xml:space="preserve">；保持稳定</t>
    </r>
    <r>
      <rPr>
        <sz val="10"/>
        <color rgb="FF1F2937"/>
        <rFont val="Calibri"/>
        <family val="0"/>
        <charset val="1"/>
      </rPr>
      <t xml:space="preserve">case_id</t>
    </r>
    <r>
      <rPr>
        <sz val="10"/>
        <color rgb="FF1F2937"/>
        <rFont val="Noto Sans CJK SC"/>
        <family val="2"/>
      </rPr>
      <t xml:space="preserve">；按批准矩阵执行</t>
    </r>
    <r>
      <rPr>
        <sz val="10"/>
        <color rgb="FF1F2937"/>
        <rFont val="Calibri"/>
        <family val="0"/>
        <charset val="1"/>
      </rPr>
      <t xml:space="preserve">Expected</t>
    </r>
    <r>
      <rPr>
        <sz val="10"/>
        <color rgb="FF1F2937"/>
        <rFont val="Noto Sans CJK SC"/>
        <family val="2"/>
      </rPr>
      <t xml:space="preserve">比较，不增加脚本</t>
    </r>
    <r>
      <rPr>
        <sz val="10"/>
        <color rgb="FF1F2937"/>
        <rFont val="Calibri"/>
        <family val="0"/>
        <charset val="1"/>
      </rPr>
      <t xml:space="preserve">Runner</t>
    </r>
  </si>
  <si>
    <r>
      <rPr>
        <sz val="10"/>
        <color rgb="FF1F2937"/>
        <rFont val="Calibri"/>
        <family val="0"/>
        <charset val="1"/>
      </rPr>
      <t xml:space="preserve">READY_AFTER_BASELINE;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</si>
  <si>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Noto Sans CJK SC"/>
        <family val="2"/>
      </rPr>
      <t xml:space="preserve">不得修改或定制</t>
    </r>
    <r>
      <rPr>
        <sz val="10"/>
        <color rgb="FF1F2937"/>
        <rFont val="Calibri"/>
        <family val="0"/>
        <charset val="1"/>
      </rPr>
      <t xml:space="preserve">eHSM BL/FW</t>
    </r>
    <r>
      <rPr>
        <sz val="10"/>
        <color rgb="FF1F2937"/>
        <rFont val="Noto Sans CJK SC"/>
        <family val="2"/>
      </rPr>
      <t xml:space="preserve">；不得增加测试命令、注入钩子或特殊返回；不得以桩实现、模拟成功、未批准硬编码或静默降级形成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；不得把硬件验证需求伪装成软件用例</t>
    </r>
  </si>
  <si>
    <r>
      <rPr>
        <sz val="10"/>
        <color rgb="FF1F2937"/>
        <rFont val="Noto Sans CJK SC"/>
        <family val="2"/>
      </rPr>
      <t xml:space="preserve">可构建、可枚举、可单独</t>
    </r>
    <r>
      <rPr>
        <sz val="10"/>
        <color rgb="FF1F2937"/>
        <rFont val="Calibri"/>
        <family val="0"/>
        <charset val="1"/>
      </rPr>
      <t xml:space="preserve">CMD</t>
    </r>
    <r>
      <rPr>
        <sz val="10"/>
        <color rgb="FF1F2937"/>
        <rFont val="Noto Sans CJK SC"/>
        <family val="2"/>
      </rPr>
      <t xml:space="preserve">执行；普通</t>
    </r>
    <r>
      <rPr>
        <sz val="10"/>
        <color rgb="FF1F2937"/>
        <rFont val="Calibri"/>
        <family val="0"/>
        <charset val="1"/>
      </rPr>
      <t xml:space="preserve">case</t>
    </r>
    <r>
      <rPr>
        <sz val="10"/>
        <color rgb="FF1F2937"/>
        <rFont val="Noto Sans CJK SC"/>
        <family val="2"/>
      </rPr>
      <t xml:space="preserve">默认只输出一条</t>
    </r>
    <r>
      <rPr>
        <sz val="10"/>
        <color rgb="FF1F2937"/>
        <rFont val="Calibri"/>
        <family val="0"/>
        <charset val="1"/>
      </rPr>
      <t xml:space="preserve">SUCCESS/FAIL/INCONCLUSIVE</t>
    </r>
    <r>
      <rPr>
        <sz val="10"/>
        <color rgb="FF1F2937"/>
        <rFont val="Noto Sans CJK SC"/>
        <family val="2"/>
      </rPr>
      <t xml:space="preserve">；详细</t>
    </r>
    <r>
      <rPr>
        <sz val="10"/>
        <color rgb="FF1F2937"/>
        <rFont val="Calibri"/>
        <family val="0"/>
        <charset val="1"/>
      </rPr>
      <t xml:space="preserve">baseline</t>
    </r>
    <r>
      <rPr>
        <sz val="10"/>
        <color rgb="FF1F2937"/>
        <rFont val="Noto Sans CJK SC"/>
        <family val="2"/>
      </rPr>
      <t xml:space="preserve">、输入输出摘要、</t>
    </r>
    <r>
      <rPr>
        <sz val="10"/>
        <color rgb="FF1F2937"/>
        <rFont val="Calibri"/>
        <family val="0"/>
        <charset val="1"/>
      </rPr>
      <t xml:space="preserve">raw return</t>
    </r>
    <r>
      <rPr>
        <sz val="10"/>
        <color rgb="FF1F2937"/>
        <rFont val="Noto Sans CJK SC"/>
        <family val="2"/>
      </rPr>
      <t xml:space="preserve">和副作用由外部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保存；目标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必须有</t>
    </r>
    <r>
      <rPr>
        <sz val="10"/>
        <color rgb="FF1F2937"/>
        <rFont val="Calibri"/>
        <family val="0"/>
        <charset val="1"/>
      </rPr>
      <t xml:space="preserve">EMU/FPGA</t>
    </r>
    <r>
      <rPr>
        <sz val="10"/>
        <color rgb="FF1F2937"/>
        <rFont val="Noto Sans CJK SC"/>
        <family val="2"/>
      </rPr>
      <t xml:space="preserve">真实执行证据</t>
    </r>
  </si>
  <si>
    <r>
      <rPr>
        <sz val="10"/>
        <color rgb="FF1F2937"/>
        <rFont val="Noto Sans CJK SC"/>
        <family val="2"/>
      </rPr>
      <t xml:space="preserve">至少保留运行编号、用例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参数化测试输入 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、测试基线、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提交证据、原始 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返回、对象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闪存（</t>
    </r>
    <r>
      <rPr>
        <sz val="10"/>
        <color rgb="FF1F2937"/>
        <rFont val="Calibri"/>
        <family val="0"/>
        <charset val="1"/>
      </rPr>
      <t xml:space="preserve">Flash</t>
    </r>
    <r>
      <rPr>
        <sz val="10"/>
        <color rgb="FF1F2937"/>
        <rFont val="Noto Sans CJK SC"/>
        <family val="2"/>
      </rPr>
      <t xml:space="preserve">）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状态前后快照和日志哈希；硬件内部信号证据由硬件验证团队提供</t>
    </r>
  </si>
  <si>
    <r>
      <rPr>
        <sz val="10"/>
        <color rgb="FF1F2937"/>
        <rFont val="Noto Sans CJK SC"/>
        <family val="2"/>
      </rPr>
      <t xml:space="preserve">代码已落在</t>
    </r>
    <r>
      <rPr>
        <sz val="10"/>
        <color rgb="FF1F2937"/>
        <rFont val="Calibri"/>
        <family val="0"/>
        <charset val="1"/>
      </rPr>
      <t xml:space="preserve">components/security</t>
    </r>
    <r>
      <rPr>
        <sz val="10"/>
        <color rgb="FF1F2937"/>
        <rFont val="Noto Sans CJK SC"/>
        <family val="2"/>
      </rPr>
      <t xml:space="preserve">；按</t>
    </r>
    <r>
      <rPr>
        <sz val="10"/>
        <color rgb="FF1F2937"/>
        <rFont val="Calibri"/>
        <family val="0"/>
        <charset val="1"/>
      </rPr>
      <t xml:space="preserve">CASE_INDEX</t>
    </r>
    <r>
      <rPr>
        <sz val="10"/>
        <color rgb="FF1F2937"/>
        <rFont val="Noto Sans CJK SC"/>
        <family val="2"/>
      </rPr>
      <t xml:space="preserve">和安全测试指南执行目标</t>
    </r>
    <r>
      <rPr>
        <sz val="10"/>
        <color rgb="FF1F2937"/>
        <rFont val="Calibri"/>
        <family val="0"/>
        <charset val="1"/>
      </rPr>
      <t xml:space="preserve">bring-up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fixture preflight</t>
    </r>
    <r>
      <rPr>
        <sz val="10"/>
        <color rgb="FF1F2937"/>
        <rFont val="Noto Sans CJK SC"/>
        <family val="2"/>
      </rPr>
      <t xml:space="preserve">及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回填</t>
    </r>
  </si>
  <si>
    <t xml:space="preserve">MB_CMD_ID_BL_OTP_READ - BASIC</t>
  </si>
  <si>
    <t xml:space="preserve">MB_CMD_ID_BL_OTP_WRITE - BASIC</t>
  </si>
  <si>
    <r>
      <rPr>
        <sz val="10"/>
        <color rgb="FF1F2937"/>
        <rFont val="Calibri"/>
        <family val="0"/>
        <charset val="1"/>
      </rPr>
      <t xml:space="preserve">NEEDS_DEDICATED_FIXTURE_AND_APPROVAL;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</si>
  <si>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MB_CMD_ID_BL_REG_RD - BASIC</t>
  </si>
  <si>
    <t xml:space="preserve">MB_CMD_ID_BL_REG_WR - BASIC</t>
  </si>
  <si>
    <t xml:space="preserve">MB_CMD_ID_BL_FW_UPGRADE - BASIC</t>
  </si>
  <si>
    <t xml:space="preserve">MB_CMD_ID_BL_VERIFY_IMAGE - BASIC</t>
  </si>
  <si>
    <t xml:space="preserve">MB_CMD_ID_BL_GET_RANDOM_KEY - BASIC</t>
  </si>
  <si>
    <t xml:space="preserve">MB_CMD_ID_BL_ENCRYPT_KEY - BASIC</t>
  </si>
  <si>
    <t xml:space="preserve">MB_CMD_ID_BL_GET_CHALLENGE - BASIC</t>
  </si>
  <si>
    <t xml:space="preserve">MB_CMD_ID_BL_DEBUG_AUTH - BASIC</t>
  </si>
  <si>
    <t xml:space="preserve">MB_CMD_ID_BL_CLOSE_DEBUG - BASIC</t>
  </si>
  <si>
    <t xml:space="preserve">MB_CMD_ID_BL_SET_UART_BAUDRATE - BASIC</t>
  </si>
  <si>
    <t xml:space="preserve">MB_CMD_ID_BL_SELF_TEST - BASIC</t>
  </si>
  <si>
    <t xml:space="preserve">MB_CMD_ID_BL_READ_SELF_TEST_RESULT - BASIC</t>
  </si>
  <si>
    <t xml:space="preserve">MB_CMD_ID_SYMM_CIPHER - BASIC</t>
  </si>
  <si>
    <t xml:space="preserve">MB_CMD_ID_AEAD_GCM - BASIC</t>
  </si>
  <si>
    <t xml:space="preserve">MB_CMD_ID_AEAD_CCM - BASIC</t>
  </si>
  <si>
    <t xml:space="preserve">MB_CMD_ID_HASH - BASIC</t>
  </si>
  <si>
    <t xml:space="preserve">MB_CMD_ID_HMAC - BASIC</t>
  </si>
  <si>
    <t xml:space="preserve">MB_CMD_ID_MAC - BASIC</t>
  </si>
  <si>
    <t xml:space="preserve">MB_CMD_ID_SM2_CIPHER - BASIC</t>
  </si>
  <si>
    <t xml:space="preserve">MB_CMD_ID_SM2_SIGN - BASIC</t>
  </si>
  <si>
    <t xml:space="preserve">MB_CMD_ID_RSA_CIPHER - BASIC</t>
  </si>
  <si>
    <t xml:space="preserve">MB_CMD_ID_RSA_SIGN - BASIC</t>
  </si>
  <si>
    <t xml:space="preserve">MB_CMD_ID_ECDSA - BASIC</t>
  </si>
  <si>
    <t xml:space="preserve">MB_CMD_ID_RNG - BASIC</t>
  </si>
  <si>
    <t xml:space="preserve">MB_CMD_ID_OTP_WRITE - BASIC</t>
  </si>
  <si>
    <t xml:space="preserve">MB_CMD_ID_OTP_READ - BASIC</t>
  </si>
  <si>
    <t xml:space="preserve">MB_CMD_ID_GET_CHALLENGE - BASIC</t>
  </si>
  <si>
    <t xml:space="preserve">MB_CMD_ID_AUTH - BASIC</t>
  </si>
  <si>
    <t xml:space="preserve">MB_CMD_ID_CLOSE_DEBUG - BASIC</t>
  </si>
  <si>
    <t xml:space="preserve">MB_CMD_ID_FW_UPGRADE - BASIC</t>
  </si>
  <si>
    <t xml:space="preserve">MB_CMD_ID_SOC_VERIFY - BASIC</t>
  </si>
  <si>
    <t xml:space="preserve">MB_CMD_ID_INSTALL_RANDOM_KEY - BASIC</t>
  </si>
  <si>
    <t xml:space="preserve">MB_CMD_ID_INSTALL_ENCRYPT_KEY - BASIC</t>
  </si>
  <si>
    <t xml:space="preserve">MB_CMD_ID_GET_EMU - BASIC</t>
  </si>
  <si>
    <t xml:space="preserve">MB_CMD_ID_CHANGE_LIFECYCLE - BASIC</t>
  </si>
  <si>
    <t xml:space="preserve">MB_CMD_ID_CHANGE_CONTROL_FIELD - BASIC</t>
  </si>
  <si>
    <t xml:space="preserve">MB_CMD_ID_SET_UART_BAUDRATE - BASIC</t>
  </si>
  <si>
    <t xml:space="preserve">MB_CMD_ID_FW_REG_WR - BASIC</t>
  </si>
  <si>
    <t xml:space="preserve">MB_CMD_ID_FW_REG_RD - BASIC</t>
  </si>
  <si>
    <t xml:space="preserve">MB_CMD_ID_EHSM_READ_VER - BASIC</t>
  </si>
  <si>
    <t xml:space="preserve">MB_CMD_ID_ENTER_WFI - BASIC</t>
  </si>
  <si>
    <t xml:space="preserve">MB_CMD_ID_EHSM_GEN_KEY - BASIC</t>
  </si>
  <si>
    <t xml:space="preserve">MB_CMD_ID_EHSM_KEY_DERIVE - BASIC</t>
  </si>
  <si>
    <t xml:space="preserve">MB_CMD_ID_EHSM_KEY_EXCHANGE - BASIC</t>
  </si>
  <si>
    <t xml:space="preserve">MB_CMD_ID_EHSM_IMPORT_KEY - BASIC</t>
  </si>
  <si>
    <t xml:space="preserve">MB_CMD_ID_EHSM_EXPORT_KEY - BASIC</t>
  </si>
  <si>
    <t xml:space="preserve">MB_CMD_ID_EHSM_REMOVE_KEY - BASIC</t>
  </si>
  <si>
    <t xml:space="preserve">MB_CMD_ID_EHSM_GET_PUB_FROM_PRIV - BASIC</t>
  </si>
  <si>
    <t xml:space="preserve">MB_CMD_ID_OTP_WRITE_FOR_TEST - BASIC</t>
  </si>
  <si>
    <t xml:space="preserve">MB_CMD_ID_BL_VERIFY_IMAGE - EHSM_NEGATIVE</t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</si>
  <si>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负向用例必须把刺激真实提交到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并记录原始响应；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仅负责构造输入。优先复用</t>
    </r>
    <r>
      <rPr>
        <sz val="10"/>
        <color rgb="FF1F2937"/>
        <rFont val="Calibri"/>
        <family val="0"/>
        <charset val="1"/>
      </rPr>
      <t xml:space="preserve">Vendor verify/API</t>
    </r>
    <r>
      <rPr>
        <sz val="10"/>
        <color rgb="FF1F2937"/>
        <rFont val="Noto Sans CJK SC"/>
        <family val="2"/>
      </rPr>
      <t xml:space="preserve">并单点变异数据；必要时使用隔离原始 请求构造器，但不修改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</t>
    </r>
  </si>
  <si>
    <r>
      <rPr>
        <sz val="10"/>
        <color rgb="FF1F2937"/>
        <rFont val="Calibri"/>
        <family val="0"/>
        <charset val="1"/>
      </rPr>
      <t xml:space="preserve">NEEDS_SIGNED_IMAGE_CORPUS;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</si>
  <si>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Noto Sans CJK SC"/>
        <family val="2"/>
      </rPr>
      <t xml:space="preserve">可构建；可枚举和单独执行；结果为 </t>
    </r>
    <r>
      <rPr>
        <sz val="10"/>
        <color rgb="FF1F2937"/>
        <rFont val="Calibri"/>
        <family val="0"/>
        <charset val="1"/>
      </rPr>
      <t xml:space="preserve">PASS/FAIL/INCONCLUSIVE</t>
    </r>
    <r>
      <rPr>
        <sz val="10"/>
        <color rgb="FF1F2937"/>
        <rFont val="Noto Sans CJK SC"/>
        <family val="2"/>
      </rPr>
      <t xml:space="preserve">；预期结果 可追溯；日志含 用例 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、测试基线、输入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输出摘要和错误码</t>
    </r>
  </si>
  <si>
    <r>
      <rPr>
        <sz val="10"/>
        <color rgb="FF1F2937"/>
        <rFont val="Noto Sans CJK SC"/>
        <family val="2"/>
      </rPr>
      <t xml:space="preserve">先检查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现状和仓库规则，再规划落点并实现；本表不预设目录、模块、测试运行器 或文件名</t>
    </r>
  </si>
  <si>
    <t xml:space="preserve">MB_CMD_ID_SOC_VERIFY - EHSM_NEGATIVE</t>
  </si>
  <si>
    <r>
      <rPr>
        <sz val="10"/>
        <color rgb="FF1F2937"/>
        <rFont val="Calibri"/>
        <family val="0"/>
        <charset val="1"/>
      </rPr>
      <t xml:space="preserve">NEEDS_SIGNED_SOC_PACKAGE_AND_COUNTER_FIXTURE;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</si>
  <si>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MB_CMD_ID_BL_FW_UPGRADE - EHSM_NEGATIVE</t>
  </si>
  <si>
    <r>
      <rPr>
        <sz val="10"/>
        <color rgb="FF1F2937"/>
        <rFont val="Calibri"/>
        <family val="0"/>
        <charset val="1"/>
      </rPr>
      <t xml:space="preserve">NEEDS_RECOVERABLE_UPGRADE_FIXTURE;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</si>
  <si>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MB_CMD_ID_FW_UPGRADE - EHSM_NEGATIVE</t>
  </si>
  <si>
    <t xml:space="preserve">MB_CMD_ID_SM2_SIGN / MB_CMD_ID_RSA_SIGN / MB_CMD_ID_ECDSA - EHSM_NEGATIVE</t>
  </si>
  <si>
    <r>
      <rPr>
        <sz val="10"/>
        <color rgb="FF1F2937"/>
        <rFont val="Calibri"/>
        <family val="0"/>
        <charset val="1"/>
      </rPr>
      <t xml:space="preserve">READY_AFTER_VENDOR_VERIFY_API_PORT;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</si>
  <si>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MB_CMD_ID_MAC / MB_CMD_ID_HMAC - EHSM_NEGATIVE</t>
  </si>
  <si>
    <t xml:space="preserve">MB_CMD_ID_AEAD_GCM / MB_CMD_ID_AEAD_CCM - EHSM_NEGATIVE</t>
  </si>
  <si>
    <r>
      <rPr>
        <sz val="10"/>
        <color rgb="FF1F2937"/>
        <rFont val="Calibri"/>
        <family val="0"/>
        <charset val="1"/>
      </rPr>
      <t xml:space="preserve">READY_AFTER_AEAD_OUTPUT_CONTRACT;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</si>
  <si>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MB_CMD_ID_BL_GET_CHALLENGE / MB_CMD_ID_BL_DEBUG_AUTH - EHSM_NEGATIVE</t>
  </si>
  <si>
    <r>
      <rPr>
        <sz val="10"/>
        <color rgb="FF1F2937"/>
        <rFont val="Calibri"/>
        <family val="0"/>
        <charset val="1"/>
      </rPr>
      <t xml:space="preserve">NEEDS_DEBUG_AUTH_FIXTURE;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</si>
  <si>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MB_CMD_ID_GET_CHALLENGE / MB_CMD_ID_AUTH - EHSM_NEGATIVE</t>
  </si>
  <si>
    <r>
      <rPr>
        <sz val="10"/>
        <color rgb="FF1F2937"/>
        <rFont val="Calibri"/>
        <family val="0"/>
        <charset val="1"/>
      </rPr>
      <t xml:space="preserve">NEEDS_AUTH_PROFILE_AND_FIXTURE;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</si>
  <si>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MB_CMD_ID_INSTALL_RANDOM_KEY / MB_CMD_ID_INSTALL_ENCRYPT_KEY / MB_CMD_ID_EHSM_IMPORT_KEY - EHSM_NEGATIVE</t>
  </si>
  <si>
    <r>
      <rPr>
        <sz val="10"/>
        <color rgb="FF1F2937"/>
        <rFont val="Calibri"/>
        <family val="0"/>
        <charset val="1"/>
      </rPr>
      <t xml:space="preserve">NEEDS_KEY_IMPORT_FIXTURE;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</si>
  <si>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Noto Sans CJK SC"/>
        <family val="2"/>
      </rPr>
      <t xml:space="preserve">密钥 </t>
    </r>
    <r>
      <rPr>
        <sz val="10"/>
        <color rgb="FF1F2937"/>
        <rFont val="Calibri"/>
        <family val="0"/>
        <charset val="1"/>
      </rPr>
      <t xml:space="preserve">Manager + SYMM/AEAD/HMAC/MAC/Sign</t>
    </r>
    <r>
      <rPr>
        <sz val="10"/>
        <color rgb="FF1F2937"/>
        <rFont val="Noto Sans CJK SC"/>
        <family val="2"/>
      </rPr>
      <t xml:space="preserve">命令 </t>
    </r>
    <r>
      <rPr>
        <sz val="10"/>
        <color rgb="FF1F2937"/>
        <rFont val="Calibri"/>
        <family val="0"/>
        <charset val="1"/>
      </rPr>
      <t xml:space="preserve">- EHSM_NEGATIVE</t>
    </r>
  </si>
  <si>
    <r>
      <rPr>
        <sz val="10"/>
        <color rgb="FF1F2937"/>
        <rFont val="Calibri"/>
        <family val="0"/>
        <charset val="1"/>
      </rPr>
      <t xml:space="preserve">NEEDS_KEY_POLICY_CONTRACT;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</si>
  <si>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BL/FW OTP_READ / OTP_WRITE - EHSM_NEGATIVE</t>
  </si>
  <si>
    <r>
      <rPr>
        <sz val="10"/>
        <color rgb="FF1F2937"/>
        <rFont val="Calibri"/>
        <family val="0"/>
        <charset val="1"/>
      </rPr>
      <t xml:space="preserve">NEEDS_OTP_OBJECT_MAP_AND_FIXTURE;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</si>
  <si>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MB_CMD_ID_CHANGE_LIFECYCLE / MB_CMD_ID_CHANGE_CONTROL_FIELD - EHSM_NEGATIVE</t>
  </si>
  <si>
    <r>
      <rPr>
        <sz val="10"/>
        <color rgb="FF1F2937"/>
        <rFont val="Calibri"/>
        <family val="0"/>
        <charset val="1"/>
      </rPr>
      <t xml:space="preserve">NEEDS_DESTRUCTIVE_STATE_FIXTURE;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</si>
  <si>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Noto Sans CJK SC"/>
        <family val="2"/>
      </rPr>
      <t xml:space="preserve">代表性</t>
    </r>
    <r>
      <rPr>
        <sz val="10"/>
        <color rgb="FF1F2937"/>
        <rFont val="Calibri"/>
        <family val="0"/>
        <charset val="1"/>
      </rPr>
      <t xml:space="preserve">BL/FW</t>
    </r>
    <r>
      <rPr>
        <sz val="10"/>
        <color rgb="FF1F2937"/>
        <rFont val="Noto Sans CJK SC"/>
        <family val="2"/>
      </rPr>
      <t xml:space="preserve">命令 </t>
    </r>
    <r>
      <rPr>
        <sz val="10"/>
        <color rgb="FF1F2937"/>
        <rFont val="Calibri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未支持</t>
    </r>
    <r>
      <rPr>
        <sz val="10"/>
        <color rgb="FF1F2937"/>
        <rFont val="Calibri"/>
        <family val="0"/>
        <charset val="1"/>
      </rPr>
      <t xml:space="preserve">command ID - EHSM_NEGATIVE</t>
    </r>
  </si>
  <si>
    <r>
      <rPr>
        <sz val="10"/>
        <color rgb="FF1F2937"/>
        <rFont val="Calibri"/>
        <family val="0"/>
        <charset val="1"/>
      </rPr>
      <t xml:space="preserve">NEEDS_ISOLATED_RAW_REQUEST_BUILDER;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</si>
  <si>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集成用例</t>
    </r>
  </si>
  <si>
    <t xml:space="preserve">SOC_INTEGRATION</t>
  </si>
  <si>
    <t xml:space="preserve">MUST_PASS_IF_CAPABLE_OR_INCONCLUSIVE_WITH_OWNER</t>
  </si>
  <si>
    <r>
      <rPr>
        <sz val="10"/>
        <color rgb="FF1F2937"/>
        <rFont val="Noto Sans CJK SC"/>
        <family val="2"/>
      </rPr>
      <t xml:space="preserve">实现表内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软件功能用例；按 准备、激励、观测、清理 组织；通道、权限、错误、复位和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组合放参数化测试输入，不机械拆用例；绑定未冻结时输出</t>
    </r>
    <r>
      <rPr>
        <sz val="10"/>
        <color rgb="FF1F2937"/>
        <rFont val="Calibri"/>
        <family val="0"/>
        <charset val="1"/>
      </rPr>
      <t xml:space="preserve">INCONCLUSIVE</t>
    </r>
  </si>
  <si>
    <r>
      <rPr>
        <sz val="10"/>
        <color rgb="FF1F2937"/>
        <rFont val="Calibri"/>
        <family val="0"/>
        <charset val="1"/>
      </rPr>
      <t xml:space="preserve">NEEDS_DIRECT_MAILBOX_CHANNEL_MAP;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</si>
  <si>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NEEDS_MAILBOX_INFO_NOTE_REGISTER_CONTRACT;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</si>
  <si>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NEEDS_FIREWALL_REGISTER_AND_MASTER_ID_MAP;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</si>
  <si>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NEEDS_SRAM_REGION_PERMISSION_MAP;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</si>
  <si>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NEEDS_HSM_STATUS_ERROR_REGISTER_MAP;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</si>
  <si>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NEEDS_EHSM_ERROR_TO_SOC_BIT_MAP;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</si>
  <si>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NEEDS_RESET_CONTROL_AND_MATRIX;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</si>
  <si>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r>
      <rPr>
        <sz val="10"/>
        <color rgb="FF1F2937"/>
        <rFont val="Calibri"/>
        <family val="0"/>
        <charset val="1"/>
      </rPr>
      <t xml:space="preserve">NEEDS_IRQ_CHANNEL_ERROR_MAP_AND_TEST_PROFILE; </t>
    </r>
    <r>
      <rPr>
        <sz val="10"/>
        <color rgb="FF1F2937"/>
        <rFont val="Noto Sans CJK SC"/>
        <family val="2"/>
      </rPr>
      <t xml:space="preserve">实施前登记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分支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提交号、</t>
    </r>
    <r>
      <rPr>
        <sz val="10"/>
        <color rgb="FF1F2937"/>
        <rFont val="Calibri"/>
        <family val="0"/>
        <charset val="1"/>
      </rPr>
      <t xml:space="preserve">RTL/eHSM/</t>
    </r>
    <r>
      <rPr>
        <sz val="10"/>
        <color rgb="FF1F2937"/>
        <rFont val="Noto Sans CJK SC"/>
        <family val="2"/>
      </rPr>
      <t xml:space="preserve">软件 测试基线，以及本用例所需的冻结地址、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、区域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权限编码</t>
    </r>
  </si>
  <si>
    <t xml:space="preserve">工作流执行记录</t>
  </si>
  <si>
    <t xml:space="preserve">日期</t>
  </si>
  <si>
    <t xml:space="preserve">活动</t>
  </si>
  <si>
    <t xml:space="preserve">输入</t>
  </si>
  <si>
    <r>
      <rPr>
        <b val="true"/>
        <sz val="11"/>
        <color rgb="FFFFFFFF"/>
        <rFont val="Noto Sans CJK SC"/>
        <family val="2"/>
      </rPr>
      <t xml:space="preserve">输出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结论</t>
    </r>
  </si>
  <si>
    <r>
      <rPr>
        <b val="true"/>
        <sz val="11"/>
        <color rgb="FFFFFFFF"/>
        <rFont val="Noto Sans CJK SC"/>
        <family val="2"/>
      </rPr>
      <t xml:space="preserve">验证证据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备注</t>
    </r>
  </si>
  <si>
    <t xml:space="preserve">W1-01</t>
  </si>
  <si>
    <t xml:space="preserve">盘点安全方案工作区和治理规则</t>
  </si>
  <si>
    <r>
      <rPr>
        <sz val="10"/>
        <color rgb="FF1F2937"/>
        <rFont val="Calibri"/>
        <family val="0"/>
        <charset val="1"/>
      </rPr>
      <t xml:space="preserve">W0 </t>
    </r>
    <r>
      <rPr>
        <sz val="10"/>
        <color rgb="FF1F2937"/>
        <rFont val="Noto Sans CJK SC"/>
        <family val="2"/>
      </rPr>
      <t xml:space="preserve">最终决议快照</t>
    </r>
  </si>
  <si>
    <r>
      <rPr>
        <sz val="10"/>
        <color rgb="FF1F2937"/>
        <rFont val="Noto Sans CJK SC"/>
        <family val="2"/>
      </rPr>
      <t xml:space="preserve">确认方案库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实现库</t>
    </r>
    <r>
      <rPr>
        <sz val="10"/>
        <color rgb="FF1F2937"/>
        <rFont val="Calibri"/>
        <family val="0"/>
        <charset val="1"/>
      </rPr>
      <t xml:space="preserve">/baremetal </t>
    </r>
    <r>
      <rPr>
        <sz val="10"/>
        <color rgb="FF1F2937"/>
        <rFont val="Noto Sans CJK SC"/>
        <family val="2"/>
      </rPr>
      <t xml:space="preserve">边界</t>
    </r>
  </si>
  <si>
    <t xml:space="preserve">COMPLETED</t>
  </si>
  <si>
    <t xml:space="preserve">WORKFLOW_RECORD.md §2-3</t>
  </si>
  <si>
    <t xml:space="preserve">W1-02</t>
  </si>
  <si>
    <t xml:space="preserve">核查历史测试工作簿</t>
  </si>
  <si>
    <r>
      <rPr>
        <sz val="10"/>
        <color rgb="FF1F2937"/>
        <rFont val="Calibri"/>
        <family val="0"/>
        <charset val="1"/>
      </rPr>
      <t xml:space="preserve">security-test-</t>
    </r>
    <r>
      <rPr>
        <sz val="10"/>
        <color rgb="FF1F2937"/>
        <rFont val="Noto Sans CJK SC"/>
        <family val="2"/>
      </rPr>
      <t xml:space="preserve">规则矩阵</t>
    </r>
    <r>
      <rPr>
        <sz val="10"/>
        <color rgb="FF1F2937"/>
        <rFont val="Calibri"/>
        <family val="0"/>
        <charset val="1"/>
      </rPr>
      <t xml:space="preserve">.yaml </t>
    </r>
    <r>
      <rPr>
        <sz val="10"/>
        <color rgb="FF1F2937"/>
        <rFont val="Noto Sans CJK SC"/>
        <family val="2"/>
      </rPr>
      <t xml:space="preserve">与 </t>
    </r>
    <r>
      <rPr>
        <sz val="10"/>
        <color rgb="FF1F2937"/>
        <rFont val="Calibri"/>
        <family val="0"/>
        <charset val="1"/>
      </rPr>
      <t xml:space="preserve">tests/cases</t>
    </r>
  </si>
  <si>
    <r>
      <rPr>
        <sz val="10"/>
        <color rgb="FF1F2937"/>
        <rFont val="Calibri"/>
        <family val="0"/>
        <charset val="1"/>
      </rPr>
      <t xml:space="preserve">v0.2 </t>
    </r>
    <r>
      <rPr>
        <sz val="10"/>
        <color rgb="FF1F2937"/>
        <rFont val="Noto Sans CJK SC"/>
        <family val="2"/>
      </rPr>
      <t xml:space="preserve">实体已确认存在；本设计包尚需逐项历史对账</t>
    </r>
  </si>
  <si>
    <t xml:space="preserve">COMPLETED_WITH_GAP</t>
  </si>
  <si>
    <t xml:space="preserve">Q-001</t>
  </si>
  <si>
    <t xml:space="preserve">W1-03</t>
  </si>
  <si>
    <r>
      <rPr>
        <sz val="10"/>
        <color rgb="FF1F2937"/>
        <rFont val="Noto Sans CJK SC"/>
        <family val="2"/>
      </rPr>
      <t xml:space="preserve">提取 </t>
    </r>
    <r>
      <rPr>
        <sz val="10"/>
        <color rgb="FF1F2937"/>
        <rFont val="Calibri"/>
        <family val="0"/>
        <charset val="1"/>
      </rPr>
      <t xml:space="preserve">eHSM Mailbox </t>
    </r>
    <r>
      <rPr>
        <sz val="10"/>
        <color rgb="FF1F2937"/>
        <rFont val="Noto Sans CJK SC"/>
        <family val="2"/>
      </rPr>
      <t xml:space="preserve">命令</t>
    </r>
  </si>
  <si>
    <t xml:space="preserve">BL/FW/Host mb.h</t>
  </si>
  <si>
    <r>
      <rPr>
        <sz val="10"/>
        <color rgb="FF1F2937"/>
        <rFont val="Noto Sans CJK SC"/>
        <family val="2"/>
      </rPr>
      <t xml:space="preserve">目标命令 </t>
    </r>
    <r>
      <rPr>
        <sz val="10"/>
        <color rgb="FF1F2937"/>
        <rFont val="Calibri"/>
        <family val="0"/>
        <charset val="1"/>
      </rPr>
      <t xml:space="preserve">52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Host-only 18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</si>
  <si>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命令清单</t>
    </r>
  </si>
  <si>
    <t xml:space="preserve">W1-04</t>
  </si>
  <si>
    <t xml:space="preserve">派生每命令固定三类用例</t>
  </si>
  <si>
    <t xml:space="preserve">目标命令清单</t>
  </si>
  <si>
    <r>
      <rPr>
        <sz val="10"/>
        <color rgb="FF1F2937"/>
        <rFont val="Noto Sans CJK SC"/>
        <family val="2"/>
      </rPr>
      <t xml:space="preserve">形成</t>
    </r>
    <r>
      <rPr>
        <sz val="10"/>
        <color rgb="FF1F2937"/>
        <rFont val="Calibri"/>
        <family val="0"/>
        <charset val="1"/>
      </rPr>
      <t xml:space="preserve">156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设计用例；后续因重复和实现成本被</t>
    </r>
    <r>
      <rPr>
        <sz val="10"/>
        <color rgb="FF1F2937"/>
        <rFont val="Calibri"/>
        <family val="0"/>
        <charset val="1"/>
      </rPr>
      <t xml:space="preserve">v0.3.1</t>
    </r>
    <r>
      <rPr>
        <sz val="10"/>
        <color rgb="FF1F2937"/>
        <rFont val="Noto Sans CJK SC"/>
        <family val="2"/>
      </rPr>
      <t xml:space="preserve">取代</t>
    </r>
  </si>
  <si>
    <t xml:space="preserve">SUPERSEDED</t>
  </si>
  <si>
    <r>
      <rPr>
        <sz val="10"/>
        <color rgb="FF1F2937"/>
        <rFont val="Calibri"/>
        <family val="0"/>
        <charset val="1"/>
      </rPr>
      <t xml:space="preserve">v0.3</t>
    </r>
    <r>
      <rPr>
        <sz val="10"/>
        <color rgb="FF1F2937"/>
        <rFont val="Noto Sans CJK SC"/>
        <family val="2"/>
      </rPr>
      <t xml:space="preserve">保留为历史版本</t>
    </r>
  </si>
  <si>
    <t xml:space="preserve">W1-05</t>
  </si>
  <si>
    <r>
      <rPr>
        <sz val="10"/>
        <color rgb="FF1F2937"/>
        <rFont val="Noto Sans CJK SC"/>
        <family val="2"/>
      </rPr>
      <t xml:space="preserve">整理 </t>
    </r>
    <r>
      <rPr>
        <sz val="10"/>
        <color rgb="FF1F2937"/>
        <rFont val="Calibri"/>
        <family val="0"/>
        <charset val="1"/>
      </rPr>
      <t xml:space="preserve">SoC </t>
    </r>
    <r>
      <rPr>
        <sz val="10"/>
        <color rgb="FF1F2937"/>
        <rFont val="Noto Sans CJK SC"/>
        <family val="2"/>
      </rPr>
      <t xml:space="preserve">安全集成用例</t>
    </r>
  </si>
  <si>
    <r>
      <rPr>
        <sz val="10"/>
        <color rgb="FF1F2937"/>
        <rFont val="Noto Sans CJK SC"/>
        <family val="2"/>
      </rPr>
      <t xml:space="preserve">系统方案</t>
    </r>
    <r>
      <rPr>
        <sz val="10"/>
        <color rgb="FF1F2937"/>
        <rFont val="Calibri"/>
        <family val="0"/>
        <charset val="1"/>
      </rPr>
      <t xml:space="preserve">/eHSM TRM</t>
    </r>
  </si>
  <si>
    <r>
      <rPr>
        <sz val="10"/>
        <color rgb="FF1F2937"/>
        <rFont val="Noto Sans CJK SC"/>
        <family val="2"/>
      </rPr>
      <t xml:space="preserve">原</t>
    </r>
    <r>
      <rPr>
        <sz val="10"/>
        <color rgb="FF1F2937"/>
        <rFont val="Calibri"/>
        <family val="0"/>
        <charset val="1"/>
      </rPr>
      <t xml:space="preserve">67</t>
    </r>
    <r>
      <rPr>
        <sz val="10"/>
        <color rgb="FF1F2937"/>
        <rFont val="Noto Sans CJK SC"/>
        <family val="2"/>
      </rPr>
      <t xml:space="preserve">条细分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用例；由</t>
    </r>
    <r>
      <rPr>
        <sz val="10"/>
        <color rgb="FF1F2937"/>
        <rFont val="Calibri"/>
        <family val="0"/>
        <charset val="1"/>
      </rPr>
      <t xml:space="preserve">v0.3.2</t>
    </r>
    <r>
      <rPr>
        <sz val="10"/>
        <color rgb="FF1F2937"/>
        <rFont val="Noto Sans CJK SC"/>
        <family val="2"/>
      </rPr>
      <t xml:space="preserve">按软件可判定性与硬件验证边界重构</t>
    </r>
  </si>
  <si>
    <r>
      <rPr>
        <sz val="10"/>
        <color rgb="FF1F2937"/>
        <rFont val="Calibri"/>
        <family val="0"/>
        <charset val="1"/>
      </rPr>
      <t xml:space="preserve">v0.3/v0.3.1</t>
    </r>
    <r>
      <rPr>
        <sz val="10"/>
        <color rgb="FF1F2937"/>
        <rFont val="Noto Sans CJK SC"/>
        <family val="2"/>
      </rPr>
      <t xml:space="preserve">历史版本</t>
    </r>
  </si>
  <si>
    <t xml:space="preserve">W1-06</t>
  </si>
  <si>
    <r>
      <rPr>
        <sz val="10"/>
        <color rgb="FF1F2937"/>
        <rFont val="Noto Sans CJK SC"/>
        <family val="2"/>
      </rPr>
      <t xml:space="preserve">形成初版</t>
    </r>
    <r>
      <rPr>
        <sz val="10"/>
        <color rgb="FF1F2937"/>
        <rFont val="Calibri"/>
        <family val="0"/>
        <charset val="1"/>
      </rPr>
      <t xml:space="preserve">Codex</t>
    </r>
    <r>
      <rPr>
        <sz val="10"/>
        <color rgb="FF1F2937"/>
        <rFont val="Noto Sans CJK SC"/>
        <family val="2"/>
      </rPr>
      <t xml:space="preserve">移植指导</t>
    </r>
  </si>
  <si>
    <r>
      <rPr>
        <sz val="10"/>
        <color rgb="FF1F2937"/>
        <rFont val="Calibri"/>
        <family val="0"/>
        <charset val="1"/>
      </rPr>
      <t xml:space="preserve">v0.3</t>
    </r>
    <r>
      <rPr>
        <sz val="10"/>
        <color rgb="FF1F2937"/>
        <rFont val="Noto Sans CJK SC"/>
        <family val="2"/>
      </rPr>
      <t xml:space="preserve">全部规划用例</t>
    </r>
  </si>
  <si>
    <r>
      <rPr>
        <sz val="10"/>
        <color rgb="FF1F2937"/>
        <rFont val="Noto Sans CJK SC"/>
        <family val="2"/>
      </rPr>
      <t xml:space="preserve">按固定三类模型形成指导；由</t>
    </r>
    <r>
      <rPr>
        <sz val="10"/>
        <color rgb="FF1F2937"/>
        <rFont val="Calibri"/>
        <family val="0"/>
        <charset val="1"/>
      </rPr>
      <t xml:space="preserve">v0.3.1</t>
    </r>
    <r>
      <rPr>
        <sz val="10"/>
        <color rgb="FF1F2937"/>
        <rFont val="Noto Sans CJK SC"/>
        <family val="2"/>
      </rPr>
      <t xml:space="preserve">更新</t>
    </r>
  </si>
  <si>
    <r>
      <rPr>
        <sz val="10"/>
        <color rgb="FF1F2937"/>
        <rFont val="Calibri"/>
        <family val="0"/>
        <charset val="1"/>
      </rPr>
      <t xml:space="preserve">v0.3</t>
    </r>
    <r>
      <rPr>
        <sz val="10"/>
        <color rgb="FF1F2937"/>
        <rFont val="Noto Sans CJK SC"/>
        <family val="2"/>
      </rPr>
      <t xml:space="preserve">历史记录</t>
    </r>
  </si>
  <si>
    <t xml:space="preserve">W1-07</t>
  </si>
  <si>
    <r>
      <rPr>
        <sz val="10"/>
        <color rgb="FF1F2937"/>
        <rFont val="Noto Sans CJK SC"/>
        <family val="2"/>
      </rPr>
      <t xml:space="preserve">可执行测试移植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执行</t>
    </r>
  </si>
  <si>
    <t xml:space="preserve">用户明确不在本任务实施</t>
  </si>
  <si>
    <r>
      <rPr>
        <sz val="10"/>
        <color rgb="FF1F2937"/>
        <rFont val="Noto Sans CJK SC"/>
        <family val="2"/>
      </rPr>
      <t xml:space="preserve">留给后续 </t>
    </r>
    <r>
      <rPr>
        <sz val="10"/>
        <color rgb="FF1F2937"/>
        <rFont val="Calibri"/>
        <family val="0"/>
        <charset val="1"/>
      </rPr>
      <t xml:space="preserve">Codex</t>
    </r>
    <r>
      <rPr>
        <sz val="10"/>
        <color rgb="FF1F2937"/>
        <rFont val="Noto Sans CJK SC"/>
        <family val="2"/>
      </rPr>
      <t xml:space="preserve">；当前不产生 </t>
    </r>
    <r>
      <rPr>
        <sz val="10"/>
        <color rgb="FF1F2937"/>
        <rFont val="Calibri"/>
        <family val="0"/>
        <charset val="1"/>
      </rPr>
      <t xml:space="preserve">PASS/FAIL</t>
    </r>
  </si>
  <si>
    <t xml:space="preserve">OUT_OF_SCOPE</t>
  </si>
  <si>
    <t xml:space="preserve">按用例文档和表格执行</t>
  </si>
  <si>
    <t xml:space="preserve">W1-08</t>
  </si>
  <si>
    <t xml:space="preserve">按风险和共享路径重构用例</t>
  </si>
  <si>
    <t xml:space="preserve">用户对流片前复杂度的第一轮裁决</t>
  </si>
  <si>
    <r>
      <rPr>
        <sz val="10"/>
        <color rgb="FF1F2937"/>
        <rFont val="Noto Sans CJK SC"/>
        <family val="2"/>
      </rPr>
      <t xml:space="preserve">形成</t>
    </r>
    <r>
      <rPr>
        <sz val="10"/>
        <color rgb="FF1F2937"/>
        <rFont val="Calibri"/>
        <family val="0"/>
        <charset val="1"/>
      </rPr>
      <t xml:space="preserve">v0.3.1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82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Mailbox + 67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；后续仍被认为混入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软件测试且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过细</t>
    </r>
  </si>
  <si>
    <r>
      <rPr>
        <sz val="10"/>
        <color rgb="FF1F2937"/>
        <rFont val="Calibri"/>
        <family val="0"/>
        <charset val="1"/>
      </rPr>
      <t xml:space="preserve">v0.3.1</t>
    </r>
    <r>
      <rPr>
        <sz val="10"/>
        <color rgb="FF1F2937"/>
        <rFont val="Noto Sans CJK SC"/>
        <family val="2"/>
      </rPr>
      <t xml:space="preserve">保留为历史版本</t>
    </r>
  </si>
  <si>
    <t xml:space="preserve">W1-09</t>
  </si>
  <si>
    <t xml:space="preserve">按流片前硬件验证目标再次收敛</t>
  </si>
  <si>
    <r>
      <rPr>
        <sz val="10"/>
        <color rgb="FF1F2937"/>
        <rFont val="Noto Sans CJK SC"/>
        <family val="2"/>
      </rPr>
      <t xml:space="preserve">用户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点复审：删除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软件负向、消除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重复、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两类、</t>
    </r>
    <r>
      <rPr>
        <sz val="10"/>
        <color rgb="FF1F2937"/>
        <rFont val="Calibri"/>
        <family val="0"/>
        <charset val="1"/>
      </rPr>
      <t xml:space="preserve">HSM/</t>
    </r>
    <r>
      <rPr>
        <sz val="10"/>
        <color rgb="FF1F2937"/>
        <rFont val="Noto Sans CJK SC"/>
        <family val="2"/>
      </rPr>
      <t xml:space="preserve">复位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中断转硬件验证、禁止固件定制</t>
    </r>
  </si>
  <si>
    <r>
      <rPr>
        <sz val="10"/>
        <color rgb="FF1F2937"/>
        <rFont val="Noto Sans CJK SC"/>
        <family val="2"/>
      </rPr>
      <t xml:space="preserve">形成</t>
    </r>
    <r>
      <rPr>
        <sz val="10"/>
        <color rgb="FF1F2937"/>
        <rFont val="Calibri"/>
        <family val="0"/>
        <charset val="1"/>
      </rPr>
      <t xml:space="preserve">v0.3.2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Mailbox BASIC 52 + SoC</t>
    </r>
    <r>
      <rPr>
        <sz val="10"/>
        <color rgb="FF1F2937"/>
        <rFont val="Noto Sans CJK SC"/>
        <family val="2"/>
      </rPr>
      <t xml:space="preserve">软件</t>
    </r>
    <r>
      <rPr>
        <sz val="10"/>
        <color rgb="FF1F2937"/>
        <rFont val="Calibri"/>
        <family val="0"/>
        <charset val="1"/>
      </rPr>
      <t xml:space="preserve">3 = Codex</t>
    </r>
    <r>
      <rPr>
        <sz val="10"/>
        <color rgb="FF1F2937"/>
        <rFont val="Noto Sans CJK SC"/>
        <family val="2"/>
      </rPr>
      <t xml:space="preserve">可移植</t>
    </r>
    <r>
      <rPr>
        <sz val="10"/>
        <color rgb="FF1F2937"/>
        <rFont val="Calibri"/>
        <family val="0"/>
        <charset val="1"/>
      </rPr>
      <t xml:space="preserve">55</t>
    </r>
    <r>
      <rPr>
        <sz val="10"/>
        <color rgb="FF1F2937"/>
        <rFont val="Noto Sans CJK SC"/>
        <family val="2"/>
      </rPr>
      <t xml:space="preserve">；另列硬件验证需求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项；后续因错误删除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负向而被修订</t>
    </r>
  </si>
  <si>
    <r>
      <rPr>
        <sz val="10"/>
        <color rgb="FF1F2937"/>
        <rFont val="Calibri"/>
        <family val="0"/>
        <charset val="1"/>
      </rPr>
      <t xml:space="preserve">v0.3.2</t>
    </r>
    <r>
      <rPr>
        <sz val="10"/>
        <color rgb="FF1F2937"/>
        <rFont val="Noto Sans CJK SC"/>
        <family val="2"/>
      </rPr>
      <t xml:space="preserve">保留为历史版本</t>
    </r>
  </si>
  <si>
    <t xml:space="preserve">W1-10</t>
  </si>
  <si>
    <r>
      <rPr>
        <sz val="10"/>
        <color rgb="FF1F2937"/>
        <rFont val="Noto Sans CJK SC"/>
        <family val="2"/>
      </rPr>
      <t xml:space="preserve">纠正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与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测试对象边界</t>
    </r>
  </si>
  <si>
    <r>
      <rPr>
        <sz val="10"/>
        <color rgb="FF1F2937"/>
        <rFont val="Noto Sans CJK SC"/>
        <family val="2"/>
      </rPr>
      <t xml:space="preserve">用户明确：不测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软件</t>
    </r>
    <r>
      <rPr>
        <sz val="10"/>
        <color rgb="FF1F2937"/>
        <rFont val="Calibri"/>
        <family val="0"/>
        <charset val="1"/>
      </rPr>
      <t xml:space="preserve">bug</t>
    </r>
    <r>
      <rPr>
        <sz val="10"/>
        <color rgb="FF1F2937"/>
        <rFont val="Noto Sans CJK SC"/>
        <family val="2"/>
      </rPr>
      <t xml:space="preserve">，但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软件和硬件都是</t>
    </r>
    <r>
      <rPr>
        <sz val="10"/>
        <color rgb="FF1F2937"/>
        <rFont val="Calibri"/>
        <family val="0"/>
        <charset val="1"/>
      </rPr>
      <t xml:space="preserve">DUT</t>
    </r>
    <r>
      <rPr>
        <sz val="10"/>
        <color rgb="FF1F2937"/>
        <rFont val="Noto Sans CJK SC"/>
        <family val="2"/>
      </rPr>
      <t xml:space="preserve">，错误签名等拒绝路径必须保留</t>
    </r>
  </si>
  <si>
    <r>
      <rPr>
        <sz val="10"/>
        <color rgb="FF1F2937"/>
        <rFont val="Noto Sans CJK SC"/>
        <family val="2"/>
      </rPr>
      <t xml:space="preserve">形成</t>
    </r>
    <r>
      <rPr>
        <sz val="10"/>
        <color rgb="FF1F2937"/>
        <rFont val="Calibri"/>
        <family val="0"/>
        <charset val="1"/>
      </rPr>
      <t xml:space="preserve">v0.3.3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Mailbox BASIC 52 + eHSM</t>
    </r>
    <r>
      <rPr>
        <sz val="10"/>
        <color rgb="FF1F2937"/>
        <rFont val="Noto Sans CJK SC"/>
        <family val="2"/>
      </rPr>
      <t xml:space="preserve">负向</t>
    </r>
    <r>
      <rPr>
        <sz val="10"/>
        <color rgb="FF1F2937"/>
        <rFont val="Calibri"/>
        <family val="0"/>
        <charset val="1"/>
      </rPr>
      <t xml:space="preserve">14 + SoC</t>
    </r>
    <r>
      <rPr>
        <sz val="10"/>
        <color rgb="FF1F2937"/>
        <rFont val="Noto Sans CJK SC"/>
        <family val="2"/>
      </rPr>
      <t xml:space="preserve">软件</t>
    </r>
    <r>
      <rPr>
        <sz val="10"/>
        <color rgb="FF1F2937"/>
        <rFont val="Calibri"/>
        <family val="0"/>
        <charset val="1"/>
      </rPr>
      <t xml:space="preserve">3 = Codex</t>
    </r>
    <r>
      <rPr>
        <sz val="10"/>
        <color rgb="FF1F2937"/>
        <rFont val="Noto Sans CJK SC"/>
        <family val="2"/>
      </rPr>
      <t xml:space="preserve">可移植</t>
    </r>
    <r>
      <rPr>
        <sz val="10"/>
        <color rgb="FF1F2937"/>
        <rFont val="Calibri"/>
        <family val="0"/>
        <charset val="1"/>
      </rPr>
      <t xml:space="preserve">69</t>
    </r>
    <r>
      <rPr>
        <sz val="10"/>
        <color rgb="FF1F2937"/>
        <rFont val="Noto Sans CJK SC"/>
        <family val="2"/>
      </rPr>
      <t xml:space="preserve">；硬件验证需求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项</t>
    </r>
  </si>
  <si>
    <r>
      <rPr>
        <sz val="10"/>
        <color rgb="FF1F2937"/>
        <rFont val="Calibri"/>
        <family val="0"/>
        <charset val="1"/>
      </rPr>
      <t xml:space="preserve">v0.3.3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提交证据；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本地负向</t>
    </r>
    <r>
      <rPr>
        <sz val="10"/>
        <color rgb="FF1F2937"/>
        <rFont val="Calibri"/>
        <family val="0"/>
        <charset val="1"/>
      </rPr>
      <t xml:space="preserve">0</t>
    </r>
  </si>
  <si>
    <t xml:space="preserve">W1-11</t>
  </si>
  <si>
    <t xml:space="preserve">复审硬件需求的软件可构造部分</t>
  </si>
  <si>
    <r>
      <rPr>
        <sz val="10"/>
        <color rgb="FF1F2937"/>
        <rFont val="Noto Sans CJK SC"/>
        <family val="2"/>
      </rPr>
      <t xml:space="preserve">用户要求：凡可通过软件配置、现有命令、寄存器、复位或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形成闭环的功能均建立软件用例</t>
    </r>
  </si>
  <si>
    <r>
      <rPr>
        <sz val="10"/>
        <color rgb="FF1F2937"/>
        <rFont val="Noto Sans CJK SC"/>
        <family val="2"/>
      </rPr>
      <t xml:space="preserve">形成</t>
    </r>
    <r>
      <rPr>
        <sz val="10"/>
        <color rgb="FF1F2937"/>
        <rFont val="Calibri"/>
        <family val="0"/>
        <charset val="1"/>
      </rPr>
      <t xml:space="preserve">v0.3.4</t>
    </r>
    <r>
      <rPr>
        <sz val="10"/>
        <color rgb="FF1F2937"/>
        <rFont val="Noto Sans CJK SC"/>
        <family val="2"/>
      </rPr>
      <t xml:space="preserve">：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软件</t>
    </r>
    <r>
      <rPr>
        <sz val="10"/>
        <color rgb="FF1F2937"/>
        <rFont val="Calibri"/>
        <family val="0"/>
        <charset val="1"/>
      </rPr>
      <t xml:space="preserve">66 + SoC</t>
    </r>
    <r>
      <rPr>
        <sz val="10"/>
        <color rgb="FF1F2937"/>
        <rFont val="Noto Sans CJK SC"/>
        <family val="2"/>
      </rPr>
      <t xml:space="preserve">软件 </t>
    </r>
    <r>
      <rPr>
        <sz val="10"/>
        <color rgb="FF1F2937"/>
        <rFont val="Calibri"/>
        <family val="0"/>
        <charset val="1"/>
      </rPr>
      <t xml:space="preserve">8 = Codex</t>
    </r>
    <r>
      <rPr>
        <sz val="10"/>
        <color rgb="FF1F2937"/>
        <rFont val="Noto Sans CJK SC"/>
        <family val="2"/>
      </rPr>
      <t xml:space="preserve">可移植 </t>
    </r>
    <r>
      <rPr>
        <sz val="10"/>
        <color rgb="FF1F2937"/>
        <rFont val="Calibri"/>
        <family val="0"/>
        <charset val="1"/>
      </rPr>
      <t xml:space="preserve">74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项硬件需求改为关联软件用例的内部补充验证</t>
    </r>
  </si>
  <si>
    <r>
      <rPr>
        <sz val="10"/>
        <color rgb="FF1F2937"/>
        <rFont val="Noto Sans CJK SC"/>
        <family val="2"/>
      </rPr>
      <t xml:space="preserve">新增</t>
    </r>
    <r>
      <rPr>
        <sz val="10"/>
        <color rgb="FF1F2937"/>
        <rFont val="Calibri"/>
        <family val="0"/>
        <charset val="1"/>
      </rPr>
      <t xml:space="preserve">SOC-MAILBOX-001/002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SOC-HSM-ERROR-001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SOC-</t>
    </r>
    <r>
      <rPr>
        <sz val="10"/>
        <color rgb="FF1F2937"/>
        <rFont val="Noto Sans CJK SC"/>
        <family val="2"/>
      </rPr>
      <t xml:space="preserve">复位</t>
    </r>
    <r>
      <rPr>
        <sz val="10"/>
        <color rgb="FF1F2937"/>
        <rFont val="Calibri"/>
        <family val="0"/>
        <charset val="1"/>
      </rPr>
      <t xml:space="preserve">-001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SOC-IRQ-001</t>
    </r>
  </si>
  <si>
    <t xml:space="preserve">W1-12</t>
  </si>
  <si>
    <t xml:space="preserve">中文化测试表术语</t>
  </si>
  <si>
    <t xml:space="preserve">用户要求将测试用例表中的英文术语改为中文解释</t>
  </si>
  <si>
    <r>
      <rPr>
        <sz val="10"/>
        <color rgb="FF1F2937"/>
        <rFont val="Noto Sans CJK SC"/>
        <family val="2"/>
      </rPr>
      <t xml:space="preserve">形成</t>
    </r>
    <r>
      <rPr>
        <sz val="10"/>
        <color rgb="FF1F2937"/>
        <rFont val="Calibri"/>
        <family val="0"/>
        <charset val="1"/>
      </rPr>
      <t xml:space="preserve">v0.3.5</t>
    </r>
    <r>
      <rPr>
        <sz val="10"/>
        <color rgb="FF1F2937"/>
        <rFont val="Noto Sans CJK SC"/>
        <family val="2"/>
      </rPr>
      <t xml:space="preserve">：说明性文字中文化；技术标识保留；新增术语说明工作表</t>
    </r>
  </si>
  <si>
    <r>
      <rPr>
        <sz val="10"/>
        <color rgb="FF1F2937"/>
        <rFont val="Noto Sans CJK SC"/>
        <family val="2"/>
      </rPr>
      <t xml:space="preserve">通过判据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专用测试环境与资源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参数化测试输入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处理阶段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测试基线等统一中文解释</t>
    </r>
  </si>
  <si>
    <t xml:space="preserve">W2-01</t>
  </si>
  <si>
    <r>
      <rPr>
        <sz val="10"/>
        <color rgb="FF1F2937"/>
        <rFont val="Noto Sans CJK SC"/>
        <family val="2"/>
      </rPr>
      <t xml:space="preserve">完成</t>
    </r>
    <r>
      <rPr>
        <sz val="10"/>
        <color rgb="FF1F2937"/>
        <rFont val="Calibri"/>
        <family val="0"/>
        <charset val="1"/>
      </rPr>
      <t xml:space="preserve">baremetal</t>
    </r>
    <r>
      <rPr>
        <sz val="10"/>
        <color rgb="FF1F2937"/>
        <rFont val="Noto Sans CJK SC"/>
        <family val="2"/>
      </rPr>
      <t xml:space="preserve">仓库现状和落点确认</t>
    </r>
  </si>
  <si>
    <r>
      <rPr>
        <sz val="10"/>
        <color rgb="FF1F2937"/>
        <rFont val="Calibri"/>
        <family val="0"/>
        <charset val="1"/>
      </rPr>
      <t xml:space="preserve">v0.3.5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baremetal</t>
    </r>
    <r>
      <rPr>
        <sz val="10"/>
        <color rgb="FF1F2937"/>
        <rFont val="Noto Sans CJK SC"/>
        <family val="2"/>
      </rPr>
      <t xml:space="preserve">现有</t>
    </r>
    <r>
      <rPr>
        <sz val="10"/>
        <color rgb="FF1F2937"/>
        <rFont val="Calibri"/>
        <family val="0"/>
        <charset val="1"/>
      </rPr>
      <t xml:space="preserve">CMD/</t>
    </r>
    <r>
      <rPr>
        <sz val="10"/>
        <color rgb="FF1F2937"/>
        <rFont val="Noto Sans CJK SC"/>
        <family val="2"/>
      </rPr>
      <t xml:space="preserve">构建规则</t>
    </r>
  </si>
  <si>
    <r>
      <rPr>
        <sz val="10"/>
        <color rgb="FF1F2937"/>
        <rFont val="Noto Sans CJK SC"/>
        <family val="2"/>
      </rPr>
      <t xml:space="preserve">确认</t>
    </r>
    <r>
      <rPr>
        <sz val="10"/>
        <color rgb="FF1F2937"/>
        <rFont val="Calibri"/>
        <family val="0"/>
        <charset val="1"/>
      </rPr>
      <t xml:space="preserve">components/security + solutions/gsp-bm + CMD_SINGLE_CASE</t>
    </r>
    <r>
      <rPr>
        <sz val="10"/>
        <color rgb="FF1F2937"/>
        <rFont val="Noto Sans CJK SC"/>
        <family val="2"/>
      </rPr>
      <t xml:space="preserve">，不建设独立</t>
    </r>
    <r>
      <rPr>
        <sz val="10"/>
        <color rgb="FF1F2937"/>
        <rFont val="Calibri"/>
        <family val="0"/>
        <charset val="1"/>
      </rPr>
      <t xml:space="preserve">solution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Host Runner</t>
    </r>
  </si>
  <si>
    <t xml:space="preserve">components/security/docs/openspec/development_principles.md</t>
  </si>
  <si>
    <t xml:space="preserve">W2-02</t>
  </si>
  <si>
    <r>
      <rPr>
        <sz val="10"/>
        <color rgb="FF1F2937"/>
        <rFont val="Noto Sans CJK SC"/>
        <family val="2"/>
      </rPr>
      <t xml:space="preserve">移植</t>
    </r>
    <r>
      <rPr>
        <sz val="10"/>
        <color rgb="FF1F2937"/>
        <rFont val="Calibri"/>
        <family val="0"/>
        <charset val="1"/>
      </rPr>
      <t xml:space="preserve">eHSM Host typed API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公共实现</t>
    </r>
  </si>
  <si>
    <r>
      <rPr>
        <sz val="10"/>
        <color rgb="FF1F2937"/>
        <rFont val="Calibri"/>
        <family val="0"/>
        <charset val="1"/>
      </rPr>
      <t xml:space="preserve">eHSM Host 2.3.1</t>
    </r>
    <r>
      <rPr>
        <sz val="10"/>
        <color rgb="FF1F2937"/>
        <rFont val="Noto Sans CJK SC"/>
        <family val="2"/>
      </rPr>
      <t xml:space="preserve">参考源码、</t>
    </r>
    <r>
      <rPr>
        <sz val="10"/>
        <color rgb="FF1F2937"/>
        <rFont val="Calibri"/>
        <family val="0"/>
        <charset val="1"/>
      </rPr>
      <t xml:space="preserve">NGU800P</t>
    </r>
    <r>
      <rPr>
        <sz val="10"/>
        <color rgb="FF1F2937"/>
        <rFont val="Noto Sans CJK SC"/>
        <family val="2"/>
      </rPr>
      <t xml:space="preserve">平台合同</t>
    </r>
  </si>
  <si>
    <r>
      <rPr>
        <sz val="10"/>
        <color rgb="FF1F2937"/>
        <rFont val="Calibri"/>
        <family val="0"/>
        <charset val="1"/>
      </rPr>
      <t xml:space="preserve">52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全部注册；构建自包含；</t>
    </r>
    <r>
      <rPr>
        <sz val="10"/>
        <color rgb="FF1F2937"/>
        <rFont val="Calibri"/>
        <family val="0"/>
        <charset val="1"/>
      </rPr>
      <t xml:space="preserve">service channel 1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poll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100 ms</t>
    </r>
  </si>
  <si>
    <t xml:space="preserve">COMPLETED_WITH_TARGET_GAP</t>
  </si>
  <si>
    <t xml:space="preserve">W2-03</t>
  </si>
  <si>
    <r>
      <rPr>
        <sz val="10"/>
        <color rgb="FF1F2937"/>
        <rFont val="Noto Sans CJK SC"/>
        <family val="2"/>
      </rPr>
      <t xml:space="preserve">落实</t>
    </r>
    <r>
      <rPr>
        <sz val="10"/>
        <color rgb="FF1F2937"/>
        <rFont val="Calibri"/>
        <family val="0"/>
        <charset val="1"/>
      </rPr>
      <t xml:space="preserve">OTP Mailbox-only</t>
    </r>
    <r>
      <rPr>
        <sz val="10"/>
        <color rgb="FF1F2937"/>
        <rFont val="Noto Sans CJK SC"/>
        <family val="2"/>
      </rPr>
      <t xml:space="preserve">、双</t>
    </r>
    <r>
      <rPr>
        <sz val="10"/>
        <color rgb="FF1F2937"/>
        <rFont val="Calibri"/>
        <family val="0"/>
        <charset val="1"/>
      </rPr>
      <t xml:space="preserve">Profile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fixture</t>
    </r>
    <r>
      <rPr>
        <sz val="10"/>
        <color rgb="FF1F2937"/>
        <rFont val="Noto Sans CJK SC"/>
        <family val="2"/>
      </rPr>
      <t xml:space="preserve">约束</t>
    </r>
  </si>
  <si>
    <r>
      <rPr>
        <sz val="10"/>
        <color rgb="FF1F2937"/>
        <rFont val="Calibri"/>
        <family val="0"/>
        <charset val="1"/>
      </rPr>
      <t xml:space="preserve">Table 34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SRC-0024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g_otp_data</t>
    </r>
    <r>
      <rPr>
        <sz val="10"/>
        <color rgb="FF1F2937"/>
        <rFont val="Noto Sans CJK SC"/>
        <family val="2"/>
      </rPr>
      <t xml:space="preserve">参考基线</t>
    </r>
  </si>
  <si>
    <r>
      <rPr>
        <sz val="10"/>
        <color rgb="FF1F2937"/>
        <rFont val="Calibri"/>
        <family val="0"/>
        <charset val="1"/>
      </rPr>
      <t xml:space="preserve">GSP direct OTP fail-close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SECURITY_OTP_PRELOADED=0/1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fixture/load receipt</t>
    </r>
    <r>
      <rPr>
        <sz val="10"/>
        <color rgb="FF1F2937"/>
        <rFont val="Noto Sans CJK SC"/>
        <family val="2"/>
      </rPr>
      <t xml:space="preserve">遗留项集中登记</t>
    </r>
  </si>
  <si>
    <t xml:space="preserve">20260804-otp-preloaded-dual-profile.md; openspec/LEGACY_ITEMS.md</t>
  </si>
  <si>
    <t xml:space="preserve">W2-04</t>
  </si>
  <si>
    <r>
      <rPr>
        <sz val="10"/>
        <color rgb="FF1F2937"/>
        <rFont val="Noto Sans CJK SC"/>
        <family val="2"/>
      </rPr>
      <t xml:space="preserve">补齐</t>
    </r>
    <r>
      <rPr>
        <sz val="10"/>
        <color rgb="FF1F2937"/>
        <rFont val="Calibri"/>
        <family val="0"/>
        <charset val="1"/>
      </rPr>
      <t xml:space="preserve">Mailbox BASIC</t>
    </r>
    <r>
      <rPr>
        <sz val="10"/>
        <color rgb="FF1F2937"/>
        <rFont val="Noto Sans CJK SC"/>
        <family val="2"/>
      </rPr>
      <t xml:space="preserve">参考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已启用算法和密钥管理矩阵</t>
    </r>
  </si>
  <si>
    <r>
      <rPr>
        <sz val="10"/>
        <color rgb="FF1F2937"/>
        <rFont val="Calibri"/>
        <family val="0"/>
        <charset val="1"/>
      </rPr>
      <t xml:space="preserve">FW016</t>
    </r>
    <r>
      <rPr>
        <sz val="10"/>
        <color rgb="FF1F2937"/>
        <rFont val="Noto Sans CJK SC"/>
        <family val="2"/>
      </rPr>
      <t xml:space="preserve">～</t>
    </r>
    <r>
      <rPr>
        <sz val="10"/>
        <color rgb="FF1F2937"/>
        <rFont val="Calibri"/>
        <family val="0"/>
        <charset val="1"/>
      </rPr>
      <t xml:space="preserve">027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FW045</t>
    </r>
    <r>
      <rPr>
        <sz val="10"/>
        <color rgb="FF1F2937"/>
        <rFont val="Noto Sans CJK SC"/>
        <family val="2"/>
      </rPr>
      <t xml:space="preserve">～</t>
    </r>
    <r>
      <rPr>
        <sz val="10"/>
        <color rgb="FF1F2937"/>
        <rFont val="Calibri"/>
        <family val="0"/>
        <charset val="1"/>
      </rPr>
      <t xml:space="preserve">051</t>
    </r>
    <r>
      <rPr>
        <sz val="10"/>
        <color rgb="FF1F2937"/>
        <rFont val="Noto Sans CJK SC"/>
        <family val="2"/>
      </rPr>
      <t xml:space="preserve">参考</t>
    </r>
    <r>
      <rPr>
        <sz val="10"/>
        <color rgb="FF1F2937"/>
        <rFont val="Calibri"/>
        <family val="0"/>
        <charset val="1"/>
      </rPr>
      <t xml:space="preserve">Host entry</t>
    </r>
    <r>
      <rPr>
        <sz val="10"/>
        <color rgb="FF1F2937"/>
        <rFont val="Noto Sans CJK SC"/>
        <family val="2"/>
      </rPr>
      <t xml:space="preserve">与向量</t>
    </r>
  </si>
  <si>
    <r>
      <rPr>
        <sz val="10"/>
        <color rgb="FF1F2937"/>
        <rFont val="Calibri"/>
        <family val="0"/>
        <charset val="1"/>
      </rPr>
      <t xml:space="preserve">51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REAL_API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FW016/</t>
    </r>
    <r>
      <rPr>
        <sz val="10"/>
        <color rgb="FF1F2937"/>
        <rFont val="Noto Sans CJK SC"/>
        <family val="2"/>
      </rPr>
      <t xml:space="preserve">签名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其余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矩阵完成；</t>
    </r>
    <r>
      <rPr>
        <sz val="10"/>
        <color rgb="FF1F2937"/>
        <rFont val="Calibri"/>
        <family val="0"/>
        <charset val="1"/>
      </rPr>
      <t xml:space="preserve">BL006</t>
    </r>
    <r>
      <rPr>
        <sz val="10"/>
        <color rgb="FF1F2937"/>
        <rFont val="Noto Sans CJK SC"/>
        <family val="2"/>
      </rPr>
      <t xml:space="preserve">为唯一</t>
    </r>
    <r>
      <rPr>
        <sz val="10"/>
        <color rgb="FF1F2937"/>
        <rFont val="Calibri"/>
        <family val="0"/>
        <charset val="1"/>
      </rPr>
      <t xml:space="preserve">GATED_INCONCLUSIVE</t>
    </r>
  </si>
  <si>
    <t xml:space="preserve">20260807-fw016-symmetric-matrix.md; 20260810-fw-signature-matrix.md; 20260810-fw-remaining-basic-matrix.md</t>
  </si>
  <si>
    <t xml:space="preserve">W2-05</t>
  </si>
  <si>
    <r>
      <rPr>
        <sz val="10"/>
        <color rgb="FF1F2937"/>
        <rFont val="Noto Sans CJK SC"/>
        <family val="2"/>
      </rPr>
      <t xml:space="preserve">回填</t>
    </r>
    <r>
      <rPr>
        <sz val="10"/>
        <color rgb="FF1F2937"/>
        <rFont val="Calibri"/>
        <family val="0"/>
        <charset val="1"/>
      </rPr>
      <t xml:space="preserve">v0.3.6</t>
    </r>
    <r>
      <rPr>
        <sz val="10"/>
        <color rgb="FF1F2937"/>
        <rFont val="Noto Sans CJK SC"/>
        <family val="2"/>
      </rPr>
      <t xml:space="preserve">实现状态和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索引</t>
    </r>
  </si>
  <si>
    <r>
      <rPr>
        <sz val="10"/>
        <color rgb="FF1F2937"/>
        <rFont val="Calibri"/>
        <family val="0"/>
        <charset val="1"/>
      </rPr>
      <t xml:space="preserve">baremetal CASE_INDEX</t>
    </r>
    <r>
      <rPr>
        <sz val="10"/>
        <color rgb="FF1F2937"/>
        <rFont val="Noto Sans CJK SC"/>
        <family val="2"/>
      </rPr>
      <t xml:space="preserve">、测试指南、</t>
    </r>
    <r>
      <rPr>
        <sz val="10"/>
        <color rgb="FF1F2937"/>
        <rFont val="Calibri"/>
        <family val="0"/>
        <charset val="1"/>
      </rPr>
      <t xml:space="preserve">OpenSpec/Evidence</t>
    </r>
  </si>
  <si>
    <r>
      <rPr>
        <sz val="10"/>
        <color rgb="FF1F2937"/>
        <rFont val="Noto Sans CJK SC"/>
        <family val="2"/>
      </rPr>
      <t xml:space="preserve">代码接入状态与目标执行状态分离；</t>
    </r>
    <r>
      <rPr>
        <sz val="10"/>
        <color rgb="FF1F2937"/>
        <rFont val="Calibri"/>
        <family val="0"/>
        <charset val="1"/>
      </rPr>
      <t xml:space="preserve">14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负向和</t>
    </r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用例仍保持</t>
    </r>
    <r>
      <rPr>
        <sz val="10"/>
        <color rgb="FF1F2937"/>
        <rFont val="Calibri"/>
        <family val="0"/>
        <charset val="1"/>
      </rPr>
      <t xml:space="preserve">PLANNED</t>
    </r>
  </si>
  <si>
    <t xml:space="preserve">NGU800P-security-test-cases-v0.3.6.xlsx</t>
  </si>
  <si>
    <t xml:space="preserve">待确认项与移植阶段输入</t>
  </si>
  <si>
    <t xml:space="preserve">ID</t>
  </si>
  <si>
    <t xml:space="preserve">主题</t>
  </si>
  <si>
    <t xml:space="preserve">问题</t>
  </si>
  <si>
    <t xml:space="preserve">级别</t>
  </si>
  <si>
    <r>
      <rPr>
        <b val="true"/>
        <sz val="11"/>
        <color rgb="FFFFFFFF"/>
        <rFont val="Noto Sans CJK SC"/>
        <family val="2"/>
      </rPr>
      <t xml:space="preserve">解除条件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动作</t>
    </r>
  </si>
  <si>
    <r>
      <rPr>
        <b val="true"/>
        <sz val="11"/>
        <color rgb="FFFFFFFF"/>
        <rFont val="Noto Sans CJK SC"/>
        <family val="2"/>
      </rPr>
      <t xml:space="preserve">责任人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答复</t>
    </r>
  </si>
  <si>
    <t xml:space="preserve">当前状态</t>
  </si>
  <si>
    <r>
      <rPr>
        <b val="true"/>
        <sz val="11"/>
        <color rgb="FFFFFFFF"/>
        <rFont val="Noto Sans CJK SC"/>
        <family val="2"/>
      </rPr>
      <t xml:space="preserve">对应遗留项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结论</t>
    </r>
  </si>
  <si>
    <t xml:space="preserve">代码仓基线</t>
  </si>
  <si>
    <r>
      <rPr>
        <sz val="10"/>
        <color rgb="FF1F2937"/>
        <rFont val="Noto Sans CJK SC"/>
        <family val="2"/>
      </rPr>
      <t xml:space="preserve">实施时 </t>
    </r>
    <r>
      <rPr>
        <sz val="10"/>
        <color rgb="FF1F2937"/>
        <rFont val="Calibri"/>
        <family val="0"/>
        <charset val="1"/>
      </rPr>
      <t xml:space="preserve">../baremetal </t>
    </r>
    <r>
      <rPr>
        <sz val="10"/>
        <color rgb="FF1F2937"/>
        <rFont val="Noto Sans CJK SC"/>
        <family val="2"/>
      </rPr>
      <t xml:space="preserve">的 分支、只读 测试基线 提交号 和已有修改归属是什么？</t>
    </r>
  </si>
  <si>
    <t xml:space="preserve">PORTING_INPUT</t>
  </si>
  <si>
    <r>
      <rPr>
        <sz val="10"/>
        <color rgb="FF1F2937"/>
        <rFont val="Calibri"/>
        <family val="0"/>
        <charset val="1"/>
      </rPr>
      <t xml:space="preserve">Codex </t>
    </r>
    <r>
      <rPr>
        <sz val="10"/>
        <color rgb="FF1F2937"/>
        <rFont val="Noto Sans CJK SC"/>
        <family val="2"/>
      </rPr>
      <t xml:space="preserve">开始写代码前登记；本任务不实施移植</t>
    </r>
  </si>
  <si>
    <r>
      <rPr>
        <sz val="10"/>
        <color rgb="FF1F2937"/>
        <rFont val="Calibri"/>
        <family val="0"/>
        <charset val="1"/>
      </rPr>
      <t xml:space="preserve">baremetal master</t>
    </r>
    <r>
      <rPr>
        <sz val="10"/>
        <color rgb="FF1F2937"/>
        <rFont val="Noto Sans CJK SC"/>
        <family val="2"/>
      </rPr>
      <t xml:space="preserve">起始</t>
    </r>
    <r>
      <rPr>
        <sz val="10"/>
        <color rgb="FF1F2937"/>
        <rFont val="Calibri"/>
        <family val="0"/>
        <charset val="1"/>
      </rPr>
      <t xml:space="preserve">commit</t>
    </r>
    <r>
      <rPr>
        <sz val="10"/>
        <color rgb="FF1F2937"/>
        <rFont val="Noto Sans CJK SC"/>
        <family val="2"/>
      </rPr>
      <t xml:space="preserve">已在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登记；最终实现</t>
    </r>
    <r>
      <rPr>
        <sz val="10"/>
        <color rgb="FF1F2937"/>
        <rFont val="Calibri"/>
        <family val="0"/>
        <charset val="1"/>
      </rPr>
      <t xml:space="preserve">commit</t>
    </r>
    <r>
      <rPr>
        <sz val="10"/>
        <color rgb="FF1F2937"/>
        <rFont val="Noto Sans CJK SC"/>
        <family val="2"/>
      </rPr>
      <t xml:space="preserve">待冻结</t>
    </r>
  </si>
  <si>
    <t xml:space="preserve">PARTIALLY_RESOLVED</t>
  </si>
  <si>
    <r>
      <rPr>
        <sz val="10"/>
        <color rgb="FF1F2937"/>
        <rFont val="Noto Sans CJK SC"/>
        <family val="2"/>
      </rPr>
      <t xml:space="preserve">已登记起始</t>
    </r>
    <r>
      <rPr>
        <sz val="10"/>
        <color rgb="FF1F2937"/>
        <rFont val="Calibri"/>
        <family val="0"/>
        <charset val="1"/>
      </rPr>
      <t xml:space="preserve">branch/commit</t>
    </r>
    <r>
      <rPr>
        <sz val="10"/>
        <color rgb="FF1F2937"/>
        <rFont val="Noto Sans CJK SC"/>
        <family val="2"/>
      </rPr>
      <t xml:space="preserve">；当前实现修改尚未冻结为最终提交</t>
    </r>
  </si>
  <si>
    <t xml:space="preserve">Q-002</t>
  </si>
  <si>
    <r>
      <rPr>
        <sz val="10"/>
        <color rgb="FF1F2937"/>
        <rFont val="Calibri"/>
        <family val="0"/>
        <charset val="1"/>
      </rPr>
      <t xml:space="preserve">Mailbox/</t>
    </r>
    <r>
      <rPr>
        <sz val="10"/>
        <color rgb="FF1F2937"/>
        <rFont val="Noto Sans CJK SC"/>
        <family val="2"/>
      </rPr>
      <t xml:space="preserve">状态映射</t>
    </r>
  </si>
  <si>
    <r>
      <rPr>
        <sz val="10"/>
        <color rgb="FF1F2937"/>
        <rFont val="Calibri"/>
        <family val="0"/>
        <charset val="1"/>
      </rPr>
      <t xml:space="preserve">Vendor </t>
    </r>
    <r>
      <rPr>
        <sz val="10"/>
        <color rgb="FF1F2937"/>
        <rFont val="Noto Sans CJK SC"/>
        <family val="2"/>
      </rPr>
      <t xml:space="preserve">直连 </t>
    </r>
    <r>
      <rPr>
        <sz val="10"/>
        <color rgb="FF1F2937"/>
        <rFont val="Calibri"/>
        <family val="0"/>
        <charset val="1"/>
      </rPr>
      <t xml:space="preserve">16×4KiB </t>
    </r>
    <r>
      <rPr>
        <sz val="10"/>
        <color rgb="FF1F2937"/>
        <rFont val="Noto Sans CJK SC"/>
        <family val="2"/>
      </rPr>
      <t xml:space="preserve">地址窗口 及 </t>
    </r>
    <r>
      <rPr>
        <sz val="10"/>
        <color rgb="FF1F2937"/>
        <rFont val="Calibri"/>
        <family val="0"/>
        <charset val="1"/>
      </rPr>
      <t xml:space="preserve">o_hsm_status/o_hsm_err_hw/o_hsm_err_fw </t>
    </r>
    <r>
      <rPr>
        <sz val="10"/>
        <color rgb="FF1F2937"/>
        <rFont val="Noto Sans CJK SC"/>
        <family val="2"/>
      </rPr>
      <t xml:space="preserve">的准确 </t>
    </r>
    <r>
      <rPr>
        <sz val="10"/>
        <color rgb="FF1F2937"/>
        <rFont val="Calibri"/>
        <family val="0"/>
        <charset val="1"/>
      </rPr>
      <t xml:space="preserve">SoC </t>
    </r>
    <r>
      <rPr>
        <sz val="10"/>
        <color rgb="FF1F2937"/>
        <rFont val="Noto Sans CJK SC"/>
        <family val="2"/>
      </rPr>
      <t xml:space="preserve">地址、宽度和读取顺序是什么？</t>
    </r>
  </si>
  <si>
    <t xml:space="preserve">PORTING_BLOCKER</t>
  </si>
  <si>
    <r>
      <rPr>
        <sz val="10"/>
        <color rgb="FF1F2937"/>
        <rFont val="Noto Sans CJK SC"/>
        <family val="2"/>
      </rPr>
      <t xml:space="preserve">由 </t>
    </r>
    <r>
      <rPr>
        <sz val="10"/>
        <color rgb="FF1F2937"/>
        <rFont val="Calibri"/>
        <family val="0"/>
        <charset val="1"/>
      </rPr>
      <t xml:space="preserve">SRC-0022/RTL </t>
    </r>
    <r>
      <rPr>
        <sz val="10"/>
        <color rgb="FF1F2937"/>
        <rFont val="Noto Sans CJK SC"/>
        <family val="2"/>
      </rPr>
      <t xml:space="preserve">生成头文件冻结；不得使用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示例地址代替</t>
    </r>
  </si>
  <si>
    <r>
      <rPr>
        <sz val="10"/>
        <color rgb="FF1F2937"/>
        <rFont val="Calibri"/>
        <family val="0"/>
        <charset val="1"/>
      </rPr>
      <t xml:space="preserve">Mailbox System Address=0x101007c10000–0x101007c1ffff</t>
    </r>
    <r>
      <rPr>
        <sz val="10"/>
        <color rgb="FF1F2937"/>
        <rFont val="Noto Sans CJK SC"/>
        <family val="2"/>
      </rPr>
      <t xml:space="preserve">，</t>
    </r>
    <r>
      <rPr>
        <sz val="10"/>
        <color rgb="FF1F2937"/>
        <rFont val="Calibri"/>
        <family val="0"/>
        <charset val="1"/>
      </rPr>
      <t xml:space="preserve">16×0x1000</t>
    </r>
    <r>
      <rPr>
        <sz val="10"/>
        <color rgb="FF1F2937"/>
        <rFont val="Noto Sans CJK SC"/>
        <family val="2"/>
      </rPr>
      <t xml:space="preserve">；</t>
    </r>
    <r>
      <rPr>
        <sz val="10"/>
        <color rgb="FF1F2937"/>
        <rFont val="Calibri"/>
        <family val="0"/>
        <charset val="1"/>
      </rPr>
      <t xml:space="preserve">HSM</t>
    </r>
    <r>
      <rPr>
        <sz val="10"/>
        <color rgb="FF1F2937"/>
        <rFont val="Noto Sans CJK SC"/>
        <family val="2"/>
      </rPr>
      <t xml:space="preserve">状态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错误</t>
    </r>
    <r>
      <rPr>
        <sz val="10"/>
        <color rgb="FF1F2937"/>
        <rFont val="Calibri"/>
        <family val="0"/>
        <charset val="1"/>
      </rPr>
      <t xml:space="preserve">map</t>
    </r>
    <r>
      <rPr>
        <sz val="10"/>
        <color rgb="FF1F2937"/>
        <rFont val="Noto Sans CJK SC"/>
        <family val="2"/>
      </rPr>
      <t xml:space="preserve">待补</t>
    </r>
  </si>
  <si>
    <r>
      <rPr>
        <sz val="10"/>
        <color rgb="FF1F2937"/>
        <rFont val="Calibri"/>
        <family val="0"/>
        <charset val="1"/>
      </rPr>
      <t xml:space="preserve">Mailbox aperture</t>
    </r>
    <r>
      <rPr>
        <sz val="10"/>
        <color rgb="FF1F2937"/>
        <rFont val="Noto Sans CJK SC"/>
        <family val="2"/>
      </rPr>
      <t xml:space="preserve">已确定；</t>
    </r>
    <r>
      <rPr>
        <sz val="10"/>
        <color rgb="FF1F2937"/>
        <rFont val="Calibri"/>
        <family val="0"/>
        <charset val="1"/>
      </rPr>
      <t xml:space="preserve">HSM status/hw_error/fw_err</t>
    </r>
    <r>
      <rPr>
        <sz val="10"/>
        <color rgb="FF1F2937"/>
        <rFont val="Noto Sans CJK SC"/>
        <family val="2"/>
      </rPr>
      <t xml:space="preserve">仍对应</t>
    </r>
    <r>
      <rPr>
        <sz val="10"/>
        <color rgb="FF1F2937"/>
        <rFont val="Calibri"/>
        <family val="0"/>
        <charset val="1"/>
      </rPr>
      <t xml:space="preserve">EHSM-MAP-001/002/003</t>
    </r>
  </si>
  <si>
    <t xml:space="preserve">Q-003</t>
  </si>
  <si>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配置权限</t>
    </r>
  </si>
  <si>
    <r>
      <rPr>
        <sz val="10"/>
        <color rgb="FF1F2937"/>
        <rFont val="Calibri"/>
        <family val="0"/>
        <charset val="1"/>
      </rPr>
      <t xml:space="preserve">C908</t>
    </r>
    <r>
      <rPr>
        <sz val="10"/>
        <color rgb="FF1F2937"/>
        <rFont val="Noto Sans CJK SC"/>
        <family val="2"/>
      </rPr>
      <t xml:space="preserve">和非安全管理核的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配置寄存器地址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默认值是什么？</t>
    </r>
  </si>
  <si>
    <r>
      <rPr>
        <sz val="10"/>
        <color rgb="FF1F2937"/>
        <rFont val="Noto Sans CJK SC"/>
        <family val="2"/>
      </rPr>
      <t xml:space="preserve">保持“</t>
    </r>
    <r>
      <rPr>
        <sz val="10"/>
        <color rgb="FF1F2937"/>
        <rFont val="Calibri"/>
        <family val="0"/>
        <charset val="1"/>
      </rPr>
      <t xml:space="preserve">C908</t>
    </r>
    <r>
      <rPr>
        <sz val="10"/>
        <color rgb="FF1F2937"/>
        <rFont val="Noto Sans CJK SC"/>
        <family val="2"/>
      </rPr>
      <t xml:space="preserve">可配置、非安全管理核不可配置”的边界；由</t>
    </r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提供精确绑定</t>
    </r>
  </si>
  <si>
    <t xml:space="preserve">OPEN</t>
  </si>
  <si>
    <r>
      <rPr>
        <sz val="10"/>
        <color rgb="FF1F2937"/>
        <rFont val="Calibri"/>
        <family val="0"/>
        <charset val="1"/>
      </rPr>
      <t xml:space="preserve">Firewall master_id</t>
    </r>
    <r>
      <rPr>
        <sz val="10"/>
        <color rgb="FF1F2937"/>
        <rFont val="Noto Sans CJK SC"/>
        <family val="2"/>
      </rPr>
      <t xml:space="preserve">和配置寄存器仍缺</t>
    </r>
  </si>
  <si>
    <t xml:space="preserve">Q-004</t>
  </si>
  <si>
    <r>
      <rPr>
        <sz val="10"/>
        <color rgb="FF1F2937"/>
        <rFont val="Calibri"/>
        <family val="0"/>
        <charset val="1"/>
      </rPr>
      <t xml:space="preserve">SRAM</t>
    </r>
    <r>
      <rPr>
        <sz val="10"/>
        <color rgb="FF1F2937"/>
        <rFont val="Noto Sans CJK SC"/>
        <family val="2"/>
      </rPr>
      <t xml:space="preserve">隔离</t>
    </r>
  </si>
  <si>
    <r>
      <rPr>
        <sz val="10"/>
        <color rgb="FF1F2937"/>
        <rFont val="Calibri"/>
        <family val="0"/>
        <charset val="1"/>
      </rPr>
      <t xml:space="preserve">SRAM </t>
    </r>
    <r>
      <rPr>
        <sz val="10"/>
        <color rgb="FF1F2937"/>
        <rFont val="Noto Sans CJK SC"/>
        <family val="2"/>
      </rPr>
      <t xml:space="preserve">区域地址、粒度、权限编码、授权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未授权</t>
    </r>
    <r>
      <rPr>
        <sz val="10"/>
        <color rgb="FF1F2937"/>
        <rFont val="Calibri"/>
        <family val="0"/>
        <charset val="1"/>
      </rPr>
      <t xml:space="preserve">master_id</t>
    </r>
    <r>
      <rPr>
        <sz val="10"/>
        <color rgb="FF1F2937"/>
        <rFont val="Noto Sans CJK SC"/>
        <family val="2"/>
      </rPr>
      <t xml:space="preserve">和非法访问响应是什么？</t>
    </r>
  </si>
  <si>
    <r>
      <rPr>
        <sz val="10"/>
        <color rgb="FF1F2937"/>
        <rFont val="Noto Sans CJK SC"/>
        <family val="2"/>
      </rPr>
      <t xml:space="preserve">冻结</t>
    </r>
    <r>
      <rPr>
        <sz val="10"/>
        <color rgb="FF1F2937"/>
        <rFont val="Calibri"/>
        <family val="0"/>
        <charset val="1"/>
      </rPr>
      <t xml:space="preserve">SOC-FIREWALL-002</t>
    </r>
    <r>
      <rPr>
        <sz val="10"/>
        <color rgb="FF1F2937"/>
        <rFont val="Noto Sans CJK SC"/>
        <family val="2"/>
      </rPr>
      <t xml:space="preserve">的参数化测试输入和预期结果</t>
    </r>
  </si>
  <si>
    <r>
      <rPr>
        <sz val="10"/>
        <color rgb="FF1F2937"/>
        <rFont val="Calibri"/>
        <family val="0"/>
        <charset val="1"/>
      </rPr>
      <t xml:space="preserve">SRAM</t>
    </r>
    <r>
      <rPr>
        <sz val="10"/>
        <color rgb="FF1F2937"/>
        <rFont val="Noto Sans CJK SC"/>
        <family val="2"/>
      </rPr>
      <t xml:space="preserve">区域、权限编码和非法访问响应仍缺</t>
    </r>
  </si>
  <si>
    <t xml:space="preserve">Q-005</t>
  </si>
  <si>
    <t xml:space="preserve">错误构造</t>
  </si>
  <si>
    <r>
      <rPr>
        <sz val="10"/>
        <color rgb="FF1F2937"/>
        <rFont val="Noto Sans CJK SC"/>
        <family val="2"/>
      </rPr>
      <t xml:space="preserve">哪些现有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公开命令会映射到</t>
    </r>
    <r>
      <rPr>
        <sz val="10"/>
        <color rgb="FF1F2937"/>
        <rFont val="Calibri"/>
        <family val="0"/>
        <charset val="1"/>
      </rPr>
      <t xml:space="preserve">o_hsm_err_fw/status</t>
    </r>
    <r>
      <rPr>
        <sz val="10"/>
        <color rgb="FF1F2937"/>
        <rFont val="Noto Sans CJK SC"/>
        <family val="2"/>
      </rPr>
      <t xml:space="preserve">的哪些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？哪些</t>
    </r>
    <r>
      <rPr>
        <sz val="10"/>
        <color rgb="FF1F2937"/>
        <rFont val="Calibri"/>
        <family val="0"/>
        <charset val="1"/>
      </rPr>
      <t xml:space="preserve">err_hw</t>
    </r>
    <r>
      <rPr>
        <sz val="10"/>
        <color rgb="FF1F2937"/>
        <rFont val="Noto Sans CJK SC"/>
        <family val="2"/>
      </rPr>
      <t xml:space="preserve">只能由故障注入构造？</t>
    </r>
  </si>
  <si>
    <t xml:space="preserve">SOC_AND_HW_INPUT</t>
  </si>
  <si>
    <r>
      <rPr>
        <sz val="10"/>
        <color rgb="FF1F2937"/>
        <rFont val="Noto Sans CJK SC"/>
        <family val="2"/>
      </rPr>
      <t xml:space="preserve">冻结</t>
    </r>
    <r>
      <rPr>
        <sz val="10"/>
        <color rgb="FF1F2937"/>
        <rFont val="Calibri"/>
        <family val="0"/>
        <charset val="1"/>
      </rPr>
      <t xml:space="preserve">SOC-HSM-ERROR-001</t>
    </r>
    <r>
      <rPr>
        <sz val="10"/>
        <color rgb="FF1F2937"/>
        <rFont val="Noto Sans CJK SC"/>
        <family val="2"/>
      </rPr>
      <t xml:space="preserve">可软件化参数化测试输入及</t>
    </r>
    <r>
      <rPr>
        <sz val="10"/>
        <color rgb="FF1F2937"/>
        <rFont val="Calibri"/>
        <family val="0"/>
        <charset val="1"/>
      </rPr>
      <t xml:space="preserve">HW-HSM</t>
    </r>
    <r>
      <rPr>
        <sz val="10"/>
        <color rgb="FF1F2937"/>
        <rFont val="Noto Sans CJK SC"/>
        <family val="2"/>
      </rPr>
      <t xml:space="preserve">剩余故障注入；禁止固件钩子</t>
    </r>
  </si>
  <si>
    <t xml:space="preserve">软件可构造错误与硬件故障注入边界仍缺</t>
  </si>
  <si>
    <t xml:space="preserve">Q-006</t>
  </si>
  <si>
    <t xml:space="preserve">复位</t>
  </si>
  <si>
    <r>
      <rPr>
        <sz val="10"/>
        <color rgb="FF1F2937"/>
        <rFont val="Noto Sans CJK SC"/>
        <family val="2"/>
      </rPr>
      <t xml:space="preserve">软件可调用的</t>
    </r>
    <r>
      <rPr>
        <sz val="10"/>
        <color rgb="FF1F2937"/>
        <rFont val="Calibri"/>
        <family val="0"/>
        <charset val="1"/>
      </rPr>
      <t xml:space="preserve">eHSM/</t>
    </r>
    <r>
      <rPr>
        <sz val="10"/>
        <color rgb="FF1F2937"/>
        <rFont val="Noto Sans CJK SC"/>
        <family val="2"/>
      </rPr>
      <t xml:space="preserve">热复位 复位控制、测试重入机制及</t>
    </r>
    <r>
      <rPr>
        <sz val="10"/>
        <color rgb="FF1F2937"/>
        <rFont val="Calibri"/>
        <family val="0"/>
        <charset val="1"/>
      </rPr>
      <t xml:space="preserve">Mailbox/Firewall/status/error </t>
    </r>
    <r>
      <rPr>
        <sz val="10"/>
        <color rgb="FF1F2937"/>
        <rFont val="Noto Sans CJK SC"/>
        <family val="2"/>
      </rPr>
      <t xml:space="preserve">复位 规则矩阵是什么？</t>
    </r>
  </si>
  <si>
    <r>
      <rPr>
        <sz val="10"/>
        <color rgb="FF1F2937"/>
        <rFont val="Noto Sans CJK SC"/>
        <family val="2"/>
      </rPr>
      <t xml:space="preserve">冻结</t>
    </r>
    <r>
      <rPr>
        <sz val="10"/>
        <color rgb="FF1F2937"/>
        <rFont val="Calibri"/>
        <family val="0"/>
        <charset val="1"/>
      </rPr>
      <t xml:space="preserve">SOC-</t>
    </r>
    <r>
      <rPr>
        <sz val="10"/>
        <color rgb="FF1F2937"/>
        <rFont val="Noto Sans CJK SC"/>
        <family val="2"/>
      </rPr>
      <t xml:space="preserve">复位</t>
    </r>
    <r>
      <rPr>
        <sz val="10"/>
        <color rgb="FF1F2937"/>
        <rFont val="Calibri"/>
        <family val="0"/>
        <charset val="1"/>
      </rPr>
      <t xml:space="preserve">-001</t>
    </r>
    <r>
      <rPr>
        <sz val="10"/>
        <color rgb="FF1F2937"/>
        <rFont val="Noto Sans CJK SC"/>
        <family val="2"/>
      </rPr>
      <t xml:space="preserve">；精确相位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上电 复位继续由</t>
    </r>
    <r>
      <rPr>
        <sz val="10"/>
        <color rgb="FF1F2937"/>
        <rFont val="Calibri"/>
        <family val="0"/>
        <charset val="1"/>
      </rPr>
      <t xml:space="preserve">HW-RST-001</t>
    </r>
    <r>
      <rPr>
        <sz val="10"/>
        <color rgb="FF1F2937"/>
        <rFont val="Noto Sans CJK SC"/>
        <family val="2"/>
      </rPr>
      <t xml:space="preserve">补充</t>
    </r>
  </si>
  <si>
    <r>
      <rPr>
        <sz val="10"/>
        <color rgb="FF1F2937"/>
        <rFont val="Calibri"/>
        <family val="0"/>
        <charset val="1"/>
      </rPr>
      <t xml:space="preserve">reset CSR</t>
    </r>
    <r>
      <rPr>
        <sz val="10"/>
        <color rgb="FF1F2937"/>
        <rFont val="Noto Sans CJK SC"/>
        <family val="2"/>
      </rPr>
      <t xml:space="preserve">已按生成头接入；</t>
    </r>
    <r>
      <rPr>
        <sz val="10"/>
        <color rgb="FF1F2937"/>
        <rFont val="Calibri"/>
        <family val="0"/>
        <charset val="1"/>
      </rPr>
      <t xml:space="preserve">1 us</t>
    </r>
    <r>
      <rPr>
        <sz val="10"/>
        <color rgb="FF1F2937"/>
        <rFont val="Noto Sans CJK SC"/>
        <family val="2"/>
      </rPr>
      <t xml:space="preserve">脉宽、</t>
    </r>
    <r>
      <rPr>
        <sz val="10"/>
        <color rgb="FF1F2937"/>
        <rFont val="Calibri"/>
        <family val="0"/>
        <charset val="1"/>
      </rPr>
      <t xml:space="preserve">release</t>
    </r>
    <r>
      <rPr>
        <sz val="10"/>
        <color rgb="FF1F2937"/>
        <rFont val="Noto Sans CJK SC"/>
        <family val="2"/>
      </rPr>
      <t xml:space="preserve">判据和目标时序待确认</t>
    </r>
  </si>
  <si>
    <r>
      <rPr>
        <sz val="10"/>
        <color rgb="FF1F2937"/>
        <rFont val="Calibri"/>
        <family val="0"/>
        <charset val="1"/>
      </rPr>
      <t xml:space="preserve">reset CSR</t>
    </r>
    <r>
      <rPr>
        <sz val="10"/>
        <color rgb="FF1F2937"/>
        <rFont val="Noto Sans CJK SC"/>
        <family val="2"/>
      </rPr>
      <t xml:space="preserve">已接入；最终时序和目标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对应</t>
    </r>
    <r>
      <rPr>
        <sz val="10"/>
        <color rgb="FF1F2937"/>
        <rFont val="Calibri"/>
        <family val="0"/>
        <charset val="1"/>
      </rPr>
      <t xml:space="preserve">EHSM-PLAT-001</t>
    </r>
  </si>
  <si>
    <t xml:space="preserve">Q-007</t>
  </si>
  <si>
    <t xml:space="preserve">中断</t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</si>
  <si>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</t>
    </r>
    <r>
      <rPr>
        <sz val="10"/>
        <color rgb="FF1F2937"/>
        <rFont val="Calibri"/>
        <family val="0"/>
        <charset val="1"/>
      </rPr>
      <t xml:space="preserve">Mailbox IRQ</t>
    </r>
    <r>
      <rPr>
        <sz val="10"/>
        <color rgb="FF1F2937"/>
        <rFont val="Noto Sans CJK SC"/>
        <family val="2"/>
      </rPr>
      <t xml:space="preserve">和错误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的通道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来源、</t>
    </r>
    <r>
      <rPr>
        <sz val="10"/>
        <color rgb="FF1F2937"/>
        <rFont val="Calibri"/>
        <family val="0"/>
        <charset val="1"/>
      </rPr>
      <t xml:space="preserve">APLIC</t>
    </r>
    <r>
      <rPr>
        <sz val="10"/>
        <color rgb="FF1F2937"/>
        <rFont val="Noto Sans CJK SC"/>
        <family val="2"/>
      </rPr>
      <t xml:space="preserve">、屏蔽、清除映射及测试配置方案是什么？</t>
    </r>
  </si>
  <si>
    <r>
      <rPr>
        <sz val="10"/>
        <color rgb="FF1F2937"/>
        <rFont val="Noto Sans CJK SC"/>
        <family val="2"/>
      </rPr>
      <t xml:space="preserve">冻结</t>
    </r>
    <r>
      <rPr>
        <sz val="10"/>
        <color rgb="FF1F2937"/>
        <rFont val="Calibri"/>
        <family val="0"/>
        <charset val="1"/>
      </rPr>
      <t xml:space="preserve">SOC-IRQ-001</t>
    </r>
    <r>
      <rPr>
        <sz val="10"/>
        <color rgb="FF1F2937"/>
        <rFont val="Noto Sans CJK SC"/>
        <family val="2"/>
      </rPr>
      <t xml:space="preserve">；产品首版可继续轮询，硬件仍补充脉冲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跨时钟域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并发</t>
    </r>
  </si>
  <si>
    <r>
      <rPr>
        <sz val="10"/>
        <color rgb="FF1F2937"/>
        <rFont val="Calibri"/>
        <family val="0"/>
        <charset val="1"/>
      </rPr>
      <t xml:space="preserve">IRQ/APLIC</t>
    </r>
    <r>
      <rPr>
        <sz val="10"/>
        <color rgb="FF1F2937"/>
        <rFont val="Noto Sans CJK SC"/>
        <family val="2"/>
      </rPr>
      <t xml:space="preserve">映射仍缺；当前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统一</t>
    </r>
    <r>
      <rPr>
        <sz val="10"/>
        <color rgb="FF1F2937"/>
        <rFont val="Calibri"/>
        <family val="0"/>
        <charset val="1"/>
      </rPr>
      <t xml:space="preserve">poll</t>
    </r>
  </si>
  <si>
    <t xml:space="preserve">Q-008</t>
  </si>
  <si>
    <t xml:space="preserve">命令配置方案</t>
  </si>
  <si>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头文件独有候选</t>
    </r>
    <r>
      <rPr>
        <sz val="10"/>
        <color rgb="FF1F2937"/>
        <rFont val="Calibri"/>
        <family val="0"/>
        <charset val="1"/>
      </rPr>
      <t xml:space="preserve">18</t>
    </r>
    <r>
      <rPr>
        <sz val="10"/>
        <color rgb="FF1F2937"/>
        <rFont val="Noto Sans CJK SC"/>
        <family val="2"/>
      </rPr>
      <t xml:space="preserve">条中哪些属于</t>
    </r>
    <r>
      <rPr>
        <sz val="10"/>
        <color rgb="FF1F2937"/>
        <rFont val="Calibri"/>
        <family val="0"/>
        <charset val="1"/>
      </rPr>
      <t xml:space="preserve">NGU800P</t>
    </r>
    <r>
      <rPr>
        <sz val="10"/>
        <color rgb="FF1F2937"/>
        <rFont val="Noto Sans CJK SC"/>
        <family val="2"/>
      </rPr>
      <t xml:space="preserve">交付？</t>
    </r>
  </si>
  <si>
    <t xml:space="preserve">SCOPE_CONFIRMATION</t>
  </si>
  <si>
    <r>
      <rPr>
        <sz val="10"/>
        <color rgb="FF1F2937"/>
        <rFont val="Noto Sans CJK SC"/>
        <family val="2"/>
      </rPr>
      <t xml:space="preserve">当前不生成用例；确认后另行评审是否纳入</t>
    </r>
    <r>
      <rPr>
        <sz val="10"/>
        <color rgb="FF1F2937"/>
        <rFont val="Calibri"/>
        <family val="0"/>
        <charset val="1"/>
      </rPr>
      <t xml:space="preserve">BASIC</t>
    </r>
  </si>
  <si>
    <r>
      <rPr>
        <sz val="10"/>
        <color rgb="FF1F2937"/>
        <rFont val="Noto Sans CJK SC"/>
        <family val="2"/>
      </rPr>
      <t xml:space="preserve">当前范围明确不移植</t>
    </r>
    <r>
      <rPr>
        <sz val="10"/>
        <color rgb="FF1F2937"/>
        <rFont val="Calibri"/>
        <family val="0"/>
        <charset val="1"/>
      </rPr>
      <t xml:space="preserve">Host-only 18</t>
    </r>
    <r>
      <rPr>
        <sz val="10"/>
        <color rgb="FF1F2937"/>
        <rFont val="Noto Sans CJK SC"/>
        <family val="2"/>
      </rPr>
      <t xml:space="preserve">条候选</t>
    </r>
  </si>
  <si>
    <t xml:space="preserve">OUT_OF_SCOPE_CURRENT</t>
  </si>
  <si>
    <r>
      <rPr>
        <sz val="10"/>
        <color rgb="FF1F2937"/>
        <rFont val="Calibri"/>
        <family val="0"/>
        <charset val="1"/>
      </rPr>
      <t xml:space="preserve">18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Host-only candidate</t>
    </r>
    <r>
      <rPr>
        <sz val="10"/>
        <color rgb="FF1F2937"/>
        <rFont val="Noto Sans CJK SC"/>
        <family val="2"/>
      </rPr>
      <t xml:space="preserve">当前不生成</t>
    </r>
    <r>
      <rPr>
        <sz val="10"/>
        <color rgb="FF1F2937"/>
        <rFont val="Calibri"/>
        <family val="0"/>
        <charset val="1"/>
      </rPr>
      <t xml:space="preserve">BASIC</t>
    </r>
  </si>
  <si>
    <t xml:space="preserve">Q-009</t>
  </si>
  <si>
    <t xml:space="preserve">验证责任</t>
  </si>
  <si>
    <r>
      <rPr>
        <sz val="10"/>
        <color rgb="FF1F2937"/>
        <rFont val="Calibri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项软件功能用例对应的硬件补充验证</t>
    </r>
    <r>
      <rPr>
        <sz val="10"/>
        <color rgb="FF1F2937"/>
        <rFont val="Calibri"/>
        <family val="0"/>
        <charset val="1"/>
      </rPr>
      <t xml:space="preserve">Owner</t>
    </r>
    <r>
      <rPr>
        <sz val="10"/>
        <color rgb="FF1F2937"/>
        <rFont val="Noto Sans CJK SC"/>
        <family val="2"/>
      </rPr>
      <t xml:space="preserve">、环境、回归入口和验证证据存储位置是什么？</t>
    </r>
  </si>
  <si>
    <t xml:space="preserve">GOVERNANCE_INPUT</t>
  </si>
  <si>
    <r>
      <rPr>
        <sz val="10"/>
        <color rgb="FF1F2937"/>
        <rFont val="Noto Sans CJK SC"/>
        <family val="2"/>
      </rPr>
      <t xml:space="preserve">软件验证证据与</t>
    </r>
    <r>
      <rPr>
        <sz val="10"/>
        <color rgb="FF1F2937"/>
        <rFont val="Calibri"/>
        <family val="0"/>
        <charset val="1"/>
      </rPr>
      <t xml:space="preserve">RTL/DV</t>
    </r>
    <r>
      <rPr>
        <sz val="10"/>
        <color rgb="FF1F2937"/>
        <rFont val="Noto Sans CJK SC"/>
        <family val="2"/>
      </rPr>
      <t xml:space="preserve">补充验证证据分别登记并关联</t>
    </r>
  </si>
  <si>
    <r>
      <rPr>
        <sz val="10"/>
        <color rgb="FF1F2937"/>
        <rFont val="Calibri"/>
        <family val="0"/>
        <charset val="1"/>
      </rPr>
      <t xml:space="preserve">RTL/DV Owner</t>
    </r>
    <r>
      <rPr>
        <sz val="10"/>
        <color rgb="FF1F2937"/>
        <rFont val="Noto Sans CJK SC"/>
        <family val="2"/>
      </rPr>
      <t xml:space="preserve">、回归入口和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位置仍缺</t>
    </r>
  </si>
  <si>
    <t xml:space="preserve">Q-010</t>
  </si>
  <si>
    <r>
      <rPr>
        <sz val="10"/>
        <color rgb="FF1F2937"/>
        <rFont val="Noto Sans CJK SC"/>
        <family val="2"/>
      </rPr>
      <t xml:space="preserve">验签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升级通过判据</t>
    </r>
  </si>
  <si>
    <r>
      <rPr>
        <sz val="10"/>
        <color rgb="FF1F2937"/>
        <rFont val="Calibri"/>
        <family val="0"/>
        <charset val="1"/>
      </rPr>
      <t xml:space="preserve">BL_VERIFY_IMAGE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SOC_VERIFY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BL/FW_UPGRADE</t>
    </r>
    <r>
      <rPr>
        <sz val="10"/>
        <color rgb="FF1F2937"/>
        <rFont val="Noto Sans CJK SC"/>
        <family val="2"/>
      </rPr>
      <t xml:space="preserve">各类错误签名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摘要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计数器的批准原始错误码和无副作用检查项是什么？</t>
    </r>
  </si>
  <si>
    <t xml:space="preserve">EHSM_NEGATIVE_INPUT</t>
  </si>
  <si>
    <r>
      <rPr>
        <sz val="10"/>
        <color rgb="FF1F2937"/>
        <rFont val="Calibri"/>
        <family val="0"/>
        <charset val="1"/>
      </rPr>
      <t xml:space="preserve">Vendor TRM/</t>
    </r>
    <r>
      <rPr>
        <sz val="10"/>
        <color rgb="FF1F2937"/>
        <rFont val="Noto Sans CJK SC"/>
        <family val="2"/>
      </rPr>
      <t xml:space="preserve">实际基线冻结原始码、闪存（</t>
    </r>
    <r>
      <rPr>
        <sz val="10"/>
        <color rgb="FF1F2937"/>
        <rFont val="Calibri"/>
        <family val="0"/>
        <charset val="1"/>
      </rPr>
      <t xml:space="preserve">Flash</t>
    </r>
    <r>
      <rPr>
        <sz val="10"/>
        <color rgb="FF1F2937"/>
        <rFont val="Noto Sans CJK SC"/>
        <family val="2"/>
      </rPr>
      <t xml:space="preserve">）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计数器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解除隔离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放行判据</t>
    </r>
  </si>
  <si>
    <r>
      <rPr>
        <sz val="10"/>
        <color rgb="FF1F2937"/>
        <rFont val="Noto Sans CJK SC"/>
        <family val="2"/>
      </rPr>
      <t xml:space="preserve">负向验签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升级原始错误码和无副作用合同仍缺</t>
    </r>
  </si>
  <si>
    <t xml:space="preserve">Q-011</t>
  </si>
  <si>
    <r>
      <rPr>
        <sz val="10"/>
        <color rgb="FF1F2937"/>
        <rFont val="Calibri"/>
        <family val="0"/>
        <charset val="1"/>
      </rPr>
      <t xml:space="preserve">AEAD</t>
    </r>
    <r>
      <rPr>
        <sz val="10"/>
        <color rgb="FF1F2937"/>
        <rFont val="Noto Sans CJK SC"/>
        <family val="2"/>
      </rPr>
      <t xml:space="preserve">失败输出</t>
    </r>
  </si>
  <si>
    <r>
      <rPr>
        <sz val="10"/>
        <color rgb="FF1F2937"/>
        <rFont val="Noto Sans CJK SC"/>
        <family val="2"/>
      </rPr>
      <t xml:space="preserve">认证标签验证失败时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是否保证输出缓冲区不写入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清零，还是仅以</t>
    </r>
    <r>
      <rPr>
        <sz val="10"/>
        <color rgb="FF1F2937"/>
        <rFont val="Calibri"/>
        <family val="0"/>
        <charset val="1"/>
      </rPr>
      <t xml:space="preserve">verify_result=false</t>
    </r>
    <r>
      <rPr>
        <sz val="10"/>
        <color rgb="FF1F2937"/>
        <rFont val="Noto Sans CJK SC"/>
        <family val="2"/>
      </rPr>
      <t xml:space="preserve">禁止上层使用？</t>
    </r>
  </si>
  <si>
    <r>
      <rPr>
        <sz val="10"/>
        <color rgb="FF1F2937"/>
        <rFont val="Noto Sans CJK SC"/>
        <family val="2"/>
      </rPr>
      <t xml:space="preserve">冻结明文发布与缓冲区判据；未冻结前该子判据</t>
    </r>
    <r>
      <rPr>
        <sz val="10"/>
        <color rgb="FF1F2937"/>
        <rFont val="Calibri"/>
        <family val="0"/>
        <charset val="1"/>
      </rPr>
      <t xml:space="preserve">INCONCLUSIVE</t>
    </r>
  </si>
  <si>
    <r>
      <rPr>
        <sz val="10"/>
        <color rgb="FF1F2937"/>
        <rFont val="Calibri"/>
        <family val="0"/>
        <charset val="1"/>
      </rPr>
      <t xml:space="preserve">AEAD</t>
    </r>
    <r>
      <rPr>
        <sz val="10"/>
        <color rgb="FF1F2937"/>
        <rFont val="Noto Sans CJK SC"/>
        <family val="2"/>
      </rPr>
      <t xml:space="preserve">失败输出发布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清零合同仍缺</t>
    </r>
  </si>
  <si>
    <t xml:space="preserve">Q-012</t>
  </si>
  <si>
    <t xml:space="preserve">密钥策略</t>
  </si>
  <si>
    <r>
      <rPr>
        <sz val="10"/>
        <color rgb="FF1F2937"/>
        <rFont val="Noto Sans CJK SC"/>
        <family val="2"/>
      </rPr>
      <t xml:space="preserve">可导出属性、用途权限、</t>
    </r>
    <r>
      <rPr>
        <sz val="10"/>
        <color rgb="FF1F2937"/>
        <rFont val="Calibri"/>
        <family val="0"/>
        <charset val="1"/>
      </rPr>
      <t xml:space="preserve">Owner</t>
    </r>
    <r>
      <rPr>
        <sz val="10"/>
        <color rgb="FF1F2937"/>
        <rFont val="Noto Sans CJK SC"/>
        <family val="2"/>
      </rPr>
      <t xml:space="preserve">、无效句柄及密钥对象查询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清理合同是什么？</t>
    </r>
  </si>
  <si>
    <r>
      <rPr>
        <sz val="10"/>
        <color rgb="FF1F2937"/>
        <rFont val="Noto Sans CJK SC"/>
        <family val="2"/>
      </rPr>
      <t xml:space="preserve">冻结</t>
    </r>
    <r>
      <rPr>
        <sz val="10"/>
        <color rgb="FF1F2937"/>
        <rFont val="Calibri"/>
        <family val="0"/>
        <charset val="1"/>
      </rPr>
      <t xml:space="preserve">EHSM-NEG-KEY</t>
    </r>
    <r>
      <rPr>
        <sz val="10"/>
        <color rgb="FF1F2937"/>
        <rFont val="Noto Sans CJK SC"/>
        <family val="2"/>
      </rPr>
      <t xml:space="preserve">用例的专用测试环境与资源和预期结果</t>
    </r>
  </si>
  <si>
    <r>
      <rPr>
        <sz val="10"/>
        <color rgb="FF1F2937"/>
        <rFont val="Calibri"/>
        <family val="0"/>
        <charset val="1"/>
      </rPr>
      <t xml:space="preserve">SRC-0024</t>
    </r>
    <r>
      <rPr>
        <sz val="10"/>
        <color rgb="FF1F2937"/>
        <rFont val="Noto Sans CJK SC"/>
        <family val="2"/>
      </rPr>
      <t xml:space="preserve">对象分布已明确；</t>
    </r>
    <r>
      <rPr>
        <sz val="10"/>
        <color rgb="FF1F2937"/>
        <rFont val="Calibri"/>
        <family val="0"/>
        <charset val="1"/>
      </rPr>
      <t xml:space="preserve">Key map</t>
    </r>
    <r>
      <rPr>
        <sz val="10"/>
        <color rgb="FF1F2937"/>
        <rFont val="Noto Sans CJK SC"/>
        <family val="2"/>
      </rPr>
      <t xml:space="preserve">同步、属性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权限和清理合同仍对应</t>
    </r>
    <r>
      <rPr>
        <sz val="10"/>
        <color rgb="FF1F2937"/>
        <rFont val="Calibri"/>
        <family val="0"/>
        <charset val="1"/>
      </rPr>
      <t xml:space="preserve">EHSM-OTP-003</t>
    </r>
  </si>
  <si>
    <t xml:space="preserve">Q-013</t>
  </si>
  <si>
    <t xml:space="preserve">OTP/LCS</t>
  </si>
  <si>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对象范围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保护属性以及</t>
    </r>
    <r>
      <rPr>
        <sz val="10"/>
        <color rgb="FF1F2937"/>
        <rFont val="Calibri"/>
        <family val="0"/>
        <charset val="1"/>
      </rPr>
      <t xml:space="preserve">Lifecycle/Control</t>
    </r>
    <r>
      <rPr>
        <sz val="10"/>
        <color rgb="FF1F2937"/>
        <rFont val="Noto Sans CJK SC"/>
        <family val="2"/>
      </rPr>
      <t xml:space="preserve">允许转换矩阵是什么？</t>
    </r>
  </si>
  <si>
    <t xml:space="preserve">冻结专用测试环境与资源、读取方法和不可逆资源处置</t>
  </si>
  <si>
    <r>
      <rPr>
        <sz val="10"/>
        <color rgb="FF1F2937"/>
        <rFont val="Calibri"/>
        <family val="0"/>
        <charset val="1"/>
      </rPr>
      <t xml:space="preserve">OTP Table 34</t>
    </r>
    <r>
      <rPr>
        <sz val="10"/>
        <color rgb="FF1F2937"/>
        <rFont val="Noto Sans CJK SC"/>
        <family val="2"/>
      </rPr>
      <t xml:space="preserve">及</t>
    </r>
    <r>
      <rPr>
        <sz val="10"/>
        <color rgb="FF1F2937"/>
        <rFont val="Calibri"/>
        <family val="0"/>
        <charset val="1"/>
      </rPr>
      <t xml:space="preserve">SRC-0024 16-slot</t>
    </r>
    <r>
      <rPr>
        <sz val="10"/>
        <color rgb="FF1F2937"/>
        <rFont val="Noto Sans CJK SC"/>
        <family val="2"/>
      </rPr>
      <t xml:space="preserve">为唯一基线；其余关闭材料见</t>
    </r>
    <r>
      <rPr>
        <sz val="10"/>
        <color rgb="FF1F2937"/>
        <rFont val="Calibri"/>
        <family val="0"/>
        <charset val="1"/>
      </rPr>
      <t xml:space="preserve">OpenSpec</t>
    </r>
    <r>
      <rPr>
        <sz val="10"/>
        <color rgb="FF1F2937"/>
        <rFont val="Noto Sans CJK SC"/>
        <family val="2"/>
      </rPr>
      <t xml:space="preserve">遗留项</t>
    </r>
  </si>
  <si>
    <r>
      <rPr>
        <sz val="10"/>
        <color rgb="FF1F2937"/>
        <rFont val="Calibri"/>
        <family val="0"/>
        <charset val="1"/>
      </rPr>
      <t xml:space="preserve">Table 34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16-slot</t>
    </r>
    <r>
      <rPr>
        <sz val="10"/>
        <color rgb="FF1F2937"/>
        <rFont val="Noto Sans CJK SC"/>
        <family val="2"/>
      </rPr>
      <t xml:space="preserve">分布已明确；</t>
    </r>
    <r>
      <rPr>
        <sz val="10"/>
        <color rgb="FF1F2937"/>
        <rFont val="Calibri"/>
        <family val="0"/>
        <charset val="1"/>
      </rPr>
      <t xml:space="preserve">fixture/backend</t>
    </r>
    <r>
      <rPr>
        <sz val="10"/>
        <color rgb="FF1F2937"/>
        <rFont val="Noto Sans CJK SC"/>
        <family val="2"/>
      </rPr>
      <t xml:space="preserve">、属性编码、</t>
    </r>
    <r>
      <rPr>
        <sz val="10"/>
        <color rgb="FF1F2937"/>
        <rFont val="Calibri"/>
        <family val="0"/>
        <charset val="1"/>
      </rPr>
      <t xml:space="preserve">LCS</t>
    </r>
    <r>
      <rPr>
        <sz val="10"/>
        <color rgb="FF1F2937"/>
        <rFont val="Noto Sans CJK SC"/>
        <family val="2"/>
      </rPr>
      <t xml:space="preserve">矩阵仍对应</t>
    </r>
    <r>
      <rPr>
        <sz val="10"/>
        <color rgb="FF1F2937"/>
        <rFont val="Calibri"/>
        <family val="0"/>
        <charset val="1"/>
      </rPr>
      <t xml:space="preserve">EHSM-OTP-001/003/005</t>
    </r>
    <r>
      <rPr>
        <sz val="10"/>
        <color rgb="FF1F2937"/>
        <rFont val="Noto Sans CJK SC"/>
        <family val="2"/>
      </rPr>
      <t xml:space="preserve">及</t>
    </r>
    <r>
      <rPr>
        <sz val="10"/>
        <color rgb="FF1F2937"/>
        <rFont val="Calibri"/>
        <family val="0"/>
        <charset val="1"/>
      </rPr>
      <t xml:space="preserve">EHSM-RECOVERY-001</t>
    </r>
  </si>
  <si>
    <t xml:space="preserve">Q-014</t>
  </si>
  <si>
    <t xml:space="preserve">原始请求构造</t>
  </si>
  <si>
    <r>
      <rPr>
        <sz val="10"/>
        <color rgb="FF1F2937"/>
        <rFont val="Calibri"/>
        <family val="0"/>
        <charset val="1"/>
      </rPr>
      <t xml:space="preserve">baremetal</t>
    </r>
    <r>
      <rPr>
        <sz val="10"/>
        <color rgb="FF1F2937"/>
        <rFont val="Noto Sans CJK SC"/>
        <family val="2"/>
      </rPr>
      <t xml:space="preserve">中可复用哪一层按现有</t>
    </r>
    <r>
      <rPr>
        <sz val="10"/>
        <color rgb="FF1F2937"/>
        <rFont val="Calibri"/>
        <family val="0"/>
        <charset val="1"/>
      </rPr>
      <t xml:space="preserve">Mailbox ABI</t>
    </r>
    <r>
      <rPr>
        <sz val="10"/>
        <color rgb="FF1F2937"/>
        <rFont val="Noto Sans CJK SC"/>
        <family val="2"/>
      </rPr>
      <t xml:space="preserve">提交未支持</t>
    </r>
    <r>
      <rPr>
        <sz val="10"/>
        <color rgb="FF1F2937"/>
        <rFont val="Calibri"/>
        <family val="0"/>
        <charset val="1"/>
      </rPr>
      <t xml:space="preserve">command/</t>
    </r>
    <r>
      <rPr>
        <sz val="10"/>
        <color rgb="FF1F2937"/>
        <rFont val="Noto Sans CJK SC"/>
        <family val="2"/>
      </rPr>
      <t xml:space="preserve">保留枚举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非法长度，同时证明请求已到达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？</t>
    </r>
  </si>
  <si>
    <r>
      <rPr>
        <sz val="10"/>
        <color rgb="FF1F2937"/>
        <rFont val="Noto Sans CJK SC"/>
        <family val="2"/>
      </rPr>
      <t xml:space="preserve">仅建立隔离测试组包层；不得修改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固件或产品</t>
    </r>
    <r>
      <rPr>
        <sz val="10"/>
        <color rgb="FF1F2937"/>
        <rFont val="Calibri"/>
        <family val="0"/>
        <charset val="1"/>
      </rPr>
      <t xml:space="preserve">Adapter</t>
    </r>
  </si>
  <si>
    <r>
      <rPr>
        <sz val="10"/>
        <color rgb="FF1F2937"/>
        <rFont val="Noto Sans CJK SC"/>
        <family val="2"/>
      </rPr>
      <t xml:space="preserve">负向原始请求组包层尚未实现，仍不得修改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</t>
    </r>
  </si>
  <si>
    <t xml:space="preserve">测试用例工作簿术语中文说明</t>
  </si>
  <si>
    <r>
      <rPr>
        <b val="true"/>
        <sz val="11"/>
        <color rgb="FF1F2937"/>
        <rFont val="Noto Sans CJK SC"/>
        <family val="2"/>
      </rPr>
      <t xml:space="preserve">说明性文字已中文化；命令名、寄存器名、用例</t>
    </r>
    <r>
      <rPr>
        <b val="true"/>
        <sz val="11"/>
        <color rgb="FF1F2937"/>
        <rFont val="Calibri"/>
        <family val="0"/>
        <charset val="1"/>
      </rPr>
      <t xml:space="preserve">ID</t>
    </r>
    <r>
      <rPr>
        <b val="true"/>
        <sz val="11"/>
        <color rgb="FF1F2937"/>
        <rFont val="Noto Sans CJK SC"/>
        <family val="2"/>
      </rPr>
      <t xml:space="preserve">、错误码、状态码和门禁码为代码匹配标识，保留原文。</t>
    </r>
  </si>
  <si>
    <r>
      <rPr>
        <b val="true"/>
        <sz val="11"/>
        <color rgb="FFFFFFFF"/>
        <rFont val="Noto Sans CJK SC"/>
        <family val="2"/>
      </rPr>
      <t xml:space="preserve">英文术语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缩写</t>
    </r>
  </si>
  <si>
    <t xml:space="preserve">中文解释</t>
  </si>
  <si>
    <t xml:space="preserve">在本工作簿中的含义</t>
  </si>
  <si>
    <t xml:space="preserve">示例或使用要求</t>
  </si>
  <si>
    <t xml:space="preserve">基本功能用例</t>
  </si>
  <si>
    <r>
      <rPr>
        <sz val="10"/>
        <color rgb="FF1F2937"/>
        <rFont val="Noto Sans CJK SC"/>
        <family val="2"/>
      </rPr>
      <t xml:space="preserve">使用合法输入验证命令正常功能、返回码和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闭环。</t>
    </r>
  </si>
  <si>
    <r>
      <rPr>
        <sz val="10"/>
        <color rgb="FF1F2937"/>
        <rFont val="Noto Sans CJK SC"/>
        <family val="2"/>
      </rPr>
      <t xml:space="preserve">保留</t>
    </r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作为用例类型标识。</t>
    </r>
  </si>
  <si>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负向用例</t>
    </r>
  </si>
  <si>
    <r>
      <rPr>
        <sz val="10"/>
        <color rgb="FF1F2937"/>
        <rFont val="Noto Sans CJK SC"/>
        <family val="2"/>
      </rPr>
      <t xml:space="preserve">请求真实到达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，验证错误输入被拒绝且无禁止副作用。</t>
    </r>
  </si>
  <si>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本地拒绝不能算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通过。</t>
    </r>
  </si>
  <si>
    <t xml:space="preserve">oracle</t>
  </si>
  <si>
    <t xml:space="preserve">通过判据</t>
  </si>
  <si>
    <t xml:space="preserve">用于判断用例通过或失败的权威预期。</t>
  </si>
  <si>
    <t xml:space="preserve">原始返回符合定义且状态无副作用。</t>
  </si>
  <si>
    <t xml:space="preserve">fixture</t>
  </si>
  <si>
    <t xml:space="preserve">专用测试环境与资源</t>
  </si>
  <si>
    <r>
      <rPr>
        <sz val="10"/>
        <color rgb="FF1F2937"/>
        <rFont val="Noto Sans CJK SC"/>
        <family val="2"/>
      </rPr>
      <t xml:space="preserve">经确认可以安全使用的测试芯片、密钥、镜像、</t>
    </r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区或</t>
    </r>
    <r>
      <rPr>
        <sz val="10"/>
        <color rgb="FF1F2937"/>
        <rFont val="Calibri"/>
        <family val="0"/>
        <charset val="1"/>
      </rPr>
      <t xml:space="preserve">Flash</t>
    </r>
    <r>
      <rPr>
        <sz val="10"/>
        <color rgb="FF1F2937"/>
        <rFont val="Noto Sans CJK SC"/>
        <family val="2"/>
      </rPr>
      <t xml:space="preserve">区域。</t>
    </r>
  </si>
  <si>
    <t xml:space="preserve">不可逆测试没有该资源时结果为无法判定。</t>
  </si>
  <si>
    <t xml:space="preserve">approved fixture</t>
  </si>
  <si>
    <t xml:space="preserve">经确认可用的专用测试环境</t>
  </si>
  <si>
    <t xml:space="preserve">确认不会破坏量产数据，副作用可接受，并有恢复或报废方案。</t>
  </si>
  <si>
    <r>
      <rPr>
        <sz val="10"/>
        <color rgb="FF1F2937"/>
        <rFont val="Noto Sans CJK SC"/>
        <family val="2"/>
      </rPr>
      <t xml:space="preserve">专用</t>
    </r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测试芯片和已批准可消耗的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。</t>
    </r>
  </si>
  <si>
    <t xml:space="preserve">vector</t>
  </si>
  <si>
    <t xml:space="preserve">参数化测试输入</t>
  </si>
  <si>
    <t xml:space="preserve">同一用例下不同算法、长度、错误值或通道的输入组合。</t>
  </si>
  <si>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个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通道作为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组参数化输入。</t>
    </r>
  </si>
  <si>
    <t xml:space="preserve">stage</t>
  </si>
  <si>
    <t xml:space="preserve">处理阶段</t>
  </si>
  <si>
    <t xml:space="preserve">请求在解析、认证、验签、写入或提交等流程中的位置。</t>
  </si>
  <si>
    <t xml:space="preserve">失败阶段不同且副作用不同，需要拆成独立用例。</t>
  </si>
  <si>
    <t xml:space="preserve">baseline</t>
  </si>
  <si>
    <t xml:space="preserve">测试基线</t>
  </si>
  <si>
    <r>
      <rPr>
        <sz val="10"/>
        <color rgb="FF1F2937"/>
        <rFont val="Noto Sans CJK SC"/>
        <family val="2"/>
      </rPr>
      <t xml:space="preserve">执行前冻结的软件、</t>
    </r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版本和初始状态。</t>
    </r>
  </si>
  <si>
    <t xml:space="preserve">记录分支、提交号、固件版本和寄存器初值。</t>
  </si>
  <si>
    <t xml:space="preserve">raw response/raw status</t>
  </si>
  <si>
    <r>
      <rPr>
        <sz val="10"/>
        <color rgb="FF1F2937"/>
        <rFont val="Noto Sans CJK SC"/>
        <family val="2"/>
      </rPr>
      <t xml:space="preserve">原始响应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原始状态</t>
    </r>
  </si>
  <si>
    <r>
      <rPr>
        <sz val="10"/>
        <color rgb="FF1F2937"/>
        <rFont val="Noto Sans CJK SC"/>
        <family val="2"/>
      </rPr>
      <t xml:space="preserve">未经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二次映射的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直接返回值。</t>
    </r>
  </si>
  <si>
    <t xml:space="preserve">日志必须同时保存原始值和转换后的结果。</t>
  </si>
  <si>
    <t xml:space="preserve">recovery</t>
  </si>
  <si>
    <t xml:space="preserve">清理恢复方式</t>
  </si>
  <si>
    <r>
      <rPr>
        <sz val="10"/>
        <color rgb="FF1F2937"/>
        <rFont val="Noto Sans CJK SC"/>
        <family val="2"/>
      </rPr>
      <t xml:space="preserve">用例结束后恢复设备、对象、</t>
    </r>
    <r>
      <rPr>
        <sz val="10"/>
        <color rgb="FF1F2937"/>
        <rFont val="Calibri"/>
        <family val="0"/>
        <charset val="1"/>
      </rPr>
      <t xml:space="preserve">Flash</t>
    </r>
    <r>
      <rPr>
        <sz val="10"/>
        <color rgb="FF1F2937"/>
        <rFont val="Noto Sans CJK SC"/>
        <family val="2"/>
      </rPr>
      <t xml:space="preserve">、计数器或服务的方法。</t>
    </r>
  </si>
  <si>
    <r>
      <rPr>
        <sz val="10"/>
        <color rgb="FF1F2937"/>
        <rFont val="Noto Sans CJK SC"/>
        <family val="2"/>
      </rPr>
      <t xml:space="preserve">清理密钥对象、恢复</t>
    </r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或复位测试实例。</t>
    </r>
  </si>
  <si>
    <t xml:space="preserve">sentinel</t>
  </si>
  <si>
    <t xml:space="preserve">预置检查值</t>
  </si>
  <si>
    <t xml:space="preserve">预先写入缓冲区或相邻通道、用于检查是否被意外修改的固定值。</t>
  </si>
  <si>
    <t xml:space="preserve">非目标通道的预置检查值必须保持不变。</t>
  </si>
  <si>
    <t xml:space="preserve">golden</t>
  </si>
  <si>
    <t xml:space="preserve">已验证正确的基准样本</t>
  </si>
  <si>
    <t xml:space="preserve">已经确认能够通过的签名、镜像、密钥或输入。</t>
  </si>
  <si>
    <r>
      <rPr>
        <sz val="10"/>
        <color rgb="FF1F2937"/>
        <rFont val="Noto Sans CJK SC"/>
        <family val="2"/>
      </rPr>
      <t xml:space="preserve">先通过基准样本，再只翻转签名一个</t>
    </r>
    <r>
      <rPr>
        <sz val="10"/>
        <color rgb="FF1F2937"/>
        <rFont val="Calibri"/>
        <family val="0"/>
        <charset val="1"/>
      </rPr>
      <t xml:space="preserve">bit</t>
    </r>
    <r>
      <rPr>
        <sz val="10"/>
        <color rgb="FF1F2937"/>
        <rFont val="Noto Sans CJK SC"/>
        <family val="2"/>
      </rPr>
      <t xml:space="preserve">。</t>
    </r>
  </si>
  <si>
    <t xml:space="preserve">Host</t>
  </si>
  <si>
    <t xml:space="preserve">主机侧软件</t>
  </si>
  <si>
    <r>
      <rPr>
        <sz val="10"/>
        <color rgb="FF1F2937"/>
        <rFont val="Noto Sans CJK SC"/>
        <family val="2"/>
      </rPr>
      <t xml:space="preserve">负责构造请求、提交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事务和采集结果的软件端。</t>
    </r>
  </si>
  <si>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本地参数检查不等于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拒绝。</t>
    </r>
  </si>
  <si>
    <t xml:space="preserve">Mailbox</t>
  </si>
  <si>
    <t xml:space="preserve">邮箱通信接口</t>
  </si>
  <si>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与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之间传递命令、地址、通知和响应的硬件接口。</t>
    </r>
  </si>
  <si>
    <r>
      <rPr>
        <sz val="10"/>
        <color rgb="FF1F2937"/>
        <rFont val="Calibri"/>
        <family val="0"/>
        <charset val="1"/>
      </rPr>
      <t xml:space="preserve">INFO</t>
    </r>
    <r>
      <rPr>
        <sz val="10"/>
        <color rgb="FF1F2937"/>
        <rFont val="Noto Sans CJK SC"/>
        <family val="2"/>
      </rPr>
      <t xml:space="preserve">保存信息，</t>
    </r>
    <r>
      <rPr>
        <sz val="10"/>
        <color rgb="FF1F2937"/>
        <rFont val="Calibri"/>
        <family val="0"/>
        <charset val="1"/>
      </rPr>
      <t xml:space="preserve">NOTE</t>
    </r>
    <r>
      <rPr>
        <sz val="10"/>
        <color rgb="FF1F2937"/>
        <rFont val="Noto Sans CJK SC"/>
        <family val="2"/>
      </rPr>
      <t xml:space="preserve">用于通知。</t>
    </r>
  </si>
  <si>
    <t xml:space="preserve">INFO/NOTE</t>
  </si>
  <si>
    <r>
      <rPr>
        <sz val="10"/>
        <color rgb="FF1F2937"/>
        <rFont val="Noto Sans CJK SC"/>
        <family val="2"/>
      </rPr>
      <t xml:space="preserve">信息寄存器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通知寄存器</t>
    </r>
  </si>
  <si>
    <r>
      <rPr>
        <sz val="10"/>
        <color rgb="FF1F2937"/>
        <rFont val="Calibri"/>
        <family val="0"/>
        <charset val="1"/>
      </rPr>
      <t xml:space="preserve">INFO</t>
    </r>
    <r>
      <rPr>
        <sz val="10"/>
        <color rgb="FF1F2937"/>
        <rFont val="Noto Sans CJK SC"/>
        <family val="2"/>
      </rPr>
      <t xml:space="preserve">承载请求或响应信息；</t>
    </r>
    <r>
      <rPr>
        <sz val="10"/>
        <color rgb="FF1F2937"/>
        <rFont val="Calibri"/>
        <family val="0"/>
        <charset val="1"/>
      </rPr>
      <t xml:space="preserve">NOTE</t>
    </r>
    <r>
      <rPr>
        <sz val="10"/>
        <color rgb="FF1F2937"/>
        <rFont val="Noto Sans CJK SC"/>
        <family val="2"/>
      </rPr>
      <t xml:space="preserve">发布新请求或新响应。</t>
    </r>
  </si>
  <si>
    <r>
      <rPr>
        <sz val="10"/>
        <color rgb="FF1F2937"/>
        <rFont val="Noto Sans CJK SC"/>
        <family val="2"/>
      </rPr>
      <t xml:space="preserve">数据必须先准备，再通过</t>
    </r>
    <r>
      <rPr>
        <sz val="10"/>
        <color rgb="FF1F2937"/>
        <rFont val="Calibri"/>
        <family val="0"/>
        <charset val="1"/>
      </rPr>
      <t xml:space="preserve">NOTE</t>
    </r>
    <r>
      <rPr>
        <sz val="10"/>
        <color rgb="FF1F2937"/>
        <rFont val="Noto Sans CJK SC"/>
        <family val="2"/>
      </rPr>
      <t xml:space="preserve">通知。</t>
    </r>
  </si>
  <si>
    <t xml:space="preserve">MMIO</t>
  </si>
  <si>
    <t xml:space="preserve">内存映射寄存器访问</t>
  </si>
  <si>
    <t xml:space="preserve">软件通过普通地址读写硬件寄存器。</t>
  </si>
  <si>
    <r>
      <rPr>
        <sz val="10"/>
        <color rgb="FF1F2937"/>
        <rFont val="Noto Sans CJK SC"/>
        <family val="2"/>
      </rPr>
      <t xml:space="preserve">读取</t>
    </r>
    <r>
      <rPr>
        <sz val="10"/>
        <color rgb="FF1F2937"/>
        <rFont val="Calibri"/>
        <family val="0"/>
        <charset val="1"/>
      </rPr>
      <t xml:space="preserve">HSM</t>
    </r>
    <r>
      <rPr>
        <sz val="10"/>
        <color rgb="FF1F2937"/>
        <rFont val="Noto Sans CJK SC"/>
        <family val="2"/>
      </rPr>
      <t xml:space="preserve">状态寄存器或配置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。</t>
    </r>
  </si>
  <si>
    <t xml:space="preserve">中断请求</t>
  </si>
  <si>
    <r>
      <rPr>
        <sz val="10"/>
        <color rgb="FF1F2937"/>
        <rFont val="Noto Sans CJK SC"/>
        <family val="2"/>
      </rPr>
      <t xml:space="preserve">硬件向处理器报告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响应或错误事件的信号。</t>
    </r>
  </si>
  <si>
    <t xml:space="preserve">检查中断来源、屏蔽、清除和再次触发。</t>
  </si>
  <si>
    <t xml:space="preserve">APLIC</t>
  </si>
  <si>
    <t xml:space="preserve">高级平台级中断控制器</t>
  </si>
  <si>
    <r>
      <rPr>
        <sz val="10"/>
        <color rgb="FF1F2937"/>
        <rFont val="Calibri"/>
        <family val="0"/>
        <charset val="1"/>
      </rPr>
      <t xml:space="preserve">RISC-V</t>
    </r>
    <r>
      <rPr>
        <sz val="10"/>
        <color rgb="FF1F2937"/>
        <rFont val="Noto Sans CJK SC"/>
        <family val="2"/>
      </rPr>
      <t xml:space="preserve">平台中配置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来源、目标和使能的中断控制模块。</t>
    </r>
  </si>
  <si>
    <r>
      <rPr>
        <sz val="10"/>
        <color rgb="FF1F2937"/>
        <rFont val="Noto Sans CJK SC"/>
        <family val="2"/>
      </rPr>
      <t xml:space="preserve">为</t>
    </r>
    <r>
      <rPr>
        <sz val="10"/>
        <color rgb="FF1F2937"/>
        <rFont val="Calibri"/>
        <family val="0"/>
        <charset val="1"/>
      </rPr>
      <t xml:space="preserve">16</t>
    </r>
    <r>
      <rPr>
        <sz val="10"/>
        <color rgb="FF1F2937"/>
        <rFont val="Noto Sans CJK SC"/>
        <family val="2"/>
      </rPr>
      <t xml:space="preserve">路</t>
    </r>
    <r>
      <rPr>
        <sz val="10"/>
        <color rgb="FF1F2937"/>
        <rFont val="Calibri"/>
        <family val="0"/>
        <charset val="1"/>
      </rPr>
      <t xml:space="preserve">Mailbox IRQ</t>
    </r>
    <r>
      <rPr>
        <sz val="10"/>
        <color rgb="FF1F2937"/>
        <rFont val="Noto Sans CJK SC"/>
        <family val="2"/>
      </rPr>
      <t xml:space="preserve">注册目标和中断处理函数。</t>
    </r>
  </si>
  <si>
    <t xml:space="preserve">handler</t>
  </si>
  <si>
    <t xml:space="preserve">中断处理函数</t>
  </si>
  <si>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到达时由处理器执行的处理函数。</t>
    </r>
  </si>
  <si>
    <t xml:space="preserve">记录来源和次数，再按合同清除。</t>
  </si>
  <si>
    <t xml:space="preserve">mask/clear</t>
  </si>
  <si>
    <r>
      <rPr>
        <sz val="10"/>
        <color rgb="FF1F2937"/>
        <rFont val="Noto Sans CJK SC"/>
        <family val="2"/>
      </rPr>
      <t xml:space="preserve">屏蔽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清除</t>
    </r>
  </si>
  <si>
    <t xml:space="preserve">屏蔽决定是否进入中断处理函数；清除用于确认并结束当前事件。</t>
  </si>
  <si>
    <t xml:space="preserve">屏蔽后可轮询，清除后不能形成中断风暴。</t>
  </si>
  <si>
    <t xml:space="preserve">poll</t>
  </si>
  <si>
    <t xml:space="preserve">轮询</t>
  </si>
  <si>
    <t xml:space="preserve">软件反复读取状态，等待事务完成，而不依赖中断。</t>
  </si>
  <si>
    <r>
      <rPr>
        <sz val="10"/>
        <color rgb="FF1F2937"/>
        <rFont val="Noto Sans CJK SC"/>
        <family val="2"/>
      </rPr>
      <t xml:space="preserve">产品首版可继续轮询，测试仍可有独立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配置。</t>
    </r>
  </si>
  <si>
    <t xml:space="preserve">CDC</t>
  </si>
  <si>
    <t xml:space="preserve">跨时钟域</t>
  </si>
  <si>
    <t xml:space="preserve">信号跨越不同时钟区域时的同步处理。</t>
  </si>
  <si>
    <r>
      <rPr>
        <sz val="10"/>
        <color rgb="FF1F2937"/>
        <rFont val="Noto Sans CJK SC"/>
        <family val="2"/>
      </rPr>
      <t xml:space="preserve">软件只能看功能结果，逐周期正确性由</t>
    </r>
    <r>
      <rPr>
        <sz val="10"/>
        <color rgb="FF1F2937"/>
        <rFont val="Calibri"/>
        <family val="0"/>
        <charset val="1"/>
      </rPr>
      <t xml:space="preserve">RTL/DV</t>
    </r>
    <r>
      <rPr>
        <sz val="10"/>
        <color rgb="FF1F2937"/>
        <rFont val="Noto Sans CJK SC"/>
        <family val="2"/>
      </rPr>
      <t xml:space="preserve">补充。</t>
    </r>
  </si>
  <si>
    <t xml:space="preserve">pulse/level</t>
  </si>
  <si>
    <r>
      <rPr>
        <sz val="10"/>
        <color rgb="FF1F2937"/>
        <rFont val="Noto Sans CJK SC"/>
        <family val="2"/>
      </rPr>
      <t xml:space="preserve">脉冲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电平</t>
    </r>
  </si>
  <si>
    <t xml:space="preserve">错误或中断信号可能短暂跳变，也可能保持有效。</t>
  </si>
  <si>
    <t xml:space="preserve">硬件验证需要证明短脉冲不会丢失。</t>
  </si>
  <si>
    <t xml:space="preserve">guard</t>
  </si>
  <si>
    <t xml:space="preserve">保护哨兵区</t>
  </si>
  <si>
    <t xml:space="preserve">测试区域相邻的保护数据，用于发现越界或误写。</t>
  </si>
  <si>
    <t xml:space="preserve">未授权写后目标和相邻保护区都必须不变。</t>
  </si>
  <si>
    <t xml:space="preserve">Typed API</t>
  </si>
  <si>
    <t xml:space="preserve">类型化接口</t>
  </si>
  <si>
    <r>
      <rPr>
        <sz val="10"/>
        <color rgb="FF1F2937"/>
        <rFont val="Noto Sans CJK SC"/>
        <family val="2"/>
      </rPr>
      <t xml:space="preserve">对参数和结果有明确结构定义的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正式接口。</t>
    </r>
  </si>
  <si>
    <r>
      <rPr>
        <sz val="10"/>
        <color rgb="FF1F2937"/>
        <rFont val="Calibri"/>
        <family val="0"/>
        <charset val="1"/>
      </rPr>
      <t xml:space="preserve">BASIC</t>
    </r>
    <r>
      <rPr>
        <sz val="10"/>
        <color rgb="FF1F2937"/>
        <rFont val="Noto Sans CJK SC"/>
        <family val="2"/>
      </rPr>
      <t xml:space="preserve">优先复用类型化接口。</t>
    </r>
  </si>
  <si>
    <t xml:space="preserve">PASS/FAIL/INCONCLUSIVE</t>
  </si>
  <si>
    <r>
      <rPr>
        <sz val="10"/>
        <color rgb="FF1F2937"/>
        <rFont val="Noto Sans CJK SC"/>
        <family val="2"/>
      </rPr>
      <t xml:space="preserve">通过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失败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无法判定</t>
    </r>
  </si>
  <si>
    <t xml:space="preserve">分别表示满足判据、不满足判据、缺少映射或环境导致无法得出结论。</t>
  </si>
  <si>
    <r>
      <rPr>
        <sz val="10"/>
        <color rgb="FF1F2937"/>
        <rFont val="Noto Sans CJK SC"/>
        <family val="2"/>
      </rPr>
      <t xml:space="preserve">缺少</t>
    </r>
    <r>
      <rPr>
        <sz val="10"/>
        <color rgb="FF1F2937"/>
        <rFont val="Calibri"/>
        <family val="0"/>
        <charset val="1"/>
      </rPr>
      <t xml:space="preserve">reset matrix</t>
    </r>
    <r>
      <rPr>
        <sz val="10"/>
        <color rgb="FF1F2937"/>
        <rFont val="Noto Sans CJK SC"/>
        <family val="2"/>
      </rPr>
      <t xml:space="preserve">时不能猜测通过。</t>
    </r>
  </si>
  <si>
    <t xml:space="preserve">Owner</t>
  </si>
  <si>
    <r>
      <rPr>
        <sz val="10"/>
        <color rgb="FF1F2937"/>
        <rFont val="Noto Sans CJK SC"/>
        <family val="2"/>
      </rPr>
      <t xml:space="preserve">负责补齐输入、实现、执行或签核的团队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人员。</t>
    </r>
  </si>
  <si>
    <r>
      <rPr>
        <sz val="10"/>
        <color rgb="FF1F2937"/>
        <rFont val="Calibri"/>
        <family val="0"/>
        <charset val="1"/>
      </rPr>
      <t xml:space="preserve">GSP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RTL/DV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Vendor</t>
    </r>
    <r>
      <rPr>
        <sz val="10"/>
        <color rgb="FF1F2937"/>
        <rFont val="Noto Sans CJK SC"/>
        <family val="2"/>
      </rPr>
      <t xml:space="preserve">。</t>
    </r>
  </si>
  <si>
    <t xml:space="preserve">sign-off</t>
  </si>
  <si>
    <t xml:space="preserve">签核</t>
  </si>
  <si>
    <t xml:space="preserve">流片前对功能和验证证据的正式确认。</t>
  </si>
  <si>
    <t xml:space="preserve">软件证据与硬件补充证据共同完成签核。</t>
  </si>
  <si>
    <t xml:space="preserve">profile</t>
  </si>
  <si>
    <t xml:space="preserve">配置方案</t>
  </si>
  <si>
    <t xml:space="preserve">针对算法、中断、生命周期或测试环境的一组固定配置。</t>
  </si>
  <si>
    <r>
      <rPr>
        <sz val="10"/>
        <color rgb="FF1F2937"/>
        <rFont val="Noto Sans CJK SC"/>
        <family val="2"/>
      </rPr>
      <t xml:space="preserve">产品使用轮询，测试可以建立独立</t>
    </r>
    <r>
      <rPr>
        <sz val="10"/>
        <color rgb="FF1F2937"/>
        <rFont val="Calibri"/>
        <family val="0"/>
        <charset val="1"/>
      </rPr>
      <t xml:space="preserve">IRQ</t>
    </r>
    <r>
      <rPr>
        <sz val="10"/>
        <color rgb="FF1F2937"/>
        <rFont val="Noto Sans CJK SC"/>
        <family val="2"/>
      </rPr>
      <t xml:space="preserve">配置方案。</t>
    </r>
  </si>
  <si>
    <t xml:space="preserve">LCS</t>
  </si>
  <si>
    <t xml:space="preserve">生命周期状态</t>
  </si>
  <si>
    <r>
      <rPr>
        <sz val="10"/>
        <color rgb="FF1F2937"/>
        <rFont val="Noto Sans CJK SC"/>
        <family val="2"/>
      </rPr>
      <t xml:space="preserve">芯片或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所处的制造、用户、调试等安全阶段。</t>
    </r>
  </si>
  <si>
    <t xml:space="preserve">不同生命周期可能允许不同命令。</t>
  </si>
  <si>
    <t xml:space="preserve">OTP</t>
  </si>
  <si>
    <t xml:space="preserve">一次性可编程存储器</t>
  </si>
  <si>
    <t xml:space="preserve">写入后通常不能恢复的安全存储区域。</t>
  </si>
  <si>
    <t xml:space="preserve">写测试必须使用专用测试环境。</t>
  </si>
  <si>
    <r>
      <rPr>
        <sz val="10"/>
        <color rgb="FF1F2937"/>
        <rFont val="Noto Sans CJK SC"/>
        <family val="2"/>
      </rPr>
      <t xml:space="preserve">引导固件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运行固件</t>
    </r>
  </si>
  <si>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表示</t>
    </r>
    <r>
      <rPr>
        <sz val="10"/>
        <color rgb="FF1F2937"/>
        <rFont val="Calibri"/>
        <family val="0"/>
        <charset val="1"/>
      </rPr>
      <t xml:space="preserve">eHSM Bootloader</t>
    </r>
    <r>
      <rPr>
        <sz val="10"/>
        <color rgb="FF1F2937"/>
        <rFont val="Noto Sans CJK SC"/>
        <family val="2"/>
      </rPr>
      <t xml:space="preserve">，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表示</t>
    </r>
    <r>
      <rPr>
        <sz val="10"/>
        <color rgb="FF1F2937"/>
        <rFont val="Calibri"/>
        <family val="0"/>
        <charset val="1"/>
      </rPr>
      <t xml:space="preserve">eHSM Firmware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</si>
  <si>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命令</t>
    </r>
    <r>
      <rPr>
        <sz val="10"/>
        <color rgb="FF1F2937"/>
        <rFont val="Calibri"/>
        <family val="0"/>
        <charset val="1"/>
      </rPr>
      <t xml:space="preserve">ID</t>
    </r>
    <r>
      <rPr>
        <sz val="10"/>
        <color rgb="FF1F2937"/>
        <rFont val="Noto Sans CJK SC"/>
        <family val="2"/>
      </rPr>
      <t xml:space="preserve">按</t>
    </r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阶段分别登记。</t>
    </r>
  </si>
  <si>
    <t xml:space="preserve">DUT</t>
  </si>
  <si>
    <t xml:space="preserve">被测对象</t>
  </si>
  <si>
    <r>
      <rPr>
        <sz val="10"/>
        <color rgb="FF1F2937"/>
        <rFont val="Calibri"/>
        <family val="0"/>
        <charset val="1"/>
      </rPr>
      <t xml:space="preserve">Device Under Test</t>
    </r>
    <r>
      <rPr>
        <sz val="10"/>
        <color rgb="FF1F2937"/>
        <rFont val="Noto Sans CJK SC"/>
        <family val="2"/>
      </rPr>
      <t xml:space="preserve">的缩写，指当前接受测试的芯片、模块或固件实例。</t>
    </r>
  </si>
  <si>
    <r>
      <rPr>
        <sz val="10"/>
        <color rgb="FF1F2937"/>
        <rFont val="Noto Sans CJK SC"/>
        <family val="2"/>
      </rPr>
      <t xml:space="preserve">日志中的</t>
    </r>
    <r>
      <rPr>
        <sz val="10"/>
        <color rgb="FF1F2937"/>
        <rFont val="Calibri"/>
        <family val="0"/>
        <charset val="1"/>
      </rPr>
      <t xml:space="preserve">DUT</t>
    </r>
    <r>
      <rPr>
        <sz val="10"/>
        <color rgb="FF1F2937"/>
        <rFont val="Noto Sans CJK SC"/>
        <family val="2"/>
      </rPr>
      <t xml:space="preserve">版本必须与测试基线一致。</t>
    </r>
  </si>
  <si>
    <t xml:space="preserve">Vendor</t>
  </si>
  <si>
    <t xml:space="preserve">供应商</t>
  </si>
  <si>
    <r>
      <rPr>
        <sz val="10"/>
        <color rgb="FF1F2937"/>
        <rFont val="Noto Sans CJK SC"/>
        <family val="2"/>
      </rPr>
      <t xml:space="preserve">提供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固件、接口、文档或参考实现的外部交付方。</t>
    </r>
  </si>
  <si>
    <r>
      <rPr>
        <sz val="10"/>
        <color rgb="FF1F2937"/>
        <rFont val="Noto Sans CJK SC"/>
        <family val="2"/>
      </rPr>
      <t xml:space="preserve">供应商资料是实现证据，不自动等于</t>
    </r>
    <r>
      <rPr>
        <sz val="10"/>
        <color rgb="FF1F2937"/>
        <rFont val="Calibri"/>
        <family val="0"/>
        <charset val="1"/>
      </rPr>
      <t xml:space="preserve">NGU800P</t>
    </r>
    <r>
      <rPr>
        <sz val="10"/>
        <color rgb="FF1F2937"/>
        <rFont val="Noto Sans CJK SC"/>
        <family val="2"/>
      </rPr>
      <t xml:space="preserve">最终产品判据。</t>
    </r>
  </si>
  <si>
    <t xml:space="preserve">SoC</t>
  </si>
  <si>
    <t xml:space="preserve">片上系统</t>
  </si>
  <si>
    <r>
      <rPr>
        <sz val="10"/>
        <color rgb="FF1F2937"/>
        <rFont val="Calibri"/>
        <family val="0"/>
        <charset val="1"/>
      </rPr>
      <t xml:space="preserve">System on Chip</t>
    </r>
    <r>
      <rPr>
        <sz val="10"/>
        <color rgb="FF1F2937"/>
        <rFont val="Noto Sans CJK SC"/>
        <family val="2"/>
      </rPr>
      <t xml:space="preserve">的缩写，指集成处理器、存储、总线和安全模块的芯片系统。</t>
    </r>
  </si>
  <si>
    <r>
      <rPr>
        <sz val="10"/>
        <color rgb="FF1F2937"/>
        <rFont val="Noto Sans CJK SC"/>
        <family val="2"/>
      </rPr>
      <t xml:space="preserve">本表中的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用例验证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与芯片侧的集成功能。</t>
    </r>
  </si>
  <si>
    <r>
      <rPr>
        <sz val="10"/>
        <color rgb="FF1F2937"/>
        <rFont val="Noto Sans CJK SC"/>
        <family val="2"/>
      </rPr>
      <t xml:space="preserve">硬件设计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设计验证</t>
    </r>
  </si>
  <si>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是寄存器传输级硬件设计；</t>
    </r>
    <r>
      <rPr>
        <sz val="10"/>
        <color rgb="FF1F2937"/>
        <rFont val="Calibri"/>
        <family val="0"/>
        <charset val="1"/>
      </rPr>
      <t xml:space="preserve">DV</t>
    </r>
    <r>
      <rPr>
        <sz val="10"/>
        <color rgb="FF1F2937"/>
        <rFont val="Noto Sans CJK SC"/>
        <family val="2"/>
      </rPr>
      <t xml:space="preserve">是对硬件设计进行仿真和验证。</t>
    </r>
  </si>
  <si>
    <r>
      <rPr>
        <sz val="10"/>
        <color rgb="FF1F2937"/>
        <rFont val="Noto Sans CJK SC"/>
        <family val="2"/>
      </rPr>
      <t xml:space="preserve">软件难以证明的时序、脉冲和跨时钟域行为由</t>
    </r>
    <r>
      <rPr>
        <sz val="10"/>
        <color rgb="FF1F2937"/>
        <rFont val="Calibri"/>
        <family val="0"/>
        <charset val="1"/>
      </rPr>
      <t xml:space="preserve">RTL/DV</t>
    </r>
    <r>
      <rPr>
        <sz val="10"/>
        <color rgb="FF1F2937"/>
        <rFont val="Noto Sans CJK SC"/>
        <family val="2"/>
      </rPr>
      <t xml:space="preserve">补充。</t>
    </r>
  </si>
  <si>
    <t xml:space="preserve">TRM</t>
  </si>
  <si>
    <t xml:space="preserve">技术参考手册</t>
  </si>
  <si>
    <r>
      <rPr>
        <sz val="10"/>
        <color rgb="FF1F2937"/>
        <rFont val="Calibri"/>
        <family val="0"/>
        <charset val="1"/>
      </rPr>
      <t xml:space="preserve">Technical Reference Manual</t>
    </r>
    <r>
      <rPr>
        <sz val="10"/>
        <color rgb="FF1F2937"/>
        <rFont val="Noto Sans CJK SC"/>
        <family val="2"/>
      </rPr>
      <t xml:space="preserve">的缩写，定义寄存器、接口和行为合同。</t>
    </r>
  </si>
  <si>
    <r>
      <rPr>
        <sz val="10"/>
        <color rgb="FF1F2937"/>
        <rFont val="Noto Sans CJK SC"/>
        <family val="2"/>
      </rPr>
      <t xml:space="preserve">移植前应冻结与用例相关的</t>
    </r>
    <r>
      <rPr>
        <sz val="10"/>
        <color rgb="FF1F2937"/>
        <rFont val="Calibri"/>
        <family val="0"/>
        <charset val="1"/>
      </rPr>
      <t xml:space="preserve">TRM</t>
    </r>
    <r>
      <rPr>
        <sz val="10"/>
        <color rgb="FF1F2937"/>
        <rFont val="Noto Sans CJK SC"/>
        <family val="2"/>
      </rPr>
      <t xml:space="preserve">版本。</t>
    </r>
  </si>
  <si>
    <t xml:space="preserve">API/ABI</t>
  </si>
  <si>
    <r>
      <rPr>
        <sz val="10"/>
        <color rgb="FF1F2937"/>
        <rFont val="Noto Sans CJK SC"/>
        <family val="2"/>
      </rPr>
      <t xml:space="preserve">编程接口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二进制接口</t>
    </r>
  </si>
  <si>
    <r>
      <rPr>
        <sz val="10"/>
        <color rgb="FF1F2937"/>
        <rFont val="Calibri"/>
        <family val="0"/>
        <charset val="1"/>
      </rPr>
      <t xml:space="preserve">API</t>
    </r>
    <r>
      <rPr>
        <sz val="10"/>
        <color rgb="FF1F2937"/>
        <rFont val="Noto Sans CJK SC"/>
        <family val="2"/>
      </rPr>
      <t xml:space="preserve">定义软件调用方式；</t>
    </r>
    <r>
      <rPr>
        <sz val="10"/>
        <color rgb="FF1F2937"/>
        <rFont val="Calibri"/>
        <family val="0"/>
        <charset val="1"/>
      </rPr>
      <t xml:space="preserve">ABI</t>
    </r>
    <r>
      <rPr>
        <sz val="10"/>
        <color rgb="FF1F2937"/>
        <rFont val="Noto Sans CJK SC"/>
        <family val="2"/>
      </rPr>
      <t xml:space="preserve">定义二进制布局、参数传递和兼容规则。</t>
    </r>
  </si>
  <si>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原始请求必须遵守已冻结的</t>
    </r>
    <r>
      <rPr>
        <sz val="10"/>
        <color rgb="FF1F2937"/>
        <rFont val="Calibri"/>
        <family val="0"/>
        <charset val="1"/>
      </rPr>
      <t xml:space="preserve">ABI</t>
    </r>
    <r>
      <rPr>
        <sz val="10"/>
        <color rgb="FF1F2937"/>
        <rFont val="Noto Sans CJK SC"/>
        <family val="2"/>
      </rPr>
      <t xml:space="preserve">。</t>
    </r>
  </si>
  <si>
    <t xml:space="preserve">RAS</t>
  </si>
  <si>
    <t xml:space="preserve">可靠性、可用性和可维护性</t>
  </si>
  <si>
    <t xml:space="preserve">用于描述错误报告、故障处置和系统恢复相关能力。</t>
  </si>
  <si>
    <r>
      <rPr>
        <sz val="10"/>
        <color rgb="FF1F2937"/>
        <rFont val="Calibri"/>
        <family val="0"/>
        <charset val="1"/>
      </rPr>
      <t xml:space="preserve">HSM</t>
    </r>
    <r>
      <rPr>
        <sz val="10"/>
        <color rgb="FF1F2937"/>
        <rFont val="Noto Sans CJK SC"/>
        <family val="2"/>
      </rPr>
      <t xml:space="preserve">错误映射可作为</t>
    </r>
    <r>
      <rPr>
        <sz val="10"/>
        <color rgb="FF1F2937"/>
        <rFont val="Calibri"/>
        <family val="0"/>
        <charset val="1"/>
      </rPr>
      <t xml:space="preserve">RAS</t>
    </r>
    <r>
      <rPr>
        <sz val="10"/>
        <color rgb="FF1F2937"/>
        <rFont val="Noto Sans CJK SC"/>
        <family val="2"/>
      </rPr>
      <t xml:space="preserve">集成的一部分检查。</t>
    </r>
  </si>
  <si>
    <t xml:space="preserve">EMU</t>
  </si>
  <si>
    <t xml:space="preserve">硬件仿真环境</t>
  </si>
  <si>
    <r>
      <rPr>
        <sz val="10"/>
        <color rgb="FF1F2937"/>
        <rFont val="Noto Sans CJK SC"/>
        <family val="2"/>
      </rPr>
      <t xml:space="preserve">用于在流片前运行接近真实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的软件与硬件模型。</t>
    </r>
  </si>
  <si>
    <r>
      <rPr>
        <sz val="10"/>
        <color rgb="FF1F2937"/>
        <rFont val="Calibri"/>
        <family val="0"/>
        <charset val="1"/>
      </rPr>
      <t xml:space="preserve">L3/L4</t>
    </r>
    <r>
      <rPr>
        <sz val="10"/>
        <color rgb="FF1F2937"/>
        <rFont val="Noto Sans CJK SC"/>
        <family val="2"/>
      </rPr>
      <t xml:space="preserve">用例通常在</t>
    </r>
    <r>
      <rPr>
        <sz val="10"/>
        <color rgb="FF1F2937"/>
        <rFont val="Calibri"/>
        <family val="0"/>
        <charset val="1"/>
      </rPr>
      <t xml:space="preserve">EMU</t>
    </r>
    <r>
      <rPr>
        <sz val="10"/>
        <color rgb="FF1F2937"/>
        <rFont val="Noto Sans CJK SC"/>
        <family val="2"/>
      </rPr>
      <t xml:space="preserve">集成环境执行。</t>
    </r>
  </si>
  <si>
    <t xml:space="preserve">P0/P1</t>
  </si>
  <si>
    <t xml:space="preserve">优先级等级</t>
  </si>
  <si>
    <r>
      <rPr>
        <sz val="10"/>
        <color rgb="FF1F2937"/>
        <rFont val="Calibri"/>
        <family val="0"/>
        <charset val="1"/>
      </rPr>
      <t xml:space="preserve">P0</t>
    </r>
    <r>
      <rPr>
        <sz val="10"/>
        <color rgb="FF1F2937"/>
        <rFont val="Noto Sans CJK SC"/>
        <family val="2"/>
      </rPr>
      <t xml:space="preserve">表示最高优先级，</t>
    </r>
    <r>
      <rPr>
        <sz val="10"/>
        <color rgb="FF1F2937"/>
        <rFont val="Calibri"/>
        <family val="0"/>
        <charset val="1"/>
      </rPr>
      <t xml:space="preserve">P1</t>
    </r>
    <r>
      <rPr>
        <sz val="10"/>
        <color rgb="FF1F2937"/>
        <rFont val="Noto Sans CJK SC"/>
        <family val="2"/>
      </rPr>
      <t xml:space="preserve">表示次高优先级。</t>
    </r>
  </si>
  <si>
    <t xml:space="preserve">用于安排流片前必须完成或应完成的验证项。</t>
  </si>
  <si>
    <t xml:space="preserve">L0/L1/L2/L3/L4</t>
  </si>
  <si>
    <r>
      <rPr>
        <sz val="10"/>
        <color rgb="FF1F2937"/>
        <rFont val="Noto Sans CJK SC"/>
        <family val="2"/>
      </rPr>
      <t xml:space="preserve">从静态规范检查、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合同、供应商仿真到</t>
    </r>
    <r>
      <rPr>
        <sz val="10"/>
        <color rgb="FF1F2937"/>
        <rFont val="Calibri"/>
        <family val="0"/>
        <charset val="1"/>
      </rPr>
      <t xml:space="preserve">SoC</t>
    </r>
    <r>
      <rPr>
        <sz val="10"/>
        <color rgb="FF1F2937"/>
        <rFont val="Noto Sans CJK SC"/>
        <family val="2"/>
      </rPr>
      <t xml:space="preserve">仿真集成及故障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发布验证的层级标识。</t>
    </r>
  </si>
  <si>
    <t xml:space="preserve">用例表保留层级代码，便于筛选和计划执行环境。</t>
  </si>
  <si>
    <t xml:space="preserve">W1C/W1S</t>
  </si>
  <si>
    <r>
      <rPr>
        <sz val="10"/>
        <color rgb="FF1F2937"/>
        <rFont val="Noto Sans CJK SC"/>
        <family val="2"/>
      </rPr>
      <t xml:space="preserve">写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清除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写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置位</t>
    </r>
  </si>
  <si>
    <r>
      <rPr>
        <sz val="10"/>
        <color rgb="FF1F2937"/>
        <rFont val="Noto Sans CJK SC"/>
        <family val="2"/>
      </rPr>
      <t xml:space="preserve">寄存器位的常见写入语义；写入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分别表示清除或置位。</t>
    </r>
  </si>
  <si>
    <t xml:space="preserve">复位和中断用例必须按寄存器合同执行，不能自行猜测。</t>
  </si>
  <si>
    <t xml:space="preserve">bit</t>
  </si>
  <si>
    <t xml:space="preserve">位</t>
  </si>
  <si>
    <t xml:space="preserve">二进制数据的最小单位，常用于寄存器字段、状态或单比特故障变异。</t>
  </si>
  <si>
    <r>
      <rPr>
        <sz val="10"/>
        <color rgb="FF1F2937"/>
        <rFont val="Noto Sans CJK SC"/>
        <family val="2"/>
      </rPr>
      <t xml:space="preserve">翻转</t>
    </r>
    <r>
      <rPr>
        <sz val="10"/>
        <color rgb="FF1F2937"/>
        <rFont val="Calibri"/>
        <family val="0"/>
        <charset val="1"/>
      </rPr>
      <t xml:space="preserve">1 bit</t>
    </r>
    <r>
      <rPr>
        <sz val="10"/>
        <color rgb="FF1F2937"/>
        <rFont val="Noto Sans CJK SC"/>
        <family val="2"/>
      </rPr>
      <t xml:space="preserve">表示只改变一个二进制位。</t>
    </r>
  </si>
  <si>
    <t xml:space="preserve">master_id</t>
  </si>
  <si>
    <t xml:space="preserve">主设备标识</t>
  </si>
  <si>
    <t xml:space="preserve">总线上用于区分访问发起者身份的字段。</t>
  </si>
  <si>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权限测试需冻结授权和未授权主设备标识。</t>
    </r>
  </si>
  <si>
    <t xml:space="preserve">Region</t>
  </si>
  <si>
    <t xml:space="preserve">受控地址区域</t>
  </si>
  <si>
    <r>
      <rPr>
        <sz val="10"/>
        <color rgb="FF1F2937"/>
        <rFont val="Calibri"/>
        <family val="0"/>
        <charset val="1"/>
      </rPr>
      <t xml:space="preserve">Firewall</t>
    </r>
    <r>
      <rPr>
        <sz val="10"/>
        <color rgb="FF1F2937"/>
        <rFont val="Noto Sans CJK SC"/>
        <family val="2"/>
      </rPr>
      <t xml:space="preserve">按地址范围划分并配置权限的保护区域。</t>
    </r>
  </si>
  <si>
    <r>
      <rPr>
        <sz val="10"/>
        <color rgb="FF1F2937"/>
        <rFont val="Calibri"/>
        <family val="0"/>
        <charset val="1"/>
      </rPr>
      <t xml:space="preserve">SRAM</t>
    </r>
    <r>
      <rPr>
        <sz val="10"/>
        <color rgb="FF1F2937"/>
        <rFont val="Noto Sans CJK SC"/>
        <family val="2"/>
      </rPr>
      <t xml:space="preserve">测试区域必须可恢复且不得包含量产秘密。</t>
    </r>
  </si>
  <si>
    <t xml:space="preserve">direct aperture</t>
  </si>
  <si>
    <t xml:space="preserve">直连地址窗口</t>
  </si>
  <si>
    <r>
      <rPr>
        <sz val="10"/>
        <color rgb="FF1F2937"/>
        <rFont val="Noto Sans CJK SC"/>
        <family val="2"/>
      </rPr>
      <t xml:space="preserve">处理器直接访问某个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通道寄存器组的地址范围。</t>
    </r>
  </si>
  <si>
    <t xml:space="preserve">需冻结基地址、步长和实际实现的通道数。</t>
  </si>
  <si>
    <t xml:space="preserve">reset matrix</t>
  </si>
  <si>
    <t xml:space="preserve">复位规则矩阵</t>
  </si>
  <si>
    <t xml:space="preserve">定义不同复位类型下各寄存器、状态机和安全状态清除或保持的规则。</t>
  </si>
  <si>
    <t xml:space="preserve">规则未冻结时相关用例输出无法判定。</t>
  </si>
  <si>
    <t xml:space="preserve">fault injection</t>
  </si>
  <si>
    <t xml:space="preserve">故障注入</t>
  </si>
  <si>
    <t xml:space="preserve">通过硬件验证环境主动构造正常软件难以产生的内部错误。</t>
  </si>
  <si>
    <r>
      <rPr>
        <sz val="10"/>
        <color rgb="FF1F2937"/>
        <rFont val="Noto Sans CJK SC"/>
        <family val="2"/>
      </rPr>
      <t xml:space="preserve">不得为了测试而修改或定制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固件。</t>
    </r>
  </si>
  <si>
    <t xml:space="preserve">READY_AFTER_*</t>
  </si>
  <si>
    <t xml:space="preserve">满足前置条件后可实施</t>
  </si>
  <si>
    <t xml:space="preserve">表示用例设计已存在，但必须先具备星号所指的基线、合同、映射或输入。</t>
  </si>
  <si>
    <r>
      <rPr>
        <sz val="10"/>
        <color rgb="FF1F2937"/>
        <rFont val="Calibri"/>
        <family val="0"/>
        <charset val="1"/>
      </rPr>
      <t xml:space="preserve">READY_AFTER_BASELINE</t>
    </r>
    <r>
      <rPr>
        <sz val="10"/>
        <color rgb="FF1F2937"/>
        <rFont val="Noto Sans CJK SC"/>
        <family val="2"/>
      </rPr>
      <t xml:space="preserve">表示冻结测试基线后可实施。</t>
    </r>
  </si>
  <si>
    <t xml:space="preserve">NEEDS_*</t>
  </si>
  <si>
    <t xml:space="preserve">仍缺少所列输入或资源</t>
  </si>
  <si>
    <t xml:space="preserve">表示移植或执行前必须补齐星号所指的寄存器映射、测试环境、判据或合同。</t>
  </si>
  <si>
    <r>
      <rPr>
        <sz val="10"/>
        <color rgb="FF1F2937"/>
        <rFont val="Calibri"/>
        <family val="0"/>
        <charset val="1"/>
      </rPr>
      <t xml:space="preserve">NEEDS_RESET_CONTROL_AND_MATRIX</t>
    </r>
    <r>
      <rPr>
        <sz val="10"/>
        <color rgb="FF1F2937"/>
        <rFont val="Noto Sans CJK SC"/>
        <family val="2"/>
      </rPr>
      <t xml:space="preserve">表示仍缺复位控制和复位规则矩阵。</t>
    </r>
  </si>
  <si>
    <t xml:space="preserve">MUST_PASS*</t>
  </si>
  <si>
    <t xml:space="preserve">具备条件后必须通过</t>
  </si>
  <si>
    <t xml:space="preserve">表示流片前的强制通过门禁；如果环境或专用资源尚不具备，应按表中规则记录无法判定。</t>
  </si>
  <si>
    <r>
      <rPr>
        <sz val="10"/>
        <color rgb="FF1F2937"/>
        <rFont val="Calibri"/>
        <family val="0"/>
        <charset val="1"/>
      </rPr>
      <t xml:space="preserve">MUST_PASS_BASIC</t>
    </r>
    <r>
      <rPr>
        <sz val="10"/>
        <color rgb="FF1F2937"/>
        <rFont val="Noto Sans CJK SC"/>
        <family val="2"/>
      </rPr>
      <t xml:space="preserve">表示基本功能用例必须通过。</t>
    </r>
  </si>
  <si>
    <t xml:space="preserve">PLANNED / DESIGN_COMPLETE</t>
  </si>
  <si>
    <r>
      <rPr>
        <sz val="10"/>
        <color rgb="FF1F2937"/>
        <rFont val="Noto Sans CJK SC"/>
        <family val="2"/>
      </rPr>
      <t xml:space="preserve">已规划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设计完成</t>
    </r>
  </si>
  <si>
    <r>
      <rPr>
        <sz val="10"/>
        <color rgb="FF1F2937"/>
        <rFont val="Calibri"/>
        <family val="0"/>
        <charset val="1"/>
      </rPr>
      <t xml:space="preserve">PLANNED</t>
    </r>
    <r>
      <rPr>
        <sz val="10"/>
        <color rgb="FF1F2937"/>
        <rFont val="Noto Sans CJK SC"/>
        <family val="2"/>
      </rPr>
      <t xml:space="preserve">表示尚未执行；</t>
    </r>
    <r>
      <rPr>
        <sz val="10"/>
        <color rgb="FF1F2937"/>
        <rFont val="Calibri"/>
        <family val="0"/>
        <charset val="1"/>
      </rPr>
      <t xml:space="preserve">DESIGN_COMPLETE</t>
    </r>
    <r>
      <rPr>
        <sz val="10"/>
        <color rgb="FF1F2937"/>
        <rFont val="Noto Sans CJK SC"/>
        <family val="2"/>
      </rPr>
      <t xml:space="preserve">表示用例设计和移植要求已完成。</t>
    </r>
  </si>
  <si>
    <t xml:space="preserve">二者都不代表目标环境测试已经通过。</t>
  </si>
  <si>
    <t xml:space="preserve">NOT_EXECUTED</t>
  </si>
  <si>
    <t xml:space="preserve">尚未执行</t>
  </si>
  <si>
    <r>
      <rPr>
        <sz val="10"/>
        <color rgb="FF1F2937"/>
        <rFont val="Noto Sans CJK SC"/>
        <family val="2"/>
      </rPr>
      <t xml:space="preserve">表示只完成设计或静态检查，尚未产生目标环境的通过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失败证据。</t>
    </r>
  </si>
  <si>
    <r>
      <rPr>
        <sz val="10"/>
        <color rgb="FF1F2937"/>
        <rFont val="Calibri"/>
        <family val="0"/>
        <charset val="1"/>
      </rPr>
      <t xml:space="preserve">v0.3.6</t>
    </r>
    <r>
      <rPr>
        <sz val="10"/>
        <color rgb="FF1F2937"/>
        <rFont val="Noto Sans CJK SC"/>
        <family val="2"/>
      </rPr>
      <t xml:space="preserve">中代码接入与目标执行状态分开记录；</t>
    </r>
    <r>
      <rPr>
        <sz val="10"/>
        <color rgb="FF1F2937"/>
        <rFont val="Calibri"/>
        <family val="0"/>
        <charset val="1"/>
      </rPr>
      <t xml:space="preserve">TARGET_NOT_EXECUTED</t>
    </r>
    <r>
      <rPr>
        <sz val="10"/>
        <color rgb="FF1F2937"/>
        <rFont val="Noto Sans CJK SC"/>
        <family val="2"/>
      </rPr>
      <t xml:space="preserve">不等于失败。</t>
    </r>
  </si>
  <si>
    <t xml:space="preserve">已被后续版本替代</t>
  </si>
  <si>
    <t xml:space="preserve">旧设计仍保留用于追溯，但不再作为当前执行依据。</t>
  </si>
  <si>
    <r>
      <rPr>
        <sz val="10"/>
        <color rgb="FF1F2937"/>
        <rFont val="Calibri"/>
        <family val="0"/>
        <charset val="1"/>
      </rPr>
      <t xml:space="preserve">v0.3.4</t>
    </r>
    <r>
      <rPr>
        <sz val="10"/>
        <color rgb="FF1F2937"/>
        <rFont val="Noto Sans CJK SC"/>
        <family val="2"/>
      </rPr>
      <t xml:space="preserve">由</t>
    </r>
    <r>
      <rPr>
        <sz val="10"/>
        <color rgb="FF1F2937"/>
        <rFont val="Calibri"/>
        <family val="0"/>
        <charset val="1"/>
      </rPr>
      <t xml:space="preserve">v0.3.5</t>
    </r>
    <r>
      <rPr>
        <sz val="10"/>
        <color rgb="FF1F2937"/>
        <rFont val="Noto Sans CJK SC"/>
        <family val="2"/>
      </rPr>
      <t xml:space="preserve">术语中文化版替代。</t>
    </r>
  </si>
  <si>
    <t xml:space="preserve">NOT_APPLICABLE / N/A</t>
  </si>
  <si>
    <t xml:space="preserve">不适用</t>
  </si>
  <si>
    <t xml:space="preserve">当前产品范围、环境或命令不适用该项，不应记为通过。</t>
  </si>
  <si>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本地拦截且未到达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的参数组合可记为不适用。</t>
    </r>
  </si>
  <si>
    <t xml:space="preserve">移植阻塞项</t>
  </si>
  <si>
    <r>
      <rPr>
        <sz val="10"/>
        <color rgb="FF1F2937"/>
        <rFont val="Noto Sans CJK SC"/>
        <family val="2"/>
      </rPr>
      <t xml:space="preserve">缺少该输入会使</t>
    </r>
    <r>
      <rPr>
        <sz val="10"/>
        <color rgb="FF1F2937"/>
        <rFont val="Calibri"/>
        <family val="0"/>
        <charset val="1"/>
      </rPr>
      <t xml:space="preserve">Codex</t>
    </r>
    <r>
      <rPr>
        <sz val="10"/>
        <color rgb="FF1F2937"/>
        <rFont val="Noto Sans CJK SC"/>
        <family val="2"/>
      </rPr>
      <t xml:space="preserve">无法正确绑定地址、权限、返回码或调用路径。</t>
    </r>
  </si>
  <si>
    <r>
      <rPr>
        <sz val="10"/>
        <color rgb="FF1F2937"/>
        <rFont val="Noto Sans CJK SC"/>
        <family val="2"/>
      </rPr>
      <t xml:space="preserve">必须由</t>
    </r>
    <r>
      <rPr>
        <sz val="10"/>
        <color rgb="FF1F2937"/>
        <rFont val="Calibri"/>
        <family val="0"/>
        <charset val="1"/>
      </rPr>
      <t xml:space="preserve">RTL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TRM</t>
    </r>
    <r>
      <rPr>
        <sz val="10"/>
        <color rgb="FF1F2937"/>
        <rFont val="Noto Sans CJK SC"/>
        <family val="2"/>
      </rPr>
      <t xml:space="preserve">或接口负责人补齐，不能用猜测值代替。</t>
    </r>
  </si>
  <si>
    <t xml:space="preserve">待确认假设</t>
  </si>
  <si>
    <t xml:space="preserve">当前资料不足时临时登记的假设，后续必须由权威资料或负责人确认。</t>
  </si>
  <si>
    <t xml:space="preserve">假设不能直接作为流片前通过证据。</t>
  </si>
  <si>
    <t xml:space="preserve">目标头文件基线命令</t>
  </si>
  <si>
    <r>
      <rPr>
        <sz val="10"/>
        <color rgb="FF1F2937"/>
        <rFont val="Calibri"/>
        <family val="0"/>
        <charset val="1"/>
      </rPr>
      <t xml:space="preserve">BL</t>
    </r>
    <r>
      <rPr>
        <sz val="10"/>
        <color rgb="FF1F2937"/>
        <rFont val="Noto Sans CJK SC"/>
        <family val="2"/>
      </rPr>
      <t xml:space="preserve">或</t>
    </r>
    <r>
      <rPr>
        <sz val="10"/>
        <color rgb="FF1F2937"/>
        <rFont val="Calibri"/>
        <family val="0"/>
        <charset val="1"/>
      </rPr>
      <t xml:space="preserve">FW</t>
    </r>
    <r>
      <rPr>
        <sz val="10"/>
        <color rgb="FF1F2937"/>
        <rFont val="Noto Sans CJK SC"/>
        <family val="2"/>
      </rPr>
      <t xml:space="preserve">目标头文件中已经登记、当前按每命令一条基本功能用例覆盖的命令。</t>
    </r>
  </si>
  <si>
    <r>
      <rPr>
        <sz val="10"/>
        <color rgb="FF1F2937"/>
        <rFont val="Noto Sans CJK SC"/>
        <family val="2"/>
      </rPr>
      <t xml:space="preserve">本版目标命令合计</t>
    </r>
    <r>
      <rPr>
        <sz val="10"/>
        <color rgb="FF1F2937"/>
        <rFont val="Calibri"/>
        <family val="0"/>
        <charset val="1"/>
      </rPr>
      <t xml:space="preserve">52</t>
    </r>
    <r>
      <rPr>
        <sz val="10"/>
        <color rgb="FF1F2937"/>
        <rFont val="Noto Sans CJK SC"/>
        <family val="2"/>
      </rPr>
      <t xml:space="preserve">条。</t>
    </r>
  </si>
  <si>
    <t xml:space="preserve">仅主机头文件存在的候选命令</t>
  </si>
  <si>
    <r>
      <rPr>
        <sz val="10"/>
        <color rgb="FF1F2937"/>
        <rFont val="Noto Sans CJK SC"/>
        <family val="2"/>
      </rPr>
      <t xml:space="preserve">只在</t>
    </r>
    <r>
      <rPr>
        <sz val="10"/>
        <color rgb="FF1F2937"/>
        <rFont val="Calibri"/>
        <family val="0"/>
        <charset val="1"/>
      </rPr>
      <t xml:space="preserve">Host</t>
    </r>
    <r>
      <rPr>
        <sz val="10"/>
        <color rgb="FF1F2937"/>
        <rFont val="Noto Sans CJK SC"/>
        <family val="2"/>
      </rPr>
      <t xml:space="preserve">头文件发现、尚未确认属于</t>
    </r>
    <r>
      <rPr>
        <sz val="10"/>
        <color rgb="FF1F2937"/>
        <rFont val="Calibri"/>
        <family val="0"/>
        <charset val="1"/>
      </rPr>
      <t xml:space="preserve">NGU800P</t>
    </r>
    <r>
      <rPr>
        <sz val="10"/>
        <color rgb="FF1F2937"/>
        <rFont val="Noto Sans CJK SC"/>
        <family val="2"/>
      </rPr>
      <t xml:space="preserve">交付范围的命令。</t>
    </r>
  </si>
  <si>
    <t xml:space="preserve">确认适用前不生成基本功能用例。</t>
  </si>
  <si>
    <t xml:space="preserve">当前只规划基本功能用例</t>
  </si>
  <si>
    <r>
      <rPr>
        <sz val="10"/>
        <color rgb="FF1F2937"/>
        <rFont val="Noto Sans CJK SC"/>
        <family val="2"/>
      </rPr>
      <t xml:space="preserve">当前风险判断下不额外建立独立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负向族。</t>
    </r>
  </si>
  <si>
    <t xml:space="preserve">仍可在后续基于新风险或合同增加负向覆盖。</t>
  </si>
  <si>
    <r>
      <rPr>
        <sz val="10"/>
        <color rgb="FF1F2937"/>
        <rFont val="Noto Sans CJK SC"/>
        <family val="2"/>
      </rPr>
      <t xml:space="preserve">由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负向用例族覆盖</t>
    </r>
  </si>
  <si>
    <r>
      <rPr>
        <sz val="10"/>
        <color rgb="FF1F2937"/>
        <rFont val="Noto Sans CJK SC"/>
        <family val="2"/>
      </rPr>
      <t xml:space="preserve">该命令的安全拒绝行为由</t>
    </r>
    <r>
      <rPr>
        <sz val="10"/>
        <color rgb="FF1F2937"/>
        <rFont val="Calibri"/>
        <family val="0"/>
        <charset val="1"/>
      </rPr>
      <t xml:space="preserve">14</t>
    </r>
    <r>
      <rPr>
        <sz val="10"/>
        <color rgb="FF1F2937"/>
        <rFont val="Noto Sans CJK SC"/>
        <family val="2"/>
      </rPr>
      <t xml:space="preserve">条</t>
    </r>
    <r>
      <rPr>
        <sz val="10"/>
        <color rgb="FF1F2937"/>
        <rFont val="Calibri"/>
        <family val="0"/>
        <charset val="1"/>
      </rPr>
      <t xml:space="preserve">eHSM</t>
    </r>
    <r>
      <rPr>
        <sz val="10"/>
        <color rgb="FF1F2937"/>
        <rFont val="Noto Sans CJK SC"/>
        <family val="2"/>
      </rPr>
      <t xml:space="preserve">负向用例中的相关用例族统一验证。</t>
    </r>
  </si>
  <si>
    <t xml:space="preserve">验签命令由错误签名或错误摘要用例族覆盖。</t>
  </si>
  <si>
    <r>
      <rPr>
        <sz val="10"/>
        <color rgb="FF1F2937"/>
        <rFont val="Calibri"/>
        <family val="0"/>
        <charset val="1"/>
      </rPr>
      <t xml:space="preserve">WAVE0</t>
    </r>
    <r>
      <rPr>
        <sz val="10"/>
        <color rgb="FF1F2937"/>
        <rFont val="Noto Sans CJK SC"/>
        <family val="2"/>
      </rPr>
      <t xml:space="preserve">～</t>
    </r>
    <r>
      <rPr>
        <sz val="10"/>
        <color rgb="FF1F2937"/>
        <rFont val="Calibri"/>
        <family val="0"/>
        <charset val="1"/>
      </rPr>
      <t xml:space="preserve">WAVE4</t>
    </r>
  </si>
  <si>
    <t xml:space="preserve">执行波次</t>
  </si>
  <si>
    <r>
      <rPr>
        <sz val="10"/>
        <color rgb="FF1F2937"/>
        <rFont val="Noto Sans CJK SC"/>
        <family val="2"/>
      </rPr>
      <t xml:space="preserve">表示后续移植和执行的先后批次，从日常冒烟、根信任、身份密钥到多芯粒</t>
    </r>
    <r>
      <rPr>
        <sz val="10"/>
        <color rgb="FF1F2937"/>
        <rFont val="Calibri"/>
        <family val="0"/>
        <charset val="1"/>
      </rPr>
      <t xml:space="preserve">/Firewall</t>
    </r>
    <r>
      <rPr>
        <sz val="10"/>
        <color rgb="FF1F2937"/>
        <rFont val="Noto Sans CJK SC"/>
        <family val="2"/>
      </rPr>
      <t xml:space="preserve">和密码兼容验证。</t>
    </r>
  </si>
  <si>
    <t xml:space="preserve">波次用于排期，不表示用例优先级或通过状态。</t>
  </si>
  <si>
    <t xml:space="preserve">真实接口已接入</t>
  </si>
  <si>
    <r>
      <rPr>
        <sz val="10"/>
        <color rgb="FF1F2937"/>
        <rFont val="Calibri"/>
        <family val="0"/>
        <charset val="1"/>
      </rPr>
      <t xml:space="preserve">case</t>
    </r>
    <r>
      <rPr>
        <sz val="10"/>
        <color rgb="FF1F2937"/>
        <rFont val="Noto Sans CJK SC"/>
        <family val="2"/>
      </rPr>
      <t xml:space="preserve">已经调用</t>
    </r>
    <r>
      <rPr>
        <sz val="10"/>
        <color rgb="FF1F2937"/>
        <rFont val="Calibri"/>
        <family val="0"/>
        <charset val="1"/>
      </rPr>
      <t xml:space="preserve">baremetal</t>
    </r>
    <r>
      <rPr>
        <sz val="10"/>
        <color rgb="FF1F2937"/>
        <rFont val="Noto Sans CJK SC"/>
        <family val="2"/>
      </rPr>
      <t xml:space="preserve">内移植的</t>
    </r>
    <r>
      <rPr>
        <sz val="10"/>
        <color rgb="FF1F2937"/>
        <rFont val="Calibri"/>
        <family val="0"/>
        <charset val="1"/>
      </rPr>
      <t xml:space="preserve">eHSM typed API</t>
    </r>
    <r>
      <rPr>
        <sz val="10"/>
        <color rgb="FF1F2937"/>
        <rFont val="Noto Sans CJK SC"/>
        <family val="2"/>
      </rPr>
      <t xml:space="preserve">并执行本地</t>
    </r>
    <r>
      <rPr>
        <sz val="10"/>
        <color rgb="FF1F2937"/>
        <rFont val="Calibri"/>
        <family val="0"/>
        <charset val="1"/>
      </rPr>
      <t xml:space="preserve">Expected</t>
    </r>
    <r>
      <rPr>
        <sz val="10"/>
        <color rgb="FF1F2937"/>
        <rFont val="Noto Sans CJK SC"/>
        <family val="2"/>
      </rPr>
      <t xml:space="preserve">判定。</t>
    </r>
  </si>
  <si>
    <r>
      <rPr>
        <sz val="10"/>
        <color rgb="FF1F2937"/>
        <rFont val="Noto Sans CJK SC"/>
        <family val="2"/>
      </rPr>
      <t xml:space="preserve">只表示代码路径完成；没有目标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时不能写硬件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。</t>
    </r>
  </si>
  <si>
    <t xml:space="preserve">门禁不可判定</t>
  </si>
  <si>
    <r>
      <rPr>
        <sz val="10"/>
        <color rgb="FF1F2937"/>
        <rFont val="Calibri"/>
        <family val="0"/>
        <charset val="1"/>
      </rPr>
      <t xml:space="preserve">case ID</t>
    </r>
    <r>
      <rPr>
        <sz val="10"/>
        <color rgb="FF1F2937"/>
        <rFont val="Noto Sans CJK SC"/>
        <family val="2"/>
      </rPr>
      <t xml:space="preserve">和</t>
    </r>
    <r>
      <rPr>
        <sz val="10"/>
        <color rgb="FF1F2937"/>
        <rFont val="Calibri"/>
        <family val="0"/>
        <charset val="1"/>
      </rPr>
      <t xml:space="preserve">CMD</t>
    </r>
    <r>
      <rPr>
        <sz val="10"/>
        <color rgb="FF1F2937"/>
        <rFont val="Noto Sans CJK SC"/>
        <family val="2"/>
      </rPr>
      <t xml:space="preserve">入口存在，但缺少已批准输入、镜像或恢复合同，在发送目标命令前返回明确原因。</t>
    </r>
  </si>
  <si>
    <r>
      <rPr>
        <sz val="10"/>
        <color rgb="FF1F2937"/>
        <rFont val="Noto Sans CJK SC"/>
        <family val="2"/>
      </rPr>
      <t xml:space="preserve">当前仅</t>
    </r>
    <r>
      <rPr>
        <sz val="10"/>
        <color rgb="FF1F2937"/>
        <rFont val="Calibri"/>
        <family val="0"/>
        <charset val="1"/>
      </rPr>
      <t xml:space="preserve">MB-BL-006-BASIC</t>
    </r>
    <r>
      <rPr>
        <sz val="10"/>
        <color rgb="FF1F2937"/>
        <rFont val="Noto Sans CJK SC"/>
        <family val="2"/>
      </rPr>
      <t xml:space="preserve">使用。</t>
    </r>
  </si>
  <si>
    <t xml:space="preserve">已有构建证据</t>
  </si>
  <si>
    <r>
      <rPr>
        <sz val="10"/>
        <color rgb="FF1F2937"/>
        <rFont val="Noto Sans CJK SC"/>
        <family val="2"/>
      </rPr>
      <t xml:space="preserve">已有对应源码编译、链接、</t>
    </r>
    <r>
      <rPr>
        <sz val="10"/>
        <color rgb="FF1F2937"/>
        <rFont val="Calibri"/>
        <family val="0"/>
        <charset val="1"/>
      </rPr>
      <t xml:space="preserve">registry</t>
    </r>
    <r>
      <rPr>
        <sz val="10"/>
        <color rgb="FF1F2937"/>
        <rFont val="Noto Sans CJK SC"/>
        <family val="2"/>
      </rPr>
      <t xml:space="preserve">或静态矩阵</t>
    </r>
    <r>
      <rPr>
        <sz val="10"/>
        <color rgb="FF1F2937"/>
        <rFont val="Calibri"/>
        <family val="0"/>
        <charset val="1"/>
      </rPr>
      <t xml:space="preserve">Evidence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</si>
  <si>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不等于</t>
    </r>
    <r>
      <rPr>
        <sz val="10"/>
        <color rgb="FF1F2937"/>
        <rFont val="Calibri"/>
        <family val="0"/>
        <charset val="1"/>
      </rPr>
      <t xml:space="preserve">EMU/FPGA</t>
    </r>
    <r>
      <rPr>
        <sz val="10"/>
        <color rgb="FF1F2937"/>
        <rFont val="Noto Sans CJK SC"/>
        <family val="2"/>
      </rPr>
      <t xml:space="preserve">真实</t>
    </r>
    <r>
      <rPr>
        <sz val="10"/>
        <color rgb="FF1F2937"/>
        <rFont val="Calibri"/>
        <family val="0"/>
        <charset val="1"/>
      </rPr>
      <t xml:space="preserve">Mailbox</t>
    </r>
    <r>
      <rPr>
        <sz val="10"/>
        <color rgb="FF1F2937"/>
        <rFont val="Noto Sans CJK SC"/>
        <family val="2"/>
      </rPr>
      <t xml:space="preserve">执行通过。</t>
    </r>
  </si>
  <si>
    <t xml:space="preserve">目标环境尚未执行</t>
  </si>
  <si>
    <r>
      <rPr>
        <sz val="10"/>
        <color rgb="FF1F2937"/>
        <rFont val="Noto Sans CJK SC"/>
        <family val="2"/>
      </rPr>
      <t xml:space="preserve">尚未取得</t>
    </r>
    <r>
      <rPr>
        <sz val="10"/>
        <color rgb="FF1F2937"/>
        <rFont val="Calibri"/>
        <family val="0"/>
        <charset val="1"/>
      </rPr>
      <t xml:space="preserve">EMU/FPGA</t>
    </r>
    <r>
      <rPr>
        <sz val="10"/>
        <color rgb="FF1F2937"/>
        <rFont val="Noto Sans CJK SC"/>
        <family val="2"/>
      </rPr>
      <t xml:space="preserve">目标机真实执行记录。</t>
    </r>
  </si>
  <si>
    <r>
      <rPr>
        <sz val="10"/>
        <color rgb="FF1F2937"/>
        <rFont val="Noto Sans CJK SC"/>
        <family val="2"/>
      </rPr>
      <t xml:space="preserve">必须与</t>
    </r>
    <r>
      <rPr>
        <sz val="10"/>
        <color rgb="FF1F2937"/>
        <rFont val="Calibri"/>
        <family val="0"/>
        <charset val="1"/>
      </rPr>
      <t xml:space="preserve">REAL_API/</t>
    </r>
    <r>
      <rPr>
        <sz val="10"/>
        <color rgb="FF1F2937"/>
        <rFont val="Noto Sans CJK SC"/>
        <family val="2"/>
      </rPr>
      <t xml:space="preserve">构建状态分开记录。</t>
    </r>
  </si>
  <si>
    <r>
      <rPr>
        <sz val="10"/>
        <color rgb="FF1F2937"/>
        <rFont val="Noto Sans CJK SC"/>
        <family val="2"/>
      </rPr>
      <t xml:space="preserve">单条</t>
    </r>
    <r>
      <rPr>
        <sz val="10"/>
        <color rgb="FF1F2937"/>
        <rFont val="Calibri"/>
        <family val="0"/>
        <charset val="1"/>
      </rPr>
      <t xml:space="preserve">CMD</t>
    </r>
    <r>
      <rPr>
        <sz val="10"/>
        <color rgb="FF1F2937"/>
        <rFont val="Noto Sans CJK SC"/>
        <family val="2"/>
      </rPr>
      <t xml:space="preserve">执行</t>
    </r>
  </si>
  <si>
    <r>
      <rPr>
        <sz val="10"/>
        <color rgb="FF1F2937"/>
        <rFont val="Noto Sans CJK SC"/>
        <family val="2"/>
      </rPr>
      <t xml:space="preserve">通过现有</t>
    </r>
    <r>
      <rPr>
        <sz val="10"/>
        <color rgb="FF1F2937"/>
        <rFont val="Calibri"/>
        <family val="0"/>
        <charset val="1"/>
      </rPr>
      <t xml:space="preserve">security_test CMD</t>
    </r>
    <r>
      <rPr>
        <sz val="10"/>
        <color rgb="FF1F2937"/>
        <rFont val="Noto Sans CJK SC"/>
        <family val="2"/>
      </rPr>
      <t xml:space="preserve">按稳定</t>
    </r>
    <r>
      <rPr>
        <sz val="10"/>
        <color rgb="FF1F2937"/>
        <rFont val="Calibri"/>
        <family val="0"/>
        <charset val="1"/>
      </rPr>
      <t xml:space="preserve">case ID</t>
    </r>
    <r>
      <rPr>
        <sz val="10"/>
        <color rgb="FF1F2937"/>
        <rFont val="Noto Sans CJK SC"/>
        <family val="2"/>
      </rPr>
      <t xml:space="preserve">直接执行。</t>
    </r>
  </si>
  <si>
    <r>
      <rPr>
        <sz val="10"/>
        <color rgb="FF1F2937"/>
        <rFont val="Noto Sans CJK SC"/>
        <family val="2"/>
      </rPr>
      <t xml:space="preserve">命令形式：</t>
    </r>
    <r>
      <rPr>
        <sz val="10"/>
        <color rgb="FF1F2937"/>
        <rFont val="Calibri"/>
        <family val="0"/>
        <charset val="1"/>
      </rPr>
      <t xml:space="preserve">security_test run &lt;case_id&gt;</t>
    </r>
    <r>
      <rPr>
        <sz val="10"/>
        <color rgb="FF1F2937"/>
        <rFont val="Noto Sans CJK SC"/>
        <family val="2"/>
      </rPr>
      <t xml:space="preserve">；不使用脚本</t>
    </r>
    <r>
      <rPr>
        <sz val="10"/>
        <color rgb="FF1F2937"/>
        <rFont val="Calibri"/>
        <family val="0"/>
        <charset val="1"/>
      </rPr>
      <t xml:space="preserve">Runner</t>
    </r>
    <r>
      <rPr>
        <sz val="10"/>
        <color rgb="FF1F2937"/>
        <rFont val="Noto Sans CJK SC"/>
        <family val="2"/>
      </rPr>
      <t xml:space="preserve">。</t>
    </r>
  </si>
  <si>
    <t xml:space="preserve">SECURITY_OTP_PRELOADED</t>
  </si>
  <si>
    <r>
      <rPr>
        <sz val="10"/>
        <color rgb="FF1F2937"/>
        <rFont val="Calibri"/>
        <family val="0"/>
        <charset val="1"/>
      </rPr>
      <t xml:space="preserve">OTP</t>
    </r>
    <r>
      <rPr>
        <sz val="10"/>
        <color rgb="FF1F2937"/>
        <rFont val="Noto Sans CJK SC"/>
        <family val="2"/>
      </rPr>
      <t xml:space="preserve">预置编译</t>
    </r>
    <r>
      <rPr>
        <sz val="10"/>
        <color rgb="FF1F2937"/>
        <rFont val="Calibri"/>
        <family val="0"/>
        <charset val="1"/>
      </rPr>
      <t xml:space="preserve">Profile</t>
    </r>
  </si>
  <si>
    <r>
      <rPr>
        <sz val="10"/>
        <color rgb="FF1F2937"/>
        <rFont val="Noto Sans CJK SC"/>
        <family val="2"/>
      </rPr>
      <t xml:space="preserve">值</t>
    </r>
    <r>
      <rPr>
        <sz val="10"/>
        <color rgb="FF1F2937"/>
        <rFont val="Calibri"/>
        <family val="0"/>
        <charset val="1"/>
      </rPr>
      <t xml:space="preserve">0</t>
    </r>
    <r>
      <rPr>
        <sz val="10"/>
        <color rgb="FF1F2937"/>
        <rFont val="Noto Sans CJK SC"/>
        <family val="2"/>
      </rPr>
      <t xml:space="preserve">表示</t>
    </r>
    <r>
      <rPr>
        <sz val="10"/>
        <color rgb="FF1F2937"/>
        <rFont val="Calibri"/>
        <family val="0"/>
        <charset val="1"/>
      </rPr>
      <t xml:space="preserve">UNPROVISIONED</t>
    </r>
    <r>
      <rPr>
        <sz val="10"/>
        <color rgb="FF1F2937"/>
        <rFont val="Noto Sans CJK SC"/>
        <family val="2"/>
      </rPr>
      <t xml:space="preserve">失败关闭</t>
    </r>
    <r>
      <rPr>
        <sz val="10"/>
        <color rgb="FF1F2937"/>
        <rFont val="Calibri"/>
        <family val="0"/>
        <charset val="1"/>
      </rPr>
      <t xml:space="preserve">Profile</t>
    </r>
    <r>
      <rPr>
        <sz val="10"/>
        <color rgb="FF1F2937"/>
        <rFont val="Noto Sans CJK SC"/>
        <family val="2"/>
      </rPr>
      <t xml:space="preserve">，值</t>
    </r>
    <r>
      <rPr>
        <sz val="10"/>
        <color rgb="FF1F2937"/>
        <rFont val="Calibri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表示</t>
    </r>
    <r>
      <rPr>
        <sz val="10"/>
        <color rgb="FF1F2937"/>
        <rFont val="Calibri"/>
        <family val="0"/>
        <charset val="1"/>
      </rPr>
      <t xml:space="preserve">PRELOADED</t>
    </r>
    <r>
      <rPr>
        <sz val="10"/>
        <color rgb="FF1F2937"/>
        <rFont val="Noto Sans CJK SC"/>
        <family val="2"/>
      </rPr>
      <t xml:space="preserve">正向功能</t>
    </r>
    <r>
      <rPr>
        <sz val="10"/>
        <color rgb="FF1F2937"/>
        <rFont val="Calibri"/>
        <family val="0"/>
        <charset val="1"/>
      </rPr>
      <t xml:space="preserve">Profile</t>
    </r>
    <r>
      <rPr>
        <sz val="10"/>
        <color rgb="FF1F2937"/>
        <rFont val="Noto Sans CJK SC"/>
        <family val="2"/>
      </rPr>
      <t xml:space="preserve">。</t>
    </r>
  </si>
  <si>
    <r>
      <rPr>
        <sz val="10"/>
        <color rgb="FF1F2937"/>
        <rFont val="Noto Sans CJK SC"/>
        <family val="2"/>
      </rPr>
      <t xml:space="preserve">两个</t>
    </r>
    <r>
      <rPr>
        <sz val="10"/>
        <color rgb="FF1F2937"/>
        <rFont val="Calibri"/>
        <family val="0"/>
        <charset val="1"/>
      </rPr>
      <t xml:space="preserve">Profile</t>
    </r>
    <r>
      <rPr>
        <sz val="10"/>
        <color rgb="FF1F2937"/>
        <rFont val="Noto Sans CJK SC"/>
        <family val="2"/>
      </rPr>
      <t xml:space="preserve">的</t>
    </r>
    <r>
      <rPr>
        <sz val="10"/>
        <color rgb="FF1F2937"/>
        <rFont val="Calibri"/>
        <family val="0"/>
        <charset val="1"/>
      </rPr>
      <t xml:space="preserve">SUCCESS</t>
    </r>
    <r>
      <rPr>
        <sz val="10"/>
        <color rgb="FF1F2937"/>
        <rFont val="Noto Sans CJK SC"/>
        <family val="2"/>
      </rPr>
      <t xml:space="preserve">含义不同，未预置结果不能替代工作簿正向覆盖。</t>
    </r>
  </si>
  <si>
    <t xml:space="preserve">fixture_id / load receipt</t>
  </si>
  <si>
    <r>
      <rPr>
        <sz val="10"/>
        <color rgb="FF1F2937"/>
        <rFont val="Noto Sans CJK SC"/>
        <family val="2"/>
      </rPr>
      <t xml:space="preserve">预置环境标识</t>
    </r>
    <r>
      <rPr>
        <sz val="10"/>
        <color rgb="FF1F2937"/>
        <rFont val="Calibri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加载回执</t>
    </r>
  </si>
  <si>
    <r>
      <rPr>
        <sz val="10"/>
        <color rgb="FF1F2937"/>
        <rFont val="Noto Sans CJK SC"/>
        <family val="2"/>
      </rPr>
      <t xml:space="preserve">将</t>
    </r>
    <r>
      <rPr>
        <sz val="10"/>
        <color rgb="FF1F2937"/>
        <rFont val="Calibri"/>
        <family val="0"/>
        <charset val="1"/>
      </rPr>
      <t xml:space="preserve">case Expected</t>
    </r>
    <r>
      <rPr>
        <sz val="10"/>
        <color rgb="FF1F2937"/>
        <rFont val="Noto Sans CJK SC"/>
        <family val="2"/>
      </rPr>
      <t xml:space="preserve">、</t>
    </r>
    <r>
      <rPr>
        <sz val="10"/>
        <color rgb="FF1F2937"/>
        <rFont val="Calibri"/>
        <family val="0"/>
        <charset val="1"/>
      </rPr>
      <t xml:space="preserve">eFuse</t>
    </r>
    <r>
      <rPr>
        <sz val="10"/>
        <color rgb="FF1F2937"/>
        <rFont val="Noto Sans CJK SC"/>
        <family val="2"/>
      </rPr>
      <t xml:space="preserve">内容、</t>
    </r>
    <r>
      <rPr>
        <sz val="10"/>
        <color rgb="FF1F2937"/>
        <rFont val="Calibri"/>
        <family val="0"/>
        <charset val="1"/>
      </rPr>
      <t xml:space="preserve">eHSM baseline</t>
    </r>
    <r>
      <rPr>
        <sz val="10"/>
        <color rgb="FF1F2937"/>
        <rFont val="Noto Sans CJK SC"/>
        <family val="2"/>
      </rPr>
      <t xml:space="preserve">和本次实际加载动作绑定。</t>
    </r>
  </si>
  <si>
    <r>
      <rPr>
        <sz val="10"/>
        <color rgb="FF1F2937"/>
        <rFont val="Noto Sans CJK SC"/>
        <family val="2"/>
      </rPr>
      <t xml:space="preserve">缺少绑定时不得宣称整份</t>
    </r>
    <r>
      <rPr>
        <sz val="10"/>
        <color rgb="FF1F2937"/>
        <rFont val="Calibri"/>
        <family val="0"/>
        <charset val="1"/>
      </rPr>
      <t xml:space="preserve">fixture</t>
    </r>
    <r>
      <rPr>
        <sz val="10"/>
        <color rgb="FF1F2937"/>
        <rFont val="Noto Sans CJK SC"/>
        <family val="2"/>
      </rPr>
      <t xml:space="preserve">或相关密钥用例已获得目标</t>
    </r>
    <r>
      <rPr>
        <sz val="10"/>
        <color rgb="FF1F2937"/>
        <rFont val="Calibri"/>
        <family val="0"/>
        <charset val="1"/>
      </rPr>
      <t xml:space="preserve">PASS</t>
    </r>
    <r>
      <rPr>
        <sz val="10"/>
        <color rgb="FF1F2937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</si>
</sst>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6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Calibri"/>
      <family val="0"/>
      <charset val="1"/>
    </font>
    <font>
      <sz val="10"/>
      <name val="Noto Sans CJK SC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1F2937"/>
      <name val="Noto Sans CJK SC"/>
      <family val="2"/>
    </font>
    <font>
      <b val="true"/>
      <sz val="11"/>
      <color rgb="FF1F2937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>
        <color rgb="FFB4C6E7"/>
      </right>
      <top/>
      <bottom/>
      <diagonal/>
    </border>
    <border diagonalUp="false" diagonalDown="false">
      <left style="thin">
        <color rgb="FFB4C6E7"/>
      </left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B4C6E7"/>
      </left>
      <right style="thin">
        <color rgb="FFB4C6E7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8"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4C6E7"/>
      <rgbColor rgb="FF808080"/>
      <rgbColor rgb="FF9999FF"/>
      <rgbColor rgb="FF993366"/>
      <rgbColor rgb="FFFFF2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75623"/>
      <rgbColor rgb="FF9C57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ineseTerminologyGuide" displayName="ChineseTerminologyGuide" ref="A4:D67" headerRowCount="1" totalsRowCount="0" totalsRowShown="0">
  <tableColumns count="4">
    <tableColumn id="1" name="英文术语/缩写"/>
    <tableColumn id="2" name="中文解释"/>
    <tableColumn id="3" name="在本工作簿中的含义"/>
    <tableColumn id="4" name="示例或使用要求"/>
  </tableColumns>
</table>
</file>

<file path=xl/tables/table2.xml><?xml version="1.0" encoding="utf-8"?>
<table xmlns="http://schemas.openxmlformats.org/spreadsheetml/2006/main" id="2" name="CodexPortingGuide" displayName="CodexPortingGuide" ref="A3:T77" headerRowCount="1" totalsRowCount="0" totalsRowShown="0">
  <tableColumns count="20">
    <tableColumn id="1" name="用例 ID"/>
    <tableColumn id="2" name="来源工作表"/>
    <tableColumn id="3" name="域"/>
    <tableColumn id="4" name="分组"/>
    <tableColumn id="5" name="名称"/>
    <tableColumn id="6" name="优先级"/>
    <tableColumn id="7" name="实现难度"/>
    <tableColumn id="8" name="验证层级"/>
    <tableColumn id="9" name="波次"/>
    <tableColumn id="10" name="目标仓库"/>
    <tableColumn id="11" name="设计状态"/>
    <tableColumn id="12" name="流片前门禁"/>
    <tableColumn id="13" name="准入门禁"/>
    <tableColumn id="14" name="移植实现要求"/>
    <tableColumn id="15" name="所需输入"/>
    <tableColumn id="16" name="禁止事项"/>
    <tableColumn id="17" name="完成标准"/>
    <tableColumn id="18" name="验证证据要求"/>
    <tableColumn id="19" name="Codex执行顺序"/>
    <tableColumn id="20" name="备注"/>
  </tableColumns>
</table>
</file>

<file path=xl/tables/table3.xml><?xml version="1.0" encoding="utf-8"?>
<table xmlns="http://schemas.openxmlformats.org/spreadsheetml/2006/main" id="3" name="CoverageRules" displayName="CoverageRules" ref="A3:G8" headerRowCount="1" totalsRowCount="0" totalsRowShown="0">
  <tableColumns count="7">
    <tableColumn id="1" name="类型标识"/>
    <tableColumn id="2" name="适用对象"/>
    <tableColumn id="3" name="构造原则"/>
    <tableColumn id="4" name="用例/参数化输入拆分规则"/>
    <tableColumn id="5" name="主要验证层级"/>
    <tableColumn id="6" name="流片前判定"/>
    <tableColumn id="7" name="示例"/>
  </tableColumns>
</table>
</file>

<file path=xl/tables/table4.xml><?xml version="1.0" encoding="utf-8"?>
<table xmlns="http://schemas.openxmlformats.org/spreadsheetml/2006/main" id="4" name="HardwareVerificationRequirements" displayName="HardwareVerificationRequirements" ref="A3:L11" headerRowCount="1" totalsRowCount="0" totalsRowShown="0">
  <tableColumns count="12">
    <tableColumn id="1" name="需求 ID"/>
    <tableColumn id="2" name="分组"/>
    <tableColumn id="3" name="补充验证目标"/>
    <tableColumn id="4" name="关联软件用例"/>
    <tableColumn id="5" name="软件配置/激励"/>
    <tableColumn id="6" name="软件通过判据"/>
    <tableColumn id="7" name="仍需硬件补充的内容"/>
    <tableColumn id="8" name="建议责任人"/>
    <tableColumn id="9" name="来源/待绑定"/>
    <tableColumn id="10" name="分层结论"/>
    <tableColumn id="11" name="状态"/>
    <tableColumn id="12" name="禁止事项"/>
  </tableColumns>
</table>
</file>

<file path=xl/tables/table5.xml><?xml version="1.0" encoding="utf-8"?>
<table xmlns="http://schemas.openxmlformats.org/spreadsheetml/2006/main" id="5" name="MailboxCommandInventory" displayName="MailboxCommandInventory" ref="A3:N73" headerRowCount="1" totalsRowCount="0" totalsRowShown="0">
  <tableColumns count="14">
    <tableColumn id="1" name="阶段"/>
    <tableColumn id="2" name="命令 ID"/>
    <tableColumn id="3" name="命令名"/>
    <tableColumn id="4" name="分类"/>
    <tableColumn id="5" name="风险等级"/>
    <tableColumn id="6" name="适用性"/>
    <tableColumn id="7" name="事实状态"/>
    <tableColumn id="8" name="BASIC"/>
    <tableColumn id="9" name="eHSM负向策略"/>
    <tableColumn id="10" name="Host本地负向策略"/>
    <tableColumn id="11" name="实现难度"/>
    <tableColumn id="12" name="流片前门禁"/>
    <tableColumn id="13" name="来源"/>
    <tableColumn id="14" name="备注"/>
  </tableColumns>
</table>
</file>

<file path=xl/tables/table6.xml><?xml version="1.0" encoding="utf-8"?>
<table xmlns="http://schemas.openxmlformats.org/spreadsheetml/2006/main" id="6" name="MailboxTestCases" displayName="MailboxTestCases" ref="A3:X69" headerRowCount="1" totalsRowCount="0" totalsRowShown="0">
  <tableColumns count="24">
    <tableColumn id="1" name="用例 ID"/>
    <tableColumn id="2" name="用例类型"/>
    <tableColumn id="3" name="覆盖范围"/>
    <tableColumn id="4" name="阶段"/>
    <tableColumn id="5" name="命令 ID"/>
    <tableColumn id="6" name="命令/适用命令"/>
    <tableColumn id="7" name="测试点/参数化输入策略"/>
    <tableColumn id="8" name="目标"/>
    <tableColumn id="9" name="必要性"/>
    <tableColumn id="10" name="前置条件"/>
    <tableColumn id="11" name="步骤"/>
    <tableColumn id="12" name="输入/激励"/>
    <tableColumn id="13" name="预期结果"/>
    <tableColumn id="14" name="安全判据"/>
    <tableColumn id="15" name="优先级"/>
    <tableColumn id="16" name="验证层级"/>
    <tableColumn id="17" name="实现难度"/>
    <tableColumn id="18" name="波次"/>
    <tableColumn id="19" name="责任人"/>
    <tableColumn id="20" name="执行方式"/>
    <tableColumn id="21" name="移植状态"/>
    <tableColumn id="22" name="流片前门禁"/>
    <tableColumn id="23" name="准入门禁"/>
    <tableColumn id="24" name="来源"/>
  </tableColumns>
</table>
</file>

<file path=xl/tables/table7.xml><?xml version="1.0" encoding="utf-8"?>
<table xmlns="http://schemas.openxmlformats.org/spreadsheetml/2006/main" id="7" name="SocIntegrationCases" displayName="SocIntegrationCases" ref="A3:P11" headerRowCount="1" totalsRowCount="0" totalsRowShown="0">
  <tableColumns count="16">
    <tableColumn id="1" name="用例 ID"/>
    <tableColumn id="2" name="分组"/>
    <tableColumn id="3" name="名称"/>
    <tableColumn id="4" name="目标"/>
    <tableColumn id="5" name="前置条件"/>
    <tableColumn id="6" name="步骤"/>
    <tableColumn id="7" name="输入/激励"/>
    <tableColumn id="8" name="预期结果"/>
    <tableColumn id="9" name="优先级"/>
    <tableColumn id="10" name="验证层级"/>
    <tableColumn id="11" name="波次"/>
    <tableColumn id="12" name="责任人"/>
    <tableColumn id="13" name="自动化"/>
    <tableColumn id="14" name="状态"/>
    <tableColumn id="15" name="准入门禁"/>
    <tableColumn id="16" name="来源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27.73"/>
    <col collapsed="false" customWidth="true" hidden="false" outlineLevel="0" max="8" min="3" style="0" width="21.4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" t="s">
        <v>1</v>
      </c>
      <c r="B3" s="3" t="s">
        <v>2</v>
      </c>
      <c r="D3" s="4" t="s">
        <v>3</v>
      </c>
      <c r="E3" s="4"/>
      <c r="F3" s="4"/>
      <c r="G3" s="4"/>
      <c r="H3" s="4"/>
    </row>
    <row r="4" customFormat="false" ht="15.65" hidden="false" customHeight="true" outlineLevel="0" collapsed="false">
      <c r="A4" s="5" t="s">
        <v>4</v>
      </c>
      <c r="B4" s="6" t="n">
        <v>46244</v>
      </c>
      <c r="D4" s="7" t="s">
        <v>5</v>
      </c>
      <c r="E4" s="7"/>
      <c r="F4" s="7"/>
      <c r="G4" s="7"/>
      <c r="H4" s="7"/>
    </row>
    <row r="5" customFormat="false" ht="29.85" hidden="false" customHeight="true" outlineLevel="0" collapsed="false">
      <c r="A5" s="8" t="s">
        <v>6</v>
      </c>
      <c r="B5" s="8" t="s">
        <v>7</v>
      </c>
      <c r="D5" s="9" t="s">
        <v>8</v>
      </c>
      <c r="E5" s="9"/>
      <c r="F5" s="9"/>
      <c r="G5" s="9"/>
      <c r="H5" s="9"/>
    </row>
    <row r="6" customFormat="false" ht="15" hidden="false" customHeight="true" outlineLevel="0" collapsed="false">
      <c r="A6" s="9" t="s">
        <v>9</v>
      </c>
      <c r="B6" s="8" t="n">
        <f aca="false">COUNTIF(Mailbox命令清单!$A$4:$A$73,"BL")</f>
        <v>15</v>
      </c>
      <c r="D6" s="9" t="s">
        <v>10</v>
      </c>
      <c r="E6" s="9"/>
      <c r="F6" s="9"/>
      <c r="G6" s="9"/>
      <c r="H6" s="9"/>
    </row>
    <row r="7" customFormat="false" ht="15" hidden="false" customHeight="true" outlineLevel="0" collapsed="false">
      <c r="A7" s="9" t="s">
        <v>11</v>
      </c>
      <c r="B7" s="8" t="n">
        <f aca="false">COUNTIF(Mailbox命令清单!$A$4:$A$73,"FW")</f>
        <v>37</v>
      </c>
      <c r="D7" s="9" t="s">
        <v>12</v>
      </c>
      <c r="E7" s="9"/>
      <c r="F7" s="9"/>
      <c r="G7" s="9"/>
      <c r="H7" s="9"/>
    </row>
    <row r="8" customFormat="false" ht="15" hidden="false" customHeight="true" outlineLevel="0" collapsed="false">
      <c r="A8" s="8" t="s">
        <v>13</v>
      </c>
      <c r="B8" s="8" t="n">
        <f aca="false">SUM(B6:B7)</f>
        <v>52</v>
      </c>
      <c r="D8" s="9" t="s">
        <v>14</v>
      </c>
      <c r="E8" s="9"/>
      <c r="F8" s="9"/>
      <c r="G8" s="9"/>
      <c r="H8" s="9"/>
    </row>
    <row r="9" customFormat="false" ht="15" hidden="false" customHeight="true" outlineLevel="0" collapsed="false">
      <c r="A9" s="8" t="s">
        <v>15</v>
      </c>
      <c r="B9" s="8" t="n">
        <f aca="false">COUNTIF(Mailbox命令清单!$A$4:$A$73,"HOST_HEADER_ONLY_CANDIDATE")</f>
        <v>18</v>
      </c>
      <c r="D9" s="9" t="s">
        <v>16</v>
      </c>
      <c r="E9" s="9"/>
      <c r="F9" s="9"/>
      <c r="G9" s="9"/>
      <c r="H9" s="9"/>
    </row>
    <row r="10" customFormat="false" ht="15" hidden="false" customHeight="true" outlineLevel="0" collapsed="false">
      <c r="A10" s="9" t="s">
        <v>17</v>
      </c>
      <c r="B10" s="8" t="n">
        <f aca="false">COUNTIF(Mailbox用例!$B$4:$B$69,"BASIC")</f>
        <v>52</v>
      </c>
      <c r="D10" s="9" t="s">
        <v>18</v>
      </c>
      <c r="E10" s="9"/>
      <c r="F10" s="9"/>
      <c r="G10" s="9"/>
      <c r="H10" s="9"/>
    </row>
    <row r="11" customFormat="false" ht="15" hidden="false" customHeight="true" outlineLevel="0" collapsed="false">
      <c r="A11" s="9" t="s">
        <v>19</v>
      </c>
      <c r="B11" s="8" t="n">
        <f aca="false">COUNTIF(Mailbox用例!$B$4:$B$69,"EHSM_NEGATIVE")</f>
        <v>14</v>
      </c>
      <c r="D11" s="9" t="s">
        <v>20</v>
      </c>
      <c r="E11" s="9"/>
      <c r="F11" s="9"/>
      <c r="G11" s="9"/>
      <c r="H11" s="9"/>
    </row>
    <row r="12" customFormat="false" ht="15" hidden="false" customHeight="true" outlineLevel="0" collapsed="false">
      <c r="A12" s="9" t="s">
        <v>21</v>
      </c>
      <c r="B12" s="8" t="n">
        <f aca="false">SUM(B10:B11)</f>
        <v>66</v>
      </c>
      <c r="D12" s="9" t="s">
        <v>22</v>
      </c>
      <c r="E12" s="9"/>
      <c r="F12" s="9"/>
      <c r="G12" s="9"/>
      <c r="H12" s="9"/>
    </row>
    <row r="13" customFormat="false" ht="15" hidden="false" customHeight="false" outlineLevel="0" collapsed="false">
      <c r="A13" s="9" t="s">
        <v>23</v>
      </c>
      <c r="B13" s="8" t="n">
        <f aca="false">COUNTA(SoC集成用例!$A$4:$A$11)</f>
        <v>8</v>
      </c>
      <c r="D13" s="0" t="s">
        <v>24</v>
      </c>
    </row>
    <row r="14" customFormat="false" ht="15" hidden="false" customHeight="false" outlineLevel="0" collapsed="false">
      <c r="A14" s="9" t="s">
        <v>25</v>
      </c>
      <c r="B14" s="8" t="n">
        <f aca="false">COUNTA(Codex移植指导!$A$4:$A$77)</f>
        <v>74</v>
      </c>
    </row>
    <row r="15" customFormat="false" ht="15" hidden="false" customHeight="false" outlineLevel="0" collapsed="false">
      <c r="A15" s="8" t="s">
        <v>26</v>
      </c>
      <c r="B15" s="8" t="n">
        <f aca="false">COUNTA(硬件验证需求!$A$4:$A$11)</f>
        <v>8</v>
      </c>
    </row>
    <row r="16" customFormat="false" ht="15" hidden="false" customHeight="false" outlineLevel="0" collapsed="false">
      <c r="A16" s="8" t="s">
        <v>27</v>
      </c>
      <c r="B16" s="8" t="n">
        <f aca="false">COUNTIF(Mailbox用例!$B$4:$B$69,"HOST_LOCAL_NEGATIVE")</f>
        <v>0</v>
      </c>
    </row>
    <row r="17" customFormat="false" ht="44" hidden="false" customHeight="false" outlineLevel="0" collapsed="false">
      <c r="A17" s="9" t="s">
        <v>28</v>
      </c>
      <c r="B17" s="9" t="s">
        <v>29</v>
      </c>
    </row>
    <row r="18" customFormat="false" ht="30" hidden="false" customHeight="true" outlineLevel="0" collapsed="false">
      <c r="A18" s="4" t="s">
        <v>30</v>
      </c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5" t="s">
        <v>31</v>
      </c>
      <c r="B19" s="5"/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9" t="s">
        <v>32</v>
      </c>
      <c r="B20" s="9"/>
      <c r="C20" s="9"/>
      <c r="D20" s="9"/>
      <c r="E20" s="9"/>
      <c r="F20" s="9"/>
      <c r="G20" s="9"/>
      <c r="H20" s="9"/>
    </row>
    <row r="21" customFormat="false" ht="15" hidden="false" customHeight="true" outlineLevel="0" collapsed="false">
      <c r="A21" s="9" t="s">
        <v>33</v>
      </c>
      <c r="B21" s="9"/>
      <c r="C21" s="9"/>
      <c r="D21" s="9"/>
      <c r="E21" s="9"/>
      <c r="F21" s="9"/>
      <c r="G21" s="9"/>
      <c r="H21" s="9"/>
    </row>
    <row r="22" customFormat="false" ht="15" hidden="false" customHeight="true" outlineLevel="0" collapsed="false">
      <c r="A22" s="8" t="s">
        <v>34</v>
      </c>
      <c r="B22" s="8"/>
      <c r="C22" s="8"/>
      <c r="D22" s="8"/>
      <c r="E22" s="8"/>
      <c r="F22" s="8"/>
      <c r="G22" s="8"/>
      <c r="H22" s="8"/>
    </row>
    <row r="23" customFormat="false" ht="15" hidden="false" customHeight="true" outlineLevel="0" collapsed="false">
      <c r="A23" s="9" t="s">
        <v>35</v>
      </c>
      <c r="B23" s="9"/>
      <c r="C23" s="9"/>
      <c r="D23" s="9"/>
      <c r="E23" s="9"/>
      <c r="F23" s="9"/>
      <c r="G23" s="9"/>
      <c r="H23" s="9"/>
    </row>
    <row r="24" customFormat="false" ht="15" hidden="false" customHeight="true" outlineLevel="0" collapsed="false">
      <c r="A24" s="8" t="s">
        <v>36</v>
      </c>
      <c r="B24" s="8"/>
      <c r="C24" s="8"/>
      <c r="D24" s="8"/>
      <c r="E24" s="8"/>
      <c r="F24" s="8"/>
      <c r="G24" s="8"/>
      <c r="H24" s="8"/>
    </row>
    <row r="25" customFormat="false" ht="15" hidden="false" customHeight="true" outlineLevel="0" collapsed="false">
      <c r="A25" s="8" t="s">
        <v>37</v>
      </c>
      <c r="B25" s="8"/>
      <c r="C25" s="8"/>
      <c r="D25" s="8"/>
      <c r="E25" s="8"/>
      <c r="F25" s="8"/>
      <c r="G25" s="8"/>
      <c r="H25" s="8"/>
    </row>
    <row r="26" customFormat="false" ht="15" hidden="false" customHeight="true" outlineLevel="0" collapsed="false">
      <c r="A26" s="8" t="s">
        <v>38</v>
      </c>
      <c r="B26" s="8"/>
      <c r="C26" s="8"/>
      <c r="D26" s="8"/>
      <c r="E26" s="8"/>
      <c r="F26" s="8"/>
      <c r="G26" s="8"/>
      <c r="H26" s="8"/>
    </row>
  </sheetData>
  <mergeCells count="20">
    <mergeCell ref="A1:H1"/>
    <mergeCell ref="D3:H3"/>
    <mergeCell ref="D4:H4"/>
    <mergeCell ref="D5:H5"/>
    <mergeCell ref="D6:H6"/>
    <mergeCell ref="D7:H7"/>
    <mergeCell ref="D8:H8"/>
    <mergeCell ref="D9:H9"/>
    <mergeCell ref="D10:H10"/>
    <mergeCell ref="D11:H11"/>
    <mergeCell ref="D12:H12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27.73"/>
    <col collapsed="false" customWidth="true" hidden="false" outlineLevel="0" max="7" min="2" style="0" width="47.89"/>
  </cols>
  <sheetData>
    <row r="1" customFormat="false" ht="30" hidden="false" customHeight="true" outlineLevel="0" collapsed="false">
      <c r="A1" s="10" t="s">
        <v>39</v>
      </c>
      <c r="B1" s="10"/>
      <c r="C1" s="10"/>
      <c r="D1" s="10"/>
      <c r="E1" s="10"/>
      <c r="F1" s="10"/>
      <c r="G1" s="10"/>
    </row>
    <row r="3" customFormat="false" ht="30" hidden="false" customHeight="true" outlineLevel="0" collapsed="false">
      <c r="A3" s="2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3" t="s">
        <v>46</v>
      </c>
    </row>
    <row r="4" customFormat="false" ht="62" hidden="false" customHeight="true" outlineLevel="0" collapsed="false">
      <c r="A4" s="7" t="s">
        <v>47</v>
      </c>
      <c r="B4" s="7" t="s">
        <v>48</v>
      </c>
      <c r="C4" s="5" t="s">
        <v>49</v>
      </c>
      <c r="D4" s="5" t="s">
        <v>50</v>
      </c>
      <c r="E4" s="7" t="s">
        <v>51</v>
      </c>
      <c r="F4" s="5" t="s">
        <v>52</v>
      </c>
      <c r="G4" s="7" t="s">
        <v>53</v>
      </c>
    </row>
    <row r="5" customFormat="false" ht="62" hidden="false" customHeight="true" outlineLevel="0" collapsed="false">
      <c r="A5" s="9" t="s">
        <v>54</v>
      </c>
      <c r="B5" s="9" t="s">
        <v>55</v>
      </c>
      <c r="C5" s="8" t="s">
        <v>56</v>
      </c>
      <c r="D5" s="8" t="s">
        <v>57</v>
      </c>
      <c r="E5" s="9" t="s">
        <v>51</v>
      </c>
      <c r="F5" s="8" t="s">
        <v>58</v>
      </c>
      <c r="G5" s="8" t="s">
        <v>59</v>
      </c>
    </row>
    <row r="6" customFormat="false" ht="62" hidden="false" customHeight="true" outlineLevel="0" collapsed="false">
      <c r="A6" s="9" t="s">
        <v>60</v>
      </c>
      <c r="B6" s="9" t="s">
        <v>61</v>
      </c>
      <c r="C6" s="9" t="s">
        <v>62</v>
      </c>
      <c r="D6" s="9" t="s">
        <v>63</v>
      </c>
      <c r="E6" s="9" t="s">
        <v>64</v>
      </c>
      <c r="F6" s="8" t="s">
        <v>65</v>
      </c>
      <c r="G6" s="9" t="s">
        <v>66</v>
      </c>
    </row>
    <row r="7" customFormat="false" ht="62" hidden="false" customHeight="true" outlineLevel="0" collapsed="false">
      <c r="A7" s="9" t="s">
        <v>67</v>
      </c>
      <c r="B7" s="8" t="s">
        <v>68</v>
      </c>
      <c r="C7" s="8" t="s">
        <v>69</v>
      </c>
      <c r="D7" s="8" t="s">
        <v>70</v>
      </c>
      <c r="E7" s="9" t="s">
        <v>71</v>
      </c>
      <c r="F7" s="8" t="s">
        <v>72</v>
      </c>
      <c r="G7" s="9" t="s">
        <v>73</v>
      </c>
    </row>
    <row r="8" customFormat="false" ht="62" hidden="false" customHeight="true" outlineLevel="0" collapsed="false">
      <c r="A8" s="9" t="s">
        <v>74</v>
      </c>
      <c r="B8" s="8" t="s">
        <v>75</v>
      </c>
      <c r="C8" s="8" t="s">
        <v>76</v>
      </c>
      <c r="D8" s="8" t="s">
        <v>77</v>
      </c>
      <c r="E8" s="9" t="s">
        <v>78</v>
      </c>
      <c r="F8" s="8" t="s">
        <v>79</v>
      </c>
      <c r="G8" s="9" t="s">
        <v>80</v>
      </c>
    </row>
  </sheetData>
  <mergeCells count="1">
    <mergeCell ref="A1:G1"/>
  </mergeCells>
  <conditionalFormatting sqref="A4:F8">
    <cfRule type="containsText" priority="2" operator="containsText" aboveAverage="0" equalAverage="0" bottom="0" percent="0" rank="0" text="BLOCK" dxfId="0">
      <formula>NOT(ISERROR(SEARCH("BLOCK",A4)))</formula>
    </cfRule>
    <cfRule type="containsText" priority="3" operator="containsText" aboveAverage="0" equalAverage="0" bottom="0" percent="0" rank="0" text="NEEDS" dxfId="1">
      <formula>NOT(ISERROR(SEARCH("NEEDS",A4)))</formula>
    </cfRule>
    <cfRule type="containsText" priority="4" operator="containsText" aboveAverage="0" equalAverage="0" bottom="0" percent="0" rank="0" text="READY" dxfId="2">
      <formula>NOT(ISERROR(SEARCH("READY",A4)))</formula>
    </cfRule>
    <cfRule type="containsText" priority="5" operator="containsText" aboveAverage="0" equalAverage="0" bottom="0" percent="0" rank="0" text="COMPLETED" dxfId="3">
      <formula>NOT(ISERROR(SEARCH("COMPLETED",A4)))</formula>
    </cfRule>
    <cfRule type="containsText" priority="6" operator="containsText" aboveAverage="0" equalAverage="0" bottom="0" percent="0" rank="0" text="SUPERSEDED" dxfId="4">
      <formula>NOT(ISERROR(SEARCH("SUPERSEDED",A4)))</formula>
    </cfRule>
    <cfRule type="containsText" priority="7" operator="containsText" aboveAverage="0" equalAverage="0" bottom="0" percent="0" rank="0" text="N/A" dxfId="5">
      <formula>NOT(ISERROR(SEARCH("N/A",A4)))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25.21"/>
    <col collapsed="false" customWidth="true" hidden="false" outlineLevel="0" max="2" min="2" style="0" width="15.12"/>
    <col collapsed="false" customWidth="true" hidden="false" outlineLevel="0" max="3" min="3" style="0" width="47.89"/>
    <col collapsed="false" customWidth="true" hidden="false" outlineLevel="0" max="4" min="4" style="0" width="25.21"/>
    <col collapsed="false" customWidth="true" hidden="false" outlineLevel="0" max="12" min="5" style="0" width="30.24"/>
    <col collapsed="false" customWidth="true" hidden="false" outlineLevel="0" max="13" min="13" style="0" width="55.44"/>
    <col collapsed="false" customWidth="true" hidden="false" outlineLevel="0" max="14" min="14" style="0" width="35.29"/>
    <col collapsed="false" customWidth="true" hidden="false" outlineLevel="0" max="15" min="15" style="0" width="16.84"/>
    <col collapsed="false" customWidth="true" hidden="false" outlineLevel="0" max="16" min="16" style="0" width="26.53"/>
    <col collapsed="false" customWidth="true" hidden="false" outlineLevel="0" max="17" min="17" style="0" width="30.62"/>
    <col collapsed="false" customWidth="true" hidden="false" outlineLevel="0" max="18" min="18" style="0" width="18.37"/>
    <col collapsed="false" customWidth="true" hidden="false" outlineLevel="0" max="20" min="19" style="0" width="21.43"/>
    <col collapsed="false" customWidth="true" hidden="false" outlineLevel="0" max="21" min="21" style="0" width="38.78"/>
  </cols>
  <sheetData>
    <row r="1" customFormat="false" ht="30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30" hidden="false" customHeight="true" outlineLevel="0" collapsed="false">
      <c r="A3" s="2" t="s">
        <v>82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2" t="s">
        <v>89</v>
      </c>
      <c r="I3" s="12" t="s">
        <v>90</v>
      </c>
      <c r="J3" s="12" t="s">
        <v>91</v>
      </c>
      <c r="K3" s="11" t="s">
        <v>92</v>
      </c>
      <c r="L3" s="11" t="s">
        <v>93</v>
      </c>
      <c r="M3" s="11" t="s">
        <v>94</v>
      </c>
      <c r="N3" s="3" t="s">
        <v>95</v>
      </c>
      <c r="O3" s="13" t="s">
        <v>96</v>
      </c>
      <c r="P3" s="3" t="s">
        <v>97</v>
      </c>
      <c r="Q3" s="3" t="s">
        <v>98</v>
      </c>
      <c r="R3" s="3" t="s">
        <v>99</v>
      </c>
      <c r="S3" s="3" t="s">
        <v>100</v>
      </c>
      <c r="T3" s="3" t="s">
        <v>101</v>
      </c>
      <c r="U3" s="13" t="s">
        <v>102</v>
      </c>
    </row>
    <row r="4" customFormat="false" ht="42" hidden="false" customHeight="true" outlineLevel="0" collapsed="false">
      <c r="A4" s="7" t="s">
        <v>103</v>
      </c>
      <c r="B4" s="7" t="s">
        <v>104</v>
      </c>
      <c r="C4" s="7" t="s">
        <v>105</v>
      </c>
      <c r="D4" s="5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111</v>
      </c>
      <c r="J4" s="7" t="s">
        <v>112</v>
      </c>
      <c r="K4" s="7" t="s">
        <v>113</v>
      </c>
      <c r="L4" s="7" t="s">
        <v>114</v>
      </c>
      <c r="M4" s="7" t="s">
        <v>115</v>
      </c>
      <c r="N4" s="5" t="s">
        <v>116</v>
      </c>
      <c r="O4" s="7" t="s">
        <v>117</v>
      </c>
      <c r="P4" s="7" t="s">
        <v>118</v>
      </c>
      <c r="Q4" s="7" t="s">
        <v>119</v>
      </c>
      <c r="R4" s="7" t="s">
        <v>120</v>
      </c>
      <c r="S4" s="7" t="s">
        <v>121</v>
      </c>
      <c r="T4" s="7" t="s">
        <v>122</v>
      </c>
      <c r="U4" s="7" t="s">
        <v>123</v>
      </c>
    </row>
    <row r="5" customFormat="false" ht="42" hidden="false" customHeight="true" outlineLevel="0" collapsed="false">
      <c r="A5" s="9" t="s">
        <v>103</v>
      </c>
      <c r="B5" s="9" t="s">
        <v>124</v>
      </c>
      <c r="C5" s="9" t="s">
        <v>125</v>
      </c>
      <c r="D5" s="8" t="s">
        <v>126</v>
      </c>
      <c r="E5" s="9" t="s">
        <v>107</v>
      </c>
      <c r="F5" s="9" t="s">
        <v>108</v>
      </c>
      <c r="G5" s="9" t="s">
        <v>109</v>
      </c>
      <c r="H5" s="9" t="s">
        <v>110</v>
      </c>
      <c r="I5" s="9" t="s">
        <v>111</v>
      </c>
      <c r="J5" s="9" t="s">
        <v>112</v>
      </c>
      <c r="K5" s="9" t="s">
        <v>113</v>
      </c>
      <c r="L5" s="9" t="s">
        <v>114</v>
      </c>
      <c r="M5" s="9" t="s">
        <v>115</v>
      </c>
      <c r="N5" s="8" t="s">
        <v>127</v>
      </c>
      <c r="O5" s="9" t="s">
        <v>128</v>
      </c>
      <c r="P5" s="9" t="s">
        <v>129</v>
      </c>
      <c r="Q5" s="9" t="s">
        <v>130</v>
      </c>
      <c r="R5" s="9" t="s">
        <v>120</v>
      </c>
      <c r="S5" s="9" t="s">
        <v>121</v>
      </c>
      <c r="T5" s="9" t="s">
        <v>122</v>
      </c>
      <c r="U5" s="9" t="s">
        <v>123</v>
      </c>
    </row>
    <row r="6" customFormat="false" ht="42" hidden="false" customHeight="true" outlineLevel="0" collapsed="false">
      <c r="A6" s="9" t="s">
        <v>103</v>
      </c>
      <c r="B6" s="9" t="s">
        <v>131</v>
      </c>
      <c r="C6" s="9" t="s">
        <v>132</v>
      </c>
      <c r="D6" s="9" t="s">
        <v>133</v>
      </c>
      <c r="E6" s="9" t="s">
        <v>134</v>
      </c>
      <c r="F6" s="9" t="s">
        <v>108</v>
      </c>
      <c r="G6" s="9" t="s">
        <v>109</v>
      </c>
      <c r="H6" s="9" t="s">
        <v>110</v>
      </c>
      <c r="I6" s="9" t="s">
        <v>135</v>
      </c>
      <c r="J6" s="9" t="s">
        <v>112</v>
      </c>
      <c r="K6" s="9" t="s">
        <v>136</v>
      </c>
      <c r="L6" s="9" t="s">
        <v>137</v>
      </c>
      <c r="M6" s="9" t="s">
        <v>115</v>
      </c>
      <c r="N6" s="8" t="s">
        <v>138</v>
      </c>
      <c r="O6" s="9" t="s">
        <v>139</v>
      </c>
      <c r="P6" s="9" t="s">
        <v>140</v>
      </c>
      <c r="Q6" s="9" t="s">
        <v>141</v>
      </c>
      <c r="R6" s="9" t="s">
        <v>120</v>
      </c>
      <c r="S6" s="9" t="s">
        <v>121</v>
      </c>
      <c r="T6" s="9" t="s">
        <v>122</v>
      </c>
      <c r="U6" s="9" t="s">
        <v>142</v>
      </c>
    </row>
    <row r="7" customFormat="false" ht="42" hidden="false" customHeight="true" outlineLevel="0" collapsed="false">
      <c r="A7" s="9" t="s">
        <v>103</v>
      </c>
      <c r="B7" s="9" t="s">
        <v>143</v>
      </c>
      <c r="C7" s="9" t="s">
        <v>144</v>
      </c>
      <c r="D7" s="9" t="s">
        <v>133</v>
      </c>
      <c r="E7" s="9" t="s">
        <v>145</v>
      </c>
      <c r="F7" s="9" t="s">
        <v>108</v>
      </c>
      <c r="G7" s="9" t="s">
        <v>109</v>
      </c>
      <c r="H7" s="9" t="s">
        <v>110</v>
      </c>
      <c r="I7" s="9" t="s">
        <v>135</v>
      </c>
      <c r="J7" s="9" t="s">
        <v>112</v>
      </c>
      <c r="K7" s="9" t="s">
        <v>146</v>
      </c>
      <c r="L7" s="9" t="s">
        <v>114</v>
      </c>
      <c r="M7" s="9" t="s">
        <v>115</v>
      </c>
      <c r="N7" s="8" t="s">
        <v>147</v>
      </c>
      <c r="O7" s="9" t="s">
        <v>148</v>
      </c>
      <c r="P7" s="9" t="s">
        <v>149</v>
      </c>
      <c r="Q7" s="9" t="s">
        <v>150</v>
      </c>
      <c r="R7" s="9" t="s">
        <v>120</v>
      </c>
      <c r="S7" s="9" t="s">
        <v>121</v>
      </c>
      <c r="T7" s="9" t="s">
        <v>122</v>
      </c>
      <c r="U7" s="9" t="s">
        <v>151</v>
      </c>
    </row>
    <row r="8" customFormat="false" ht="42" hidden="false" customHeight="true" outlineLevel="0" collapsed="false">
      <c r="A8" s="9" t="s">
        <v>103</v>
      </c>
      <c r="B8" s="9" t="s">
        <v>152</v>
      </c>
      <c r="C8" s="9" t="s">
        <v>153</v>
      </c>
      <c r="D8" s="8" t="s">
        <v>154</v>
      </c>
      <c r="E8" s="9" t="s">
        <v>145</v>
      </c>
      <c r="F8" s="9" t="s">
        <v>108</v>
      </c>
      <c r="G8" s="9" t="s">
        <v>109</v>
      </c>
      <c r="H8" s="9" t="s">
        <v>110</v>
      </c>
      <c r="I8" s="9" t="s">
        <v>111</v>
      </c>
      <c r="J8" s="9" t="s">
        <v>112</v>
      </c>
      <c r="K8" s="9" t="s">
        <v>146</v>
      </c>
      <c r="L8" s="9" t="s">
        <v>114</v>
      </c>
      <c r="M8" s="9" t="s">
        <v>115</v>
      </c>
      <c r="N8" s="8" t="s">
        <v>155</v>
      </c>
      <c r="O8" s="9" t="s">
        <v>156</v>
      </c>
      <c r="P8" s="9" t="s">
        <v>157</v>
      </c>
      <c r="Q8" s="9" t="s">
        <v>158</v>
      </c>
      <c r="R8" s="9" t="s">
        <v>120</v>
      </c>
      <c r="S8" s="9" t="s">
        <v>121</v>
      </c>
      <c r="T8" s="9" t="s">
        <v>122</v>
      </c>
      <c r="U8" s="9" t="s">
        <v>123</v>
      </c>
    </row>
    <row r="9" customFormat="false" ht="42" hidden="false" customHeight="true" outlineLevel="0" collapsed="false">
      <c r="A9" s="9" t="s">
        <v>103</v>
      </c>
      <c r="B9" s="9" t="s">
        <v>159</v>
      </c>
      <c r="C9" s="9" t="s">
        <v>160</v>
      </c>
      <c r="D9" s="8" t="s">
        <v>154</v>
      </c>
      <c r="E9" s="9" t="s">
        <v>145</v>
      </c>
      <c r="F9" s="9" t="s">
        <v>108</v>
      </c>
      <c r="G9" s="9" t="s">
        <v>109</v>
      </c>
      <c r="H9" s="9" t="s">
        <v>110</v>
      </c>
      <c r="I9" s="9" t="s">
        <v>135</v>
      </c>
      <c r="J9" s="9" t="s">
        <v>112</v>
      </c>
      <c r="K9" s="9" t="s">
        <v>146</v>
      </c>
      <c r="L9" s="9" t="s">
        <v>114</v>
      </c>
      <c r="M9" s="9" t="s">
        <v>115</v>
      </c>
      <c r="N9" s="8" t="s">
        <v>161</v>
      </c>
      <c r="O9" s="9" t="s">
        <v>162</v>
      </c>
      <c r="P9" s="9" t="s">
        <v>163</v>
      </c>
      <c r="Q9" s="9" t="s">
        <v>164</v>
      </c>
      <c r="R9" s="9" t="s">
        <v>120</v>
      </c>
      <c r="S9" s="9" t="s">
        <v>121</v>
      </c>
      <c r="T9" s="9" t="s">
        <v>122</v>
      </c>
      <c r="U9" s="9" t="s">
        <v>165</v>
      </c>
    </row>
    <row r="10" customFormat="false" ht="42" hidden="false" customHeight="true" outlineLevel="0" collapsed="false">
      <c r="A10" s="9" t="s">
        <v>103</v>
      </c>
      <c r="B10" s="9" t="s">
        <v>166</v>
      </c>
      <c r="C10" s="9" t="s">
        <v>167</v>
      </c>
      <c r="D10" s="8" t="s">
        <v>168</v>
      </c>
      <c r="E10" s="9" t="s">
        <v>134</v>
      </c>
      <c r="F10" s="9" t="s">
        <v>108</v>
      </c>
      <c r="G10" s="9" t="s">
        <v>109</v>
      </c>
      <c r="H10" s="9" t="s">
        <v>110</v>
      </c>
      <c r="I10" s="9" t="s">
        <v>135</v>
      </c>
      <c r="J10" s="9" t="s">
        <v>112</v>
      </c>
      <c r="K10" s="9" t="s">
        <v>136</v>
      </c>
      <c r="L10" s="9" t="s">
        <v>137</v>
      </c>
      <c r="M10" s="9" t="s">
        <v>115</v>
      </c>
      <c r="N10" s="8" t="s">
        <v>169</v>
      </c>
      <c r="O10" s="9" t="s">
        <v>170</v>
      </c>
      <c r="P10" s="9" t="s">
        <v>171</v>
      </c>
      <c r="Q10" s="9" t="s">
        <v>172</v>
      </c>
      <c r="R10" s="9" t="s">
        <v>173</v>
      </c>
      <c r="S10" s="9" t="s">
        <v>121</v>
      </c>
      <c r="T10" s="9" t="s">
        <v>122</v>
      </c>
      <c r="U10" s="9" t="s">
        <v>174</v>
      </c>
    </row>
    <row r="11" customFormat="false" ht="42" hidden="false" customHeight="true" outlineLevel="0" collapsed="false">
      <c r="A11" s="9" t="s">
        <v>103</v>
      </c>
      <c r="B11" s="9" t="s">
        <v>175</v>
      </c>
      <c r="C11" s="9" t="s">
        <v>176</v>
      </c>
      <c r="D11" s="8" t="s">
        <v>168</v>
      </c>
      <c r="E11" s="9" t="s">
        <v>145</v>
      </c>
      <c r="F11" s="9" t="s">
        <v>108</v>
      </c>
      <c r="G11" s="9" t="s">
        <v>109</v>
      </c>
      <c r="H11" s="9" t="s">
        <v>110</v>
      </c>
      <c r="I11" s="9" t="s">
        <v>135</v>
      </c>
      <c r="J11" s="9" t="s">
        <v>112</v>
      </c>
      <c r="K11" s="9" t="s">
        <v>146</v>
      </c>
      <c r="L11" s="9" t="s">
        <v>114</v>
      </c>
      <c r="M11" s="9" t="s">
        <v>115</v>
      </c>
      <c r="N11" s="8" t="s">
        <v>177</v>
      </c>
      <c r="O11" s="9" t="s">
        <v>178</v>
      </c>
      <c r="P11" s="9" t="s">
        <v>179</v>
      </c>
      <c r="Q11" s="9" t="s">
        <v>180</v>
      </c>
      <c r="R11" s="9" t="s">
        <v>120</v>
      </c>
      <c r="S11" s="9" t="s">
        <v>121</v>
      </c>
      <c r="T11" s="9" t="s">
        <v>122</v>
      </c>
      <c r="U11" s="9" t="s">
        <v>174</v>
      </c>
    </row>
    <row r="12" customFormat="false" ht="42" hidden="false" customHeight="true" outlineLevel="0" collapsed="false">
      <c r="A12" s="9" t="s">
        <v>103</v>
      </c>
      <c r="B12" s="9" t="s">
        <v>181</v>
      </c>
      <c r="C12" s="9" t="s">
        <v>182</v>
      </c>
      <c r="D12" s="8" t="s">
        <v>183</v>
      </c>
      <c r="E12" s="9" t="s">
        <v>145</v>
      </c>
      <c r="F12" s="9" t="s">
        <v>108</v>
      </c>
      <c r="G12" s="9" t="s">
        <v>109</v>
      </c>
      <c r="H12" s="9" t="s">
        <v>110</v>
      </c>
      <c r="I12" s="9" t="s">
        <v>111</v>
      </c>
      <c r="J12" s="9" t="s">
        <v>112</v>
      </c>
      <c r="K12" s="9" t="s">
        <v>146</v>
      </c>
      <c r="L12" s="9" t="s">
        <v>114</v>
      </c>
      <c r="M12" s="9" t="s">
        <v>115</v>
      </c>
      <c r="N12" s="8" t="s">
        <v>184</v>
      </c>
      <c r="O12" s="9" t="s">
        <v>185</v>
      </c>
      <c r="P12" s="9" t="s">
        <v>186</v>
      </c>
      <c r="Q12" s="9" t="s">
        <v>187</v>
      </c>
      <c r="R12" s="9" t="s">
        <v>120</v>
      </c>
      <c r="S12" s="9" t="s">
        <v>121</v>
      </c>
      <c r="T12" s="9" t="s">
        <v>122</v>
      </c>
      <c r="U12" s="9" t="s">
        <v>188</v>
      </c>
    </row>
    <row r="13" customFormat="false" ht="42" hidden="false" customHeight="true" outlineLevel="0" collapsed="false">
      <c r="A13" s="9" t="s">
        <v>103</v>
      </c>
      <c r="B13" s="9" t="s">
        <v>189</v>
      </c>
      <c r="C13" s="9" t="s">
        <v>190</v>
      </c>
      <c r="D13" s="8" t="s">
        <v>183</v>
      </c>
      <c r="E13" s="9" t="s">
        <v>145</v>
      </c>
      <c r="F13" s="9" t="s">
        <v>108</v>
      </c>
      <c r="G13" s="9" t="s">
        <v>109</v>
      </c>
      <c r="H13" s="9" t="s">
        <v>110</v>
      </c>
      <c r="I13" s="9" t="s">
        <v>111</v>
      </c>
      <c r="J13" s="9" t="s">
        <v>112</v>
      </c>
      <c r="K13" s="9" t="s">
        <v>146</v>
      </c>
      <c r="L13" s="9" t="s">
        <v>114</v>
      </c>
      <c r="M13" s="9" t="s">
        <v>115</v>
      </c>
      <c r="N13" s="8" t="s">
        <v>191</v>
      </c>
      <c r="O13" s="9" t="s">
        <v>192</v>
      </c>
      <c r="P13" s="9" t="s">
        <v>193</v>
      </c>
      <c r="Q13" s="9" t="s">
        <v>194</v>
      </c>
      <c r="R13" s="9" t="s">
        <v>120</v>
      </c>
      <c r="S13" s="9" t="s">
        <v>121</v>
      </c>
      <c r="T13" s="9" t="s">
        <v>122</v>
      </c>
      <c r="U13" s="9" t="s">
        <v>188</v>
      </c>
    </row>
    <row r="14" customFormat="false" ht="42" hidden="false" customHeight="true" outlineLevel="0" collapsed="false">
      <c r="A14" s="9" t="s">
        <v>103</v>
      </c>
      <c r="B14" s="9" t="s">
        <v>195</v>
      </c>
      <c r="C14" s="9" t="s">
        <v>196</v>
      </c>
      <c r="D14" s="8" t="s">
        <v>154</v>
      </c>
      <c r="E14" s="9" t="s">
        <v>145</v>
      </c>
      <c r="F14" s="9" t="s">
        <v>108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146</v>
      </c>
      <c r="L14" s="9" t="s">
        <v>114</v>
      </c>
      <c r="M14" s="9" t="s">
        <v>115</v>
      </c>
      <c r="N14" s="8" t="s">
        <v>197</v>
      </c>
      <c r="O14" s="9" t="s">
        <v>198</v>
      </c>
      <c r="P14" s="9" t="s">
        <v>199</v>
      </c>
      <c r="Q14" s="9" t="s">
        <v>200</v>
      </c>
      <c r="R14" s="9" t="s">
        <v>120</v>
      </c>
      <c r="S14" s="9" t="s">
        <v>121</v>
      </c>
      <c r="T14" s="9" t="s">
        <v>122</v>
      </c>
      <c r="U14" s="9" t="s">
        <v>188</v>
      </c>
    </row>
    <row r="15" customFormat="false" ht="42" hidden="false" customHeight="true" outlineLevel="0" collapsed="false">
      <c r="A15" s="9" t="s">
        <v>103</v>
      </c>
      <c r="B15" s="9" t="s">
        <v>201</v>
      </c>
      <c r="C15" s="9" t="s">
        <v>202</v>
      </c>
      <c r="D15" s="8" t="s">
        <v>106</v>
      </c>
      <c r="E15" s="9" t="s">
        <v>203</v>
      </c>
      <c r="F15" s="9" t="s">
        <v>108</v>
      </c>
      <c r="G15" s="9" t="s">
        <v>109</v>
      </c>
      <c r="H15" s="9" t="s">
        <v>110</v>
      </c>
      <c r="I15" s="9" t="s">
        <v>111</v>
      </c>
      <c r="J15" s="9" t="s">
        <v>112</v>
      </c>
      <c r="K15" s="9" t="s">
        <v>204</v>
      </c>
      <c r="L15" s="9" t="s">
        <v>114</v>
      </c>
      <c r="M15" s="9" t="s">
        <v>115</v>
      </c>
      <c r="N15" s="8" t="s">
        <v>205</v>
      </c>
      <c r="O15" s="9" t="s">
        <v>206</v>
      </c>
      <c r="P15" s="9" t="s">
        <v>207</v>
      </c>
      <c r="Q15" s="9" t="s">
        <v>208</v>
      </c>
      <c r="R15" s="9" t="s">
        <v>120</v>
      </c>
      <c r="S15" s="9" t="s">
        <v>121</v>
      </c>
      <c r="T15" s="9" t="s">
        <v>122</v>
      </c>
      <c r="U15" s="9" t="s">
        <v>123</v>
      </c>
    </row>
    <row r="16" customFormat="false" ht="42" hidden="false" customHeight="true" outlineLevel="0" collapsed="false">
      <c r="A16" s="9" t="s">
        <v>103</v>
      </c>
      <c r="B16" s="9" t="s">
        <v>209</v>
      </c>
      <c r="C16" s="9" t="s">
        <v>210</v>
      </c>
      <c r="D16" s="8" t="s">
        <v>106</v>
      </c>
      <c r="E16" s="9" t="s">
        <v>107</v>
      </c>
      <c r="F16" s="9" t="s">
        <v>108</v>
      </c>
      <c r="G16" s="9" t="s">
        <v>109</v>
      </c>
      <c r="H16" s="9" t="s">
        <v>110</v>
      </c>
      <c r="I16" s="9" t="s">
        <v>111</v>
      </c>
      <c r="J16" s="9" t="s">
        <v>112</v>
      </c>
      <c r="K16" s="9" t="s">
        <v>113</v>
      </c>
      <c r="L16" s="9" t="s">
        <v>114</v>
      </c>
      <c r="M16" s="9" t="s">
        <v>115</v>
      </c>
      <c r="N16" s="8" t="s">
        <v>211</v>
      </c>
      <c r="O16" s="9" t="s">
        <v>212</v>
      </c>
      <c r="P16" s="9" t="s">
        <v>213</v>
      </c>
      <c r="Q16" s="9" t="s">
        <v>214</v>
      </c>
      <c r="R16" s="9" t="s">
        <v>120</v>
      </c>
      <c r="S16" s="9" t="s">
        <v>121</v>
      </c>
      <c r="T16" s="9" t="s">
        <v>122</v>
      </c>
      <c r="U16" s="9" t="s">
        <v>123</v>
      </c>
    </row>
    <row r="17" customFormat="false" ht="42" hidden="false" customHeight="true" outlineLevel="0" collapsed="false">
      <c r="A17" s="9" t="s">
        <v>103</v>
      </c>
      <c r="B17" s="9" t="s">
        <v>215</v>
      </c>
      <c r="C17" s="9" t="s">
        <v>216</v>
      </c>
      <c r="D17" s="8" t="s">
        <v>126</v>
      </c>
      <c r="E17" s="9" t="s">
        <v>145</v>
      </c>
      <c r="F17" s="9" t="s">
        <v>108</v>
      </c>
      <c r="G17" s="9" t="s">
        <v>109</v>
      </c>
      <c r="H17" s="9" t="s">
        <v>110</v>
      </c>
      <c r="I17" s="9" t="s">
        <v>111</v>
      </c>
      <c r="J17" s="9" t="s">
        <v>112</v>
      </c>
      <c r="K17" s="9" t="s">
        <v>146</v>
      </c>
      <c r="L17" s="9" t="s">
        <v>114</v>
      </c>
      <c r="M17" s="9" t="s">
        <v>115</v>
      </c>
      <c r="N17" s="8" t="s">
        <v>217</v>
      </c>
      <c r="O17" s="9" t="s">
        <v>218</v>
      </c>
      <c r="P17" s="9" t="s">
        <v>219</v>
      </c>
      <c r="Q17" s="9" t="s">
        <v>220</v>
      </c>
      <c r="R17" s="9" t="s">
        <v>120</v>
      </c>
      <c r="S17" s="9" t="s">
        <v>121</v>
      </c>
      <c r="T17" s="9" t="s">
        <v>122</v>
      </c>
      <c r="U17" s="9" t="s">
        <v>174</v>
      </c>
    </row>
    <row r="18" customFormat="false" ht="42" hidden="false" customHeight="true" outlineLevel="0" collapsed="false">
      <c r="A18" s="9" t="s">
        <v>103</v>
      </c>
      <c r="B18" s="9" t="s">
        <v>221</v>
      </c>
      <c r="C18" s="9" t="s">
        <v>222</v>
      </c>
      <c r="D18" s="8" t="s">
        <v>126</v>
      </c>
      <c r="E18" s="9" t="s">
        <v>145</v>
      </c>
      <c r="F18" s="9" t="s">
        <v>108</v>
      </c>
      <c r="G18" s="9" t="s">
        <v>109</v>
      </c>
      <c r="H18" s="9" t="s">
        <v>110</v>
      </c>
      <c r="I18" s="9" t="s">
        <v>111</v>
      </c>
      <c r="J18" s="9" t="s">
        <v>112</v>
      </c>
      <c r="K18" s="9" t="s">
        <v>146</v>
      </c>
      <c r="L18" s="9" t="s">
        <v>114</v>
      </c>
      <c r="M18" s="9" t="s">
        <v>115</v>
      </c>
      <c r="N18" s="8" t="s">
        <v>223</v>
      </c>
      <c r="O18" s="9" t="s">
        <v>224</v>
      </c>
      <c r="P18" s="9" t="s">
        <v>225</v>
      </c>
      <c r="Q18" s="9" t="s">
        <v>226</v>
      </c>
      <c r="R18" s="9" t="s">
        <v>120</v>
      </c>
      <c r="S18" s="9" t="s">
        <v>121</v>
      </c>
      <c r="T18" s="9" t="s">
        <v>122</v>
      </c>
      <c r="U18" s="9" t="s">
        <v>174</v>
      </c>
    </row>
    <row r="19" customFormat="false" ht="42" hidden="false" customHeight="true" outlineLevel="0" collapsed="false">
      <c r="A19" s="9" t="s">
        <v>227</v>
      </c>
      <c r="B19" s="9" t="s">
        <v>228</v>
      </c>
      <c r="C19" s="9" t="s">
        <v>229</v>
      </c>
      <c r="D19" s="8" t="s">
        <v>106</v>
      </c>
      <c r="E19" s="9" t="s">
        <v>203</v>
      </c>
      <c r="F19" s="9" t="s">
        <v>108</v>
      </c>
      <c r="G19" s="9" t="s">
        <v>109</v>
      </c>
      <c r="H19" s="9" t="s">
        <v>110</v>
      </c>
      <c r="I19" s="9" t="s">
        <v>111</v>
      </c>
      <c r="J19" s="9" t="s">
        <v>112</v>
      </c>
      <c r="K19" s="9" t="s">
        <v>204</v>
      </c>
      <c r="L19" s="9" t="s">
        <v>114</v>
      </c>
      <c r="M19" s="9" t="s">
        <v>230</v>
      </c>
      <c r="N19" s="8" t="s">
        <v>231</v>
      </c>
      <c r="O19" s="9" t="s">
        <v>232</v>
      </c>
      <c r="P19" s="9" t="s">
        <v>233</v>
      </c>
      <c r="Q19" s="9" t="s">
        <v>234</v>
      </c>
      <c r="R19" s="9" t="s">
        <v>120</v>
      </c>
      <c r="S19" s="9" t="s">
        <v>121</v>
      </c>
      <c r="T19" s="9" t="s">
        <v>122</v>
      </c>
      <c r="U19" s="9" t="s">
        <v>123</v>
      </c>
    </row>
    <row r="20" customFormat="false" ht="42" hidden="false" customHeight="true" outlineLevel="0" collapsed="false">
      <c r="A20" s="9" t="s">
        <v>227</v>
      </c>
      <c r="B20" s="9" t="s">
        <v>235</v>
      </c>
      <c r="C20" s="9" t="s">
        <v>236</v>
      </c>
      <c r="D20" s="8" t="s">
        <v>237</v>
      </c>
      <c r="E20" s="9" t="s">
        <v>107</v>
      </c>
      <c r="F20" s="9" t="s">
        <v>108</v>
      </c>
      <c r="G20" s="9" t="s">
        <v>109</v>
      </c>
      <c r="H20" s="9" t="s">
        <v>110</v>
      </c>
      <c r="I20" s="9" t="s">
        <v>135</v>
      </c>
      <c r="J20" s="9" t="s">
        <v>112</v>
      </c>
      <c r="K20" s="9" t="s">
        <v>113</v>
      </c>
      <c r="L20" s="9" t="s">
        <v>114</v>
      </c>
      <c r="M20" s="9" t="s">
        <v>230</v>
      </c>
      <c r="N20" s="8" t="s">
        <v>238</v>
      </c>
      <c r="O20" s="9" t="s">
        <v>239</v>
      </c>
      <c r="P20" s="9" t="s">
        <v>240</v>
      </c>
      <c r="Q20" s="9" t="s">
        <v>241</v>
      </c>
      <c r="R20" s="9" t="s">
        <v>120</v>
      </c>
      <c r="S20" s="9" t="s">
        <v>121</v>
      </c>
      <c r="T20" s="9" t="s">
        <v>122</v>
      </c>
      <c r="U20" s="9" t="s">
        <v>242</v>
      </c>
    </row>
    <row r="21" customFormat="false" ht="42" hidden="false" customHeight="true" outlineLevel="0" collapsed="false">
      <c r="A21" s="9" t="s">
        <v>227</v>
      </c>
      <c r="B21" s="9" t="s">
        <v>243</v>
      </c>
      <c r="C21" s="9" t="s">
        <v>244</v>
      </c>
      <c r="D21" s="8" t="s">
        <v>237</v>
      </c>
      <c r="E21" s="9" t="s">
        <v>107</v>
      </c>
      <c r="F21" s="9" t="s">
        <v>108</v>
      </c>
      <c r="G21" s="9" t="s">
        <v>109</v>
      </c>
      <c r="H21" s="9" t="s">
        <v>110</v>
      </c>
      <c r="I21" s="9" t="s">
        <v>135</v>
      </c>
      <c r="J21" s="9" t="s">
        <v>112</v>
      </c>
      <c r="K21" s="9" t="s">
        <v>113</v>
      </c>
      <c r="L21" s="9" t="s">
        <v>114</v>
      </c>
      <c r="M21" s="9" t="s">
        <v>230</v>
      </c>
      <c r="N21" s="8" t="s">
        <v>245</v>
      </c>
      <c r="O21" s="9" t="s">
        <v>246</v>
      </c>
      <c r="P21" s="9" t="s">
        <v>247</v>
      </c>
      <c r="Q21" s="9" t="s">
        <v>248</v>
      </c>
      <c r="R21" s="9" t="s">
        <v>120</v>
      </c>
      <c r="S21" s="9" t="s">
        <v>121</v>
      </c>
      <c r="T21" s="9" t="s">
        <v>122</v>
      </c>
      <c r="U21" s="9" t="s">
        <v>249</v>
      </c>
    </row>
    <row r="22" customFormat="false" ht="42" hidden="false" customHeight="true" outlineLevel="0" collapsed="false">
      <c r="A22" s="9" t="s">
        <v>227</v>
      </c>
      <c r="B22" s="9" t="s">
        <v>250</v>
      </c>
      <c r="C22" s="9" t="s">
        <v>251</v>
      </c>
      <c r="D22" s="8" t="s">
        <v>237</v>
      </c>
      <c r="E22" s="9" t="s">
        <v>107</v>
      </c>
      <c r="F22" s="9" t="s">
        <v>108</v>
      </c>
      <c r="G22" s="9" t="s">
        <v>109</v>
      </c>
      <c r="H22" s="9" t="s">
        <v>110</v>
      </c>
      <c r="I22" s="9" t="s">
        <v>135</v>
      </c>
      <c r="J22" s="9" t="s">
        <v>112</v>
      </c>
      <c r="K22" s="9" t="s">
        <v>113</v>
      </c>
      <c r="L22" s="9" t="s">
        <v>114</v>
      </c>
      <c r="M22" s="9" t="s">
        <v>230</v>
      </c>
      <c r="N22" s="8" t="s">
        <v>252</v>
      </c>
      <c r="O22" s="9" t="s">
        <v>253</v>
      </c>
      <c r="P22" s="9" t="s">
        <v>254</v>
      </c>
      <c r="Q22" s="9" t="s">
        <v>255</v>
      </c>
      <c r="R22" s="9" t="s">
        <v>120</v>
      </c>
      <c r="S22" s="9" t="s">
        <v>121</v>
      </c>
      <c r="T22" s="9" t="s">
        <v>122</v>
      </c>
      <c r="U22" s="9" t="s">
        <v>249</v>
      </c>
    </row>
    <row r="23" customFormat="false" ht="42" hidden="false" customHeight="true" outlineLevel="0" collapsed="false">
      <c r="A23" s="9" t="s">
        <v>227</v>
      </c>
      <c r="B23" s="9" t="s">
        <v>256</v>
      </c>
      <c r="C23" s="9" t="s">
        <v>257</v>
      </c>
      <c r="D23" s="8" t="s">
        <v>237</v>
      </c>
      <c r="E23" s="9" t="s">
        <v>107</v>
      </c>
      <c r="F23" s="9" t="s">
        <v>108</v>
      </c>
      <c r="G23" s="9" t="s">
        <v>109</v>
      </c>
      <c r="H23" s="9" t="s">
        <v>110</v>
      </c>
      <c r="I23" s="9" t="s">
        <v>135</v>
      </c>
      <c r="J23" s="9" t="s">
        <v>112</v>
      </c>
      <c r="K23" s="9" t="s">
        <v>113</v>
      </c>
      <c r="L23" s="9" t="s">
        <v>114</v>
      </c>
      <c r="M23" s="9" t="s">
        <v>230</v>
      </c>
      <c r="N23" s="8" t="s">
        <v>258</v>
      </c>
      <c r="O23" s="9" t="s">
        <v>259</v>
      </c>
      <c r="P23" s="9" t="s">
        <v>260</v>
      </c>
      <c r="Q23" s="9" t="s">
        <v>261</v>
      </c>
      <c r="R23" s="9" t="s">
        <v>120</v>
      </c>
      <c r="S23" s="9" t="s">
        <v>121</v>
      </c>
      <c r="T23" s="9" t="s">
        <v>122</v>
      </c>
      <c r="U23" s="9" t="s">
        <v>249</v>
      </c>
    </row>
    <row r="24" customFormat="false" ht="42" hidden="false" customHeight="true" outlineLevel="0" collapsed="false">
      <c r="A24" s="9" t="s">
        <v>227</v>
      </c>
      <c r="B24" s="9" t="s">
        <v>262</v>
      </c>
      <c r="C24" s="9" t="s">
        <v>263</v>
      </c>
      <c r="D24" s="8" t="s">
        <v>264</v>
      </c>
      <c r="E24" s="9" t="s">
        <v>107</v>
      </c>
      <c r="F24" s="9" t="s">
        <v>108</v>
      </c>
      <c r="G24" s="9" t="s">
        <v>109</v>
      </c>
      <c r="H24" s="9" t="s">
        <v>110</v>
      </c>
      <c r="I24" s="9" t="s">
        <v>111</v>
      </c>
      <c r="J24" s="9" t="s">
        <v>112</v>
      </c>
      <c r="K24" s="9" t="s">
        <v>113</v>
      </c>
      <c r="L24" s="9" t="s">
        <v>114</v>
      </c>
      <c r="M24" s="9" t="s">
        <v>230</v>
      </c>
      <c r="N24" s="8" t="s">
        <v>265</v>
      </c>
      <c r="O24" s="9" t="s">
        <v>266</v>
      </c>
      <c r="P24" s="9" t="s">
        <v>267</v>
      </c>
      <c r="Q24" s="9" t="s">
        <v>268</v>
      </c>
      <c r="R24" s="9" t="s">
        <v>120</v>
      </c>
      <c r="S24" s="9" t="s">
        <v>121</v>
      </c>
      <c r="T24" s="9" t="s">
        <v>122</v>
      </c>
      <c r="U24" s="9" t="s">
        <v>249</v>
      </c>
    </row>
    <row r="25" customFormat="false" ht="42" hidden="false" customHeight="true" outlineLevel="0" collapsed="false">
      <c r="A25" s="9" t="s">
        <v>227</v>
      </c>
      <c r="B25" s="9" t="s">
        <v>269</v>
      </c>
      <c r="C25" s="9" t="s">
        <v>270</v>
      </c>
      <c r="D25" s="8" t="s">
        <v>264</v>
      </c>
      <c r="E25" s="9" t="s">
        <v>107</v>
      </c>
      <c r="F25" s="9" t="s">
        <v>108</v>
      </c>
      <c r="G25" s="9" t="s">
        <v>109</v>
      </c>
      <c r="H25" s="9" t="s">
        <v>110</v>
      </c>
      <c r="I25" s="9" t="s">
        <v>135</v>
      </c>
      <c r="J25" s="9" t="s">
        <v>112</v>
      </c>
      <c r="K25" s="9" t="s">
        <v>113</v>
      </c>
      <c r="L25" s="9" t="s">
        <v>114</v>
      </c>
      <c r="M25" s="9" t="s">
        <v>230</v>
      </c>
      <c r="N25" s="8" t="s">
        <v>271</v>
      </c>
      <c r="O25" s="9" t="s">
        <v>272</v>
      </c>
      <c r="P25" s="9" t="s">
        <v>273</v>
      </c>
      <c r="Q25" s="9" t="s">
        <v>274</v>
      </c>
      <c r="R25" s="9" t="s">
        <v>120</v>
      </c>
      <c r="S25" s="9" t="s">
        <v>121</v>
      </c>
      <c r="T25" s="9" t="s">
        <v>122</v>
      </c>
      <c r="U25" s="9" t="s">
        <v>249</v>
      </c>
    </row>
    <row r="26" customFormat="false" ht="42" hidden="false" customHeight="true" outlineLevel="0" collapsed="false">
      <c r="A26" s="9" t="s">
        <v>227</v>
      </c>
      <c r="B26" s="9" t="s">
        <v>275</v>
      </c>
      <c r="C26" s="9" t="s">
        <v>276</v>
      </c>
      <c r="D26" s="8" t="s">
        <v>277</v>
      </c>
      <c r="E26" s="9" t="s">
        <v>107</v>
      </c>
      <c r="F26" s="9" t="s">
        <v>108</v>
      </c>
      <c r="G26" s="9" t="s">
        <v>109</v>
      </c>
      <c r="H26" s="9" t="s">
        <v>110</v>
      </c>
      <c r="I26" s="9" t="s">
        <v>111</v>
      </c>
      <c r="J26" s="9" t="s">
        <v>112</v>
      </c>
      <c r="K26" s="9" t="s">
        <v>113</v>
      </c>
      <c r="L26" s="9" t="s">
        <v>114</v>
      </c>
      <c r="M26" s="9" t="s">
        <v>230</v>
      </c>
      <c r="N26" s="8" t="s">
        <v>278</v>
      </c>
      <c r="O26" s="9" t="s">
        <v>279</v>
      </c>
      <c r="P26" s="9" t="s">
        <v>280</v>
      </c>
      <c r="Q26" s="9" t="s">
        <v>281</v>
      </c>
      <c r="R26" s="9" t="s">
        <v>120</v>
      </c>
      <c r="S26" s="9" t="s">
        <v>121</v>
      </c>
      <c r="T26" s="9" t="s">
        <v>122</v>
      </c>
      <c r="U26" s="9" t="s">
        <v>249</v>
      </c>
    </row>
    <row r="27" customFormat="false" ht="42" hidden="false" customHeight="true" outlineLevel="0" collapsed="false">
      <c r="A27" s="9" t="s">
        <v>227</v>
      </c>
      <c r="B27" s="9" t="s">
        <v>282</v>
      </c>
      <c r="C27" s="9" t="s">
        <v>283</v>
      </c>
      <c r="D27" s="8" t="s">
        <v>277</v>
      </c>
      <c r="E27" s="9" t="s">
        <v>107</v>
      </c>
      <c r="F27" s="9" t="s">
        <v>108</v>
      </c>
      <c r="G27" s="9" t="s">
        <v>109</v>
      </c>
      <c r="H27" s="9" t="s">
        <v>110</v>
      </c>
      <c r="I27" s="9" t="s">
        <v>135</v>
      </c>
      <c r="J27" s="9" t="s">
        <v>112</v>
      </c>
      <c r="K27" s="9" t="s">
        <v>113</v>
      </c>
      <c r="L27" s="9" t="s">
        <v>114</v>
      </c>
      <c r="M27" s="9" t="s">
        <v>230</v>
      </c>
      <c r="N27" s="8" t="s">
        <v>284</v>
      </c>
      <c r="O27" s="9" t="s">
        <v>285</v>
      </c>
      <c r="P27" s="9" t="s">
        <v>286</v>
      </c>
      <c r="Q27" s="9" t="s">
        <v>287</v>
      </c>
      <c r="R27" s="9" t="s">
        <v>120</v>
      </c>
      <c r="S27" s="9" t="s">
        <v>121</v>
      </c>
      <c r="T27" s="9" t="s">
        <v>122</v>
      </c>
      <c r="U27" s="9" t="s">
        <v>288</v>
      </c>
    </row>
    <row r="28" customFormat="false" ht="42" hidden="false" customHeight="true" outlineLevel="0" collapsed="false">
      <c r="A28" s="9" t="s">
        <v>227</v>
      </c>
      <c r="B28" s="9" t="s">
        <v>289</v>
      </c>
      <c r="C28" s="9" t="s">
        <v>290</v>
      </c>
      <c r="D28" s="8" t="s">
        <v>277</v>
      </c>
      <c r="E28" s="9" t="s">
        <v>107</v>
      </c>
      <c r="F28" s="9" t="s">
        <v>108</v>
      </c>
      <c r="G28" s="9" t="s">
        <v>109</v>
      </c>
      <c r="H28" s="9" t="s">
        <v>110</v>
      </c>
      <c r="I28" s="9" t="s">
        <v>111</v>
      </c>
      <c r="J28" s="9" t="s">
        <v>112</v>
      </c>
      <c r="K28" s="9" t="s">
        <v>113</v>
      </c>
      <c r="L28" s="9" t="s">
        <v>114</v>
      </c>
      <c r="M28" s="9" t="s">
        <v>230</v>
      </c>
      <c r="N28" s="8" t="s">
        <v>291</v>
      </c>
      <c r="O28" s="9" t="s">
        <v>292</v>
      </c>
      <c r="P28" s="9" t="s">
        <v>293</v>
      </c>
      <c r="Q28" s="9" t="s">
        <v>294</v>
      </c>
      <c r="R28" s="9" t="s">
        <v>120</v>
      </c>
      <c r="S28" s="9" t="s">
        <v>121</v>
      </c>
      <c r="T28" s="9" t="s">
        <v>122</v>
      </c>
      <c r="U28" s="9" t="s">
        <v>249</v>
      </c>
    </row>
    <row r="29" customFormat="false" ht="42" hidden="false" customHeight="true" outlineLevel="0" collapsed="false">
      <c r="A29" s="9" t="s">
        <v>227</v>
      </c>
      <c r="B29" s="9" t="s">
        <v>295</v>
      </c>
      <c r="C29" s="9" t="s">
        <v>296</v>
      </c>
      <c r="D29" s="8" t="s">
        <v>277</v>
      </c>
      <c r="E29" s="9" t="s">
        <v>107</v>
      </c>
      <c r="F29" s="9" t="s">
        <v>108</v>
      </c>
      <c r="G29" s="9" t="s">
        <v>109</v>
      </c>
      <c r="H29" s="9" t="s">
        <v>110</v>
      </c>
      <c r="I29" s="9" t="s">
        <v>135</v>
      </c>
      <c r="J29" s="9" t="s">
        <v>112</v>
      </c>
      <c r="K29" s="9" t="s">
        <v>113</v>
      </c>
      <c r="L29" s="9" t="s">
        <v>114</v>
      </c>
      <c r="M29" s="9" t="s">
        <v>230</v>
      </c>
      <c r="N29" s="8" t="s">
        <v>297</v>
      </c>
      <c r="O29" s="9" t="s">
        <v>298</v>
      </c>
      <c r="P29" s="9" t="s">
        <v>299</v>
      </c>
      <c r="Q29" s="9" t="s">
        <v>300</v>
      </c>
      <c r="R29" s="9" t="s">
        <v>120</v>
      </c>
      <c r="S29" s="9" t="s">
        <v>121</v>
      </c>
      <c r="T29" s="9" t="s">
        <v>122</v>
      </c>
      <c r="U29" s="9" t="s">
        <v>288</v>
      </c>
    </row>
    <row r="30" customFormat="false" ht="42" hidden="false" customHeight="true" outlineLevel="0" collapsed="false">
      <c r="A30" s="9" t="s">
        <v>227</v>
      </c>
      <c r="B30" s="9" t="s">
        <v>301</v>
      </c>
      <c r="C30" s="9" t="s">
        <v>302</v>
      </c>
      <c r="D30" s="8" t="s">
        <v>277</v>
      </c>
      <c r="E30" s="9" t="s">
        <v>107</v>
      </c>
      <c r="F30" s="9" t="s">
        <v>108</v>
      </c>
      <c r="G30" s="9" t="s">
        <v>109</v>
      </c>
      <c r="H30" s="9" t="s">
        <v>110</v>
      </c>
      <c r="I30" s="9" t="s">
        <v>135</v>
      </c>
      <c r="J30" s="9" t="s">
        <v>112</v>
      </c>
      <c r="K30" s="9" t="s">
        <v>113</v>
      </c>
      <c r="L30" s="9" t="s">
        <v>114</v>
      </c>
      <c r="M30" s="9" t="s">
        <v>230</v>
      </c>
      <c r="N30" s="8" t="s">
        <v>303</v>
      </c>
      <c r="O30" s="9" t="s">
        <v>304</v>
      </c>
      <c r="P30" s="9" t="s">
        <v>305</v>
      </c>
      <c r="Q30" s="9" t="s">
        <v>306</v>
      </c>
      <c r="R30" s="9" t="s">
        <v>120</v>
      </c>
      <c r="S30" s="9" t="s">
        <v>121</v>
      </c>
      <c r="T30" s="9" t="s">
        <v>122</v>
      </c>
      <c r="U30" s="9" t="s">
        <v>288</v>
      </c>
    </row>
    <row r="31" customFormat="false" ht="42" hidden="false" customHeight="true" outlineLevel="0" collapsed="false">
      <c r="A31" s="9" t="s">
        <v>227</v>
      </c>
      <c r="B31" s="9" t="s">
        <v>307</v>
      </c>
      <c r="C31" s="9" t="s">
        <v>308</v>
      </c>
      <c r="D31" s="8" t="s">
        <v>183</v>
      </c>
      <c r="E31" s="9" t="s">
        <v>145</v>
      </c>
      <c r="F31" s="9" t="s">
        <v>108</v>
      </c>
      <c r="G31" s="9" t="s">
        <v>109</v>
      </c>
      <c r="H31" s="9" t="s">
        <v>110</v>
      </c>
      <c r="I31" s="9" t="s">
        <v>135</v>
      </c>
      <c r="J31" s="9" t="s">
        <v>112</v>
      </c>
      <c r="K31" s="9" t="s">
        <v>146</v>
      </c>
      <c r="L31" s="9" t="s">
        <v>114</v>
      </c>
      <c r="M31" s="9" t="s">
        <v>230</v>
      </c>
      <c r="N31" s="8" t="s">
        <v>309</v>
      </c>
      <c r="O31" s="9" t="s">
        <v>310</v>
      </c>
      <c r="P31" s="9" t="s">
        <v>311</v>
      </c>
      <c r="Q31" s="9" t="s">
        <v>312</v>
      </c>
      <c r="R31" s="9" t="s">
        <v>120</v>
      </c>
      <c r="S31" s="9" t="s">
        <v>121</v>
      </c>
      <c r="T31" s="9" t="s">
        <v>122</v>
      </c>
      <c r="U31" s="9" t="s">
        <v>249</v>
      </c>
    </row>
    <row r="32" customFormat="false" ht="42" hidden="false" customHeight="true" outlineLevel="0" collapsed="false">
      <c r="A32" s="9" t="s">
        <v>227</v>
      </c>
      <c r="B32" s="9" t="s">
        <v>313</v>
      </c>
      <c r="C32" s="9" t="s">
        <v>314</v>
      </c>
      <c r="D32" s="8" t="s">
        <v>183</v>
      </c>
      <c r="E32" s="9" t="s">
        <v>145</v>
      </c>
      <c r="F32" s="9" t="s">
        <v>108</v>
      </c>
      <c r="G32" s="9" t="s">
        <v>109</v>
      </c>
      <c r="H32" s="9" t="s">
        <v>110</v>
      </c>
      <c r="I32" s="9" t="s">
        <v>135</v>
      </c>
      <c r="J32" s="9" t="s">
        <v>112</v>
      </c>
      <c r="K32" s="9" t="s">
        <v>146</v>
      </c>
      <c r="L32" s="9" t="s">
        <v>114</v>
      </c>
      <c r="M32" s="9" t="s">
        <v>230</v>
      </c>
      <c r="N32" s="8" t="s">
        <v>315</v>
      </c>
      <c r="O32" s="9" t="s">
        <v>316</v>
      </c>
      <c r="P32" s="9" t="s">
        <v>317</v>
      </c>
      <c r="Q32" s="9" t="s">
        <v>318</v>
      </c>
      <c r="R32" s="9" t="s">
        <v>120</v>
      </c>
      <c r="S32" s="9" t="s">
        <v>121</v>
      </c>
      <c r="T32" s="9" t="s">
        <v>122</v>
      </c>
      <c r="U32" s="9" t="s">
        <v>249</v>
      </c>
    </row>
    <row r="33" customFormat="false" ht="42" hidden="false" customHeight="true" outlineLevel="0" collapsed="false">
      <c r="A33" s="9" t="s">
        <v>227</v>
      </c>
      <c r="B33" s="9" t="s">
        <v>319</v>
      </c>
      <c r="C33" s="9" t="s">
        <v>320</v>
      </c>
      <c r="D33" s="8" t="s">
        <v>321</v>
      </c>
      <c r="E33" s="9" t="s">
        <v>203</v>
      </c>
      <c r="F33" s="9" t="s">
        <v>108</v>
      </c>
      <c r="G33" s="9" t="s">
        <v>109</v>
      </c>
      <c r="H33" s="9" t="s">
        <v>110</v>
      </c>
      <c r="I33" s="9" t="s">
        <v>111</v>
      </c>
      <c r="J33" s="9" t="s">
        <v>112</v>
      </c>
      <c r="K33" s="9" t="s">
        <v>204</v>
      </c>
      <c r="L33" s="9" t="s">
        <v>114</v>
      </c>
      <c r="M33" s="9" t="s">
        <v>230</v>
      </c>
      <c r="N33" s="8" t="s">
        <v>322</v>
      </c>
      <c r="O33" s="9" t="s">
        <v>323</v>
      </c>
      <c r="P33" s="9" t="s">
        <v>324</v>
      </c>
      <c r="Q33" s="9" t="s">
        <v>325</v>
      </c>
      <c r="R33" s="9" t="s">
        <v>120</v>
      </c>
      <c r="S33" s="9" t="s">
        <v>121</v>
      </c>
      <c r="T33" s="9" t="s">
        <v>122</v>
      </c>
      <c r="U33" s="9" t="s">
        <v>249</v>
      </c>
    </row>
    <row r="34" customFormat="false" ht="42" hidden="false" customHeight="true" outlineLevel="0" collapsed="false">
      <c r="A34" s="9" t="s">
        <v>227</v>
      </c>
      <c r="B34" s="9" t="s">
        <v>326</v>
      </c>
      <c r="C34" s="9" t="s">
        <v>327</v>
      </c>
      <c r="D34" s="8" t="s">
        <v>183</v>
      </c>
      <c r="E34" s="9" t="s">
        <v>145</v>
      </c>
      <c r="F34" s="9" t="s">
        <v>108</v>
      </c>
      <c r="G34" s="9" t="s">
        <v>109</v>
      </c>
      <c r="H34" s="9" t="s">
        <v>110</v>
      </c>
      <c r="I34" s="9" t="s">
        <v>111</v>
      </c>
      <c r="J34" s="9" t="s">
        <v>112</v>
      </c>
      <c r="K34" s="9" t="s">
        <v>146</v>
      </c>
      <c r="L34" s="9" t="s">
        <v>114</v>
      </c>
      <c r="M34" s="9" t="s">
        <v>230</v>
      </c>
      <c r="N34" s="8" t="s">
        <v>328</v>
      </c>
      <c r="O34" s="9" t="s">
        <v>329</v>
      </c>
      <c r="P34" s="9" t="s">
        <v>330</v>
      </c>
      <c r="Q34" s="9" t="s">
        <v>331</v>
      </c>
      <c r="R34" s="9" t="s">
        <v>120</v>
      </c>
      <c r="S34" s="9" t="s">
        <v>121</v>
      </c>
      <c r="T34" s="9" t="s">
        <v>122</v>
      </c>
      <c r="U34" s="9" t="s">
        <v>123</v>
      </c>
    </row>
    <row r="35" customFormat="false" ht="42" hidden="false" customHeight="true" outlineLevel="0" collapsed="false">
      <c r="A35" s="9" t="s">
        <v>227</v>
      </c>
      <c r="B35" s="9" t="s">
        <v>332</v>
      </c>
      <c r="C35" s="9" t="s">
        <v>333</v>
      </c>
      <c r="D35" s="8" t="s">
        <v>183</v>
      </c>
      <c r="E35" s="9" t="s">
        <v>145</v>
      </c>
      <c r="F35" s="9" t="s">
        <v>108</v>
      </c>
      <c r="G35" s="9" t="s">
        <v>109</v>
      </c>
      <c r="H35" s="9" t="s">
        <v>110</v>
      </c>
      <c r="I35" s="9" t="s">
        <v>111</v>
      </c>
      <c r="J35" s="9" t="s">
        <v>112</v>
      </c>
      <c r="K35" s="9" t="s">
        <v>146</v>
      </c>
      <c r="L35" s="9" t="s">
        <v>114</v>
      </c>
      <c r="M35" s="9" t="s">
        <v>230</v>
      </c>
      <c r="N35" s="8" t="s">
        <v>334</v>
      </c>
      <c r="O35" s="9" t="s">
        <v>335</v>
      </c>
      <c r="P35" s="9" t="s">
        <v>336</v>
      </c>
      <c r="Q35" s="9" t="s">
        <v>337</v>
      </c>
      <c r="R35" s="9" t="s">
        <v>120</v>
      </c>
      <c r="S35" s="9" t="s">
        <v>121</v>
      </c>
      <c r="T35" s="9" t="s">
        <v>122</v>
      </c>
      <c r="U35" s="9" t="s">
        <v>249</v>
      </c>
    </row>
    <row r="36" customFormat="false" ht="42" hidden="false" customHeight="true" outlineLevel="0" collapsed="false">
      <c r="A36" s="9" t="s">
        <v>227</v>
      </c>
      <c r="B36" s="9" t="s">
        <v>338</v>
      </c>
      <c r="C36" s="9" t="s">
        <v>339</v>
      </c>
      <c r="D36" s="8" t="s">
        <v>183</v>
      </c>
      <c r="E36" s="9" t="s">
        <v>145</v>
      </c>
      <c r="F36" s="9" t="s">
        <v>108</v>
      </c>
      <c r="G36" s="9" t="s">
        <v>109</v>
      </c>
      <c r="H36" s="9" t="s">
        <v>110</v>
      </c>
      <c r="I36" s="9" t="s">
        <v>111</v>
      </c>
      <c r="J36" s="9" t="s">
        <v>112</v>
      </c>
      <c r="K36" s="9" t="s">
        <v>146</v>
      </c>
      <c r="L36" s="9" t="s">
        <v>114</v>
      </c>
      <c r="M36" s="9" t="s">
        <v>230</v>
      </c>
      <c r="N36" s="8" t="s">
        <v>340</v>
      </c>
      <c r="O36" s="9" t="s">
        <v>341</v>
      </c>
      <c r="P36" s="9" t="s">
        <v>342</v>
      </c>
      <c r="Q36" s="9" t="s">
        <v>343</v>
      </c>
      <c r="R36" s="9" t="s">
        <v>120</v>
      </c>
      <c r="S36" s="9" t="s">
        <v>121</v>
      </c>
      <c r="T36" s="9" t="s">
        <v>122</v>
      </c>
      <c r="U36" s="9" t="s">
        <v>249</v>
      </c>
    </row>
    <row r="37" customFormat="false" ht="42" hidden="false" customHeight="true" outlineLevel="0" collapsed="false">
      <c r="A37" s="9" t="s">
        <v>227</v>
      </c>
      <c r="B37" s="9" t="s">
        <v>344</v>
      </c>
      <c r="C37" s="9" t="s">
        <v>345</v>
      </c>
      <c r="D37" s="8" t="s">
        <v>183</v>
      </c>
      <c r="E37" s="9" t="s">
        <v>145</v>
      </c>
      <c r="F37" s="9" t="s">
        <v>108</v>
      </c>
      <c r="G37" s="9" t="s">
        <v>109</v>
      </c>
      <c r="H37" s="9" t="s">
        <v>110</v>
      </c>
      <c r="I37" s="9" t="s">
        <v>111</v>
      </c>
      <c r="J37" s="9" t="s">
        <v>112</v>
      </c>
      <c r="K37" s="9" t="s">
        <v>146</v>
      </c>
      <c r="L37" s="9" t="s">
        <v>114</v>
      </c>
      <c r="M37" s="9" t="s">
        <v>230</v>
      </c>
      <c r="N37" s="8" t="s">
        <v>346</v>
      </c>
      <c r="O37" s="9" t="s">
        <v>347</v>
      </c>
      <c r="P37" s="9" t="s">
        <v>348</v>
      </c>
      <c r="Q37" s="9" t="s">
        <v>349</v>
      </c>
      <c r="R37" s="9" t="s">
        <v>120</v>
      </c>
      <c r="S37" s="9" t="s">
        <v>121</v>
      </c>
      <c r="T37" s="9" t="s">
        <v>122</v>
      </c>
      <c r="U37" s="9" t="s">
        <v>249</v>
      </c>
    </row>
    <row r="38" customFormat="false" ht="42" hidden="false" customHeight="true" outlineLevel="0" collapsed="false">
      <c r="A38" s="9" t="s">
        <v>227</v>
      </c>
      <c r="B38" s="9" t="s">
        <v>350</v>
      </c>
      <c r="C38" s="9" t="s">
        <v>351</v>
      </c>
      <c r="D38" s="8" t="s">
        <v>352</v>
      </c>
      <c r="E38" s="9" t="s">
        <v>107</v>
      </c>
      <c r="F38" s="9" t="s">
        <v>108</v>
      </c>
      <c r="G38" s="9" t="s">
        <v>109</v>
      </c>
      <c r="H38" s="9" t="s">
        <v>110</v>
      </c>
      <c r="I38" s="9" t="s">
        <v>111</v>
      </c>
      <c r="J38" s="9" t="s">
        <v>112</v>
      </c>
      <c r="K38" s="9" t="s">
        <v>113</v>
      </c>
      <c r="L38" s="9" t="s">
        <v>114</v>
      </c>
      <c r="M38" s="9" t="s">
        <v>230</v>
      </c>
      <c r="N38" s="8" t="s">
        <v>353</v>
      </c>
      <c r="O38" s="9" t="s">
        <v>354</v>
      </c>
      <c r="P38" s="9" t="s">
        <v>355</v>
      </c>
      <c r="Q38" s="9" t="s">
        <v>356</v>
      </c>
      <c r="R38" s="9" t="s">
        <v>120</v>
      </c>
      <c r="S38" s="9" t="s">
        <v>121</v>
      </c>
      <c r="T38" s="9" t="s">
        <v>122</v>
      </c>
      <c r="U38" s="9" t="s">
        <v>249</v>
      </c>
    </row>
    <row r="39" customFormat="false" ht="42" hidden="false" customHeight="true" outlineLevel="0" collapsed="false">
      <c r="A39" s="9" t="s">
        <v>227</v>
      </c>
      <c r="B39" s="9" t="s">
        <v>357</v>
      </c>
      <c r="C39" s="9" t="s">
        <v>358</v>
      </c>
      <c r="D39" s="8" t="s">
        <v>359</v>
      </c>
      <c r="E39" s="9" t="s">
        <v>134</v>
      </c>
      <c r="F39" s="9" t="s">
        <v>108</v>
      </c>
      <c r="G39" s="9" t="s">
        <v>109</v>
      </c>
      <c r="H39" s="9" t="s">
        <v>110</v>
      </c>
      <c r="I39" s="9" t="s">
        <v>135</v>
      </c>
      <c r="J39" s="9" t="s">
        <v>112</v>
      </c>
      <c r="K39" s="9" t="s">
        <v>136</v>
      </c>
      <c r="L39" s="9" t="s">
        <v>137</v>
      </c>
      <c r="M39" s="9" t="s">
        <v>230</v>
      </c>
      <c r="N39" s="8" t="s">
        <v>360</v>
      </c>
      <c r="O39" s="9" t="s">
        <v>361</v>
      </c>
      <c r="P39" s="9" t="s">
        <v>362</v>
      </c>
      <c r="Q39" s="9" t="s">
        <v>363</v>
      </c>
      <c r="R39" s="9" t="s">
        <v>120</v>
      </c>
      <c r="S39" s="9" t="s">
        <v>121</v>
      </c>
      <c r="T39" s="9" t="s">
        <v>122</v>
      </c>
      <c r="U39" s="9" t="s">
        <v>188</v>
      </c>
    </row>
    <row r="40" customFormat="false" ht="42" hidden="false" customHeight="true" outlineLevel="0" collapsed="false">
      <c r="A40" s="9" t="s">
        <v>227</v>
      </c>
      <c r="B40" s="9" t="s">
        <v>364</v>
      </c>
      <c r="C40" s="9" t="s">
        <v>365</v>
      </c>
      <c r="D40" s="8" t="s">
        <v>359</v>
      </c>
      <c r="E40" s="9" t="s">
        <v>134</v>
      </c>
      <c r="F40" s="9" t="s">
        <v>108</v>
      </c>
      <c r="G40" s="9" t="s">
        <v>109</v>
      </c>
      <c r="H40" s="9" t="s">
        <v>110</v>
      </c>
      <c r="I40" s="9" t="s">
        <v>135</v>
      </c>
      <c r="J40" s="9" t="s">
        <v>112</v>
      </c>
      <c r="K40" s="9" t="s">
        <v>136</v>
      </c>
      <c r="L40" s="9" t="s">
        <v>137</v>
      </c>
      <c r="M40" s="9" t="s">
        <v>230</v>
      </c>
      <c r="N40" s="8" t="s">
        <v>366</v>
      </c>
      <c r="O40" s="9" t="s">
        <v>367</v>
      </c>
      <c r="P40" s="9" t="s">
        <v>368</v>
      </c>
      <c r="Q40" s="9" t="s">
        <v>369</v>
      </c>
      <c r="R40" s="9" t="s">
        <v>120</v>
      </c>
      <c r="S40" s="9" t="s">
        <v>121</v>
      </c>
      <c r="T40" s="9" t="s">
        <v>122</v>
      </c>
      <c r="U40" s="9" t="s">
        <v>188</v>
      </c>
    </row>
    <row r="41" customFormat="false" ht="42" hidden="false" customHeight="true" outlineLevel="0" collapsed="false">
      <c r="A41" s="9" t="s">
        <v>227</v>
      </c>
      <c r="B41" s="9" t="s">
        <v>124</v>
      </c>
      <c r="C41" s="9" t="s">
        <v>370</v>
      </c>
      <c r="D41" s="8" t="s">
        <v>126</v>
      </c>
      <c r="E41" s="9" t="s">
        <v>107</v>
      </c>
      <c r="F41" s="9" t="s">
        <v>108</v>
      </c>
      <c r="G41" s="9" t="s">
        <v>109</v>
      </c>
      <c r="H41" s="9" t="s">
        <v>110</v>
      </c>
      <c r="I41" s="9" t="s">
        <v>111</v>
      </c>
      <c r="J41" s="9" t="s">
        <v>112</v>
      </c>
      <c r="K41" s="9" t="s">
        <v>113</v>
      </c>
      <c r="L41" s="9" t="s">
        <v>114</v>
      </c>
      <c r="M41" s="9" t="s">
        <v>230</v>
      </c>
      <c r="N41" s="8" t="s">
        <v>371</v>
      </c>
      <c r="O41" s="9" t="s">
        <v>372</v>
      </c>
      <c r="P41" s="9" t="s">
        <v>373</v>
      </c>
      <c r="Q41" s="9" t="s">
        <v>374</v>
      </c>
      <c r="R41" s="9" t="s">
        <v>120</v>
      </c>
      <c r="S41" s="9" t="s">
        <v>121</v>
      </c>
      <c r="T41" s="9" t="s">
        <v>122</v>
      </c>
      <c r="U41" s="9" t="s">
        <v>123</v>
      </c>
    </row>
    <row r="42" customFormat="false" ht="42" hidden="false" customHeight="true" outlineLevel="0" collapsed="false">
      <c r="A42" s="9" t="s">
        <v>227</v>
      </c>
      <c r="B42" s="9" t="s">
        <v>131</v>
      </c>
      <c r="C42" s="9" t="s">
        <v>375</v>
      </c>
      <c r="D42" s="9" t="s">
        <v>133</v>
      </c>
      <c r="E42" s="9" t="s">
        <v>134</v>
      </c>
      <c r="F42" s="9" t="s">
        <v>108</v>
      </c>
      <c r="G42" s="9" t="s">
        <v>109</v>
      </c>
      <c r="H42" s="9" t="s">
        <v>110</v>
      </c>
      <c r="I42" s="9" t="s">
        <v>135</v>
      </c>
      <c r="J42" s="9" t="s">
        <v>112</v>
      </c>
      <c r="K42" s="9" t="s">
        <v>136</v>
      </c>
      <c r="L42" s="9" t="s">
        <v>137</v>
      </c>
      <c r="M42" s="9" t="s">
        <v>230</v>
      </c>
      <c r="N42" s="8" t="s">
        <v>376</v>
      </c>
      <c r="O42" s="9" t="s">
        <v>377</v>
      </c>
      <c r="P42" s="9" t="s">
        <v>378</v>
      </c>
      <c r="Q42" s="9" t="s">
        <v>379</v>
      </c>
      <c r="R42" s="9" t="s">
        <v>120</v>
      </c>
      <c r="S42" s="9" t="s">
        <v>121</v>
      </c>
      <c r="T42" s="9" t="s">
        <v>122</v>
      </c>
      <c r="U42" s="9" t="s">
        <v>188</v>
      </c>
    </row>
    <row r="43" customFormat="false" ht="42" hidden="false" customHeight="true" outlineLevel="0" collapsed="false">
      <c r="A43" s="9" t="s">
        <v>227</v>
      </c>
      <c r="B43" s="9" t="s">
        <v>143</v>
      </c>
      <c r="C43" s="9" t="s">
        <v>380</v>
      </c>
      <c r="D43" s="9" t="s">
        <v>133</v>
      </c>
      <c r="E43" s="9" t="s">
        <v>145</v>
      </c>
      <c r="F43" s="9" t="s">
        <v>108</v>
      </c>
      <c r="G43" s="9" t="s">
        <v>109</v>
      </c>
      <c r="H43" s="9" t="s">
        <v>110</v>
      </c>
      <c r="I43" s="9" t="s">
        <v>135</v>
      </c>
      <c r="J43" s="9" t="s">
        <v>112</v>
      </c>
      <c r="K43" s="9" t="s">
        <v>146</v>
      </c>
      <c r="L43" s="9" t="s">
        <v>114</v>
      </c>
      <c r="M43" s="9" t="s">
        <v>230</v>
      </c>
      <c r="N43" s="8" t="s">
        <v>381</v>
      </c>
      <c r="O43" s="9" t="s">
        <v>382</v>
      </c>
      <c r="P43" s="9" t="s">
        <v>383</v>
      </c>
      <c r="Q43" s="9" t="s">
        <v>384</v>
      </c>
      <c r="R43" s="9" t="s">
        <v>120</v>
      </c>
      <c r="S43" s="9" t="s">
        <v>121</v>
      </c>
      <c r="T43" s="9" t="s">
        <v>122</v>
      </c>
      <c r="U43" s="9" t="s">
        <v>151</v>
      </c>
    </row>
    <row r="44" customFormat="false" ht="42" hidden="false" customHeight="true" outlineLevel="0" collapsed="false">
      <c r="A44" s="9" t="s">
        <v>227</v>
      </c>
      <c r="B44" s="9" t="s">
        <v>152</v>
      </c>
      <c r="C44" s="9" t="s">
        <v>385</v>
      </c>
      <c r="D44" s="8" t="s">
        <v>154</v>
      </c>
      <c r="E44" s="9" t="s">
        <v>145</v>
      </c>
      <c r="F44" s="9" t="s">
        <v>108</v>
      </c>
      <c r="G44" s="9" t="s">
        <v>109</v>
      </c>
      <c r="H44" s="9" t="s">
        <v>110</v>
      </c>
      <c r="I44" s="9" t="s">
        <v>111</v>
      </c>
      <c r="J44" s="9" t="s">
        <v>112</v>
      </c>
      <c r="K44" s="9" t="s">
        <v>146</v>
      </c>
      <c r="L44" s="9" t="s">
        <v>114</v>
      </c>
      <c r="M44" s="9" t="s">
        <v>230</v>
      </c>
      <c r="N44" s="8" t="s">
        <v>386</v>
      </c>
      <c r="O44" s="9" t="s">
        <v>387</v>
      </c>
      <c r="P44" s="9" t="s">
        <v>388</v>
      </c>
      <c r="Q44" s="9" t="s">
        <v>389</v>
      </c>
      <c r="R44" s="9" t="s">
        <v>120</v>
      </c>
      <c r="S44" s="9" t="s">
        <v>121</v>
      </c>
      <c r="T44" s="9" t="s">
        <v>122</v>
      </c>
      <c r="U44" s="9" t="s">
        <v>123</v>
      </c>
    </row>
    <row r="45" customFormat="false" ht="42" hidden="false" customHeight="true" outlineLevel="0" collapsed="false">
      <c r="A45" s="9" t="s">
        <v>227</v>
      </c>
      <c r="B45" s="9" t="s">
        <v>159</v>
      </c>
      <c r="C45" s="9" t="s">
        <v>390</v>
      </c>
      <c r="D45" s="8" t="s">
        <v>154</v>
      </c>
      <c r="E45" s="9" t="s">
        <v>145</v>
      </c>
      <c r="F45" s="9" t="s">
        <v>108</v>
      </c>
      <c r="G45" s="9" t="s">
        <v>109</v>
      </c>
      <c r="H45" s="9" t="s">
        <v>110</v>
      </c>
      <c r="I45" s="9" t="s">
        <v>135</v>
      </c>
      <c r="J45" s="9" t="s">
        <v>112</v>
      </c>
      <c r="K45" s="9" t="s">
        <v>146</v>
      </c>
      <c r="L45" s="9" t="s">
        <v>114</v>
      </c>
      <c r="M45" s="9" t="s">
        <v>230</v>
      </c>
      <c r="N45" s="8" t="s">
        <v>391</v>
      </c>
      <c r="O45" s="9" t="s">
        <v>392</v>
      </c>
      <c r="P45" s="9" t="s">
        <v>393</v>
      </c>
      <c r="Q45" s="9" t="s">
        <v>394</v>
      </c>
      <c r="R45" s="9" t="s">
        <v>120</v>
      </c>
      <c r="S45" s="9" t="s">
        <v>121</v>
      </c>
      <c r="T45" s="9" t="s">
        <v>122</v>
      </c>
      <c r="U45" s="9" t="s">
        <v>165</v>
      </c>
    </row>
    <row r="46" customFormat="false" ht="42" hidden="false" customHeight="true" outlineLevel="0" collapsed="false">
      <c r="A46" s="9" t="s">
        <v>227</v>
      </c>
      <c r="B46" s="9" t="s">
        <v>166</v>
      </c>
      <c r="C46" s="9" t="s">
        <v>395</v>
      </c>
      <c r="D46" s="8" t="s">
        <v>168</v>
      </c>
      <c r="E46" s="9" t="s">
        <v>134</v>
      </c>
      <c r="F46" s="9" t="s">
        <v>108</v>
      </c>
      <c r="G46" s="9" t="s">
        <v>109</v>
      </c>
      <c r="H46" s="9" t="s">
        <v>110</v>
      </c>
      <c r="I46" s="9" t="s">
        <v>135</v>
      </c>
      <c r="J46" s="9" t="s">
        <v>112</v>
      </c>
      <c r="K46" s="9" t="s">
        <v>136</v>
      </c>
      <c r="L46" s="9" t="s">
        <v>137</v>
      </c>
      <c r="M46" s="9" t="s">
        <v>230</v>
      </c>
      <c r="N46" s="8" t="s">
        <v>396</v>
      </c>
      <c r="O46" s="9" t="s">
        <v>397</v>
      </c>
      <c r="P46" s="9" t="s">
        <v>398</v>
      </c>
      <c r="Q46" s="9" t="s">
        <v>399</v>
      </c>
      <c r="R46" s="9" t="s">
        <v>120</v>
      </c>
      <c r="S46" s="9" t="s">
        <v>121</v>
      </c>
      <c r="T46" s="9" t="s">
        <v>122</v>
      </c>
      <c r="U46" s="9" t="s">
        <v>188</v>
      </c>
    </row>
    <row r="47" customFormat="false" ht="42" hidden="false" customHeight="true" outlineLevel="0" collapsed="false">
      <c r="A47" s="9" t="s">
        <v>227</v>
      </c>
      <c r="B47" s="9" t="s">
        <v>175</v>
      </c>
      <c r="C47" s="9" t="s">
        <v>400</v>
      </c>
      <c r="D47" s="8" t="s">
        <v>168</v>
      </c>
      <c r="E47" s="9" t="s">
        <v>145</v>
      </c>
      <c r="F47" s="9" t="s">
        <v>108</v>
      </c>
      <c r="G47" s="9" t="s">
        <v>109</v>
      </c>
      <c r="H47" s="9" t="s">
        <v>110</v>
      </c>
      <c r="I47" s="9" t="s">
        <v>135</v>
      </c>
      <c r="J47" s="9" t="s">
        <v>112</v>
      </c>
      <c r="K47" s="9" t="s">
        <v>146</v>
      </c>
      <c r="L47" s="9" t="s">
        <v>114</v>
      </c>
      <c r="M47" s="9" t="s">
        <v>230</v>
      </c>
      <c r="N47" s="8" t="s">
        <v>401</v>
      </c>
      <c r="O47" s="9" t="s">
        <v>402</v>
      </c>
      <c r="P47" s="9" t="s">
        <v>403</v>
      </c>
      <c r="Q47" s="9" t="s">
        <v>404</v>
      </c>
      <c r="R47" s="9" t="s">
        <v>120</v>
      </c>
      <c r="S47" s="9" t="s">
        <v>121</v>
      </c>
      <c r="T47" s="9" t="s">
        <v>122</v>
      </c>
      <c r="U47" s="9" t="s">
        <v>123</v>
      </c>
    </row>
    <row r="48" customFormat="false" ht="42" hidden="false" customHeight="true" outlineLevel="0" collapsed="false">
      <c r="A48" s="9" t="s">
        <v>227</v>
      </c>
      <c r="B48" s="9" t="s">
        <v>181</v>
      </c>
      <c r="C48" s="9" t="s">
        <v>405</v>
      </c>
      <c r="D48" s="8" t="s">
        <v>183</v>
      </c>
      <c r="E48" s="9" t="s">
        <v>145</v>
      </c>
      <c r="F48" s="9" t="s">
        <v>108</v>
      </c>
      <c r="G48" s="9" t="s">
        <v>109</v>
      </c>
      <c r="H48" s="9" t="s">
        <v>110</v>
      </c>
      <c r="I48" s="9" t="s">
        <v>135</v>
      </c>
      <c r="J48" s="9" t="s">
        <v>112</v>
      </c>
      <c r="K48" s="9" t="s">
        <v>146</v>
      </c>
      <c r="L48" s="9" t="s">
        <v>114</v>
      </c>
      <c r="M48" s="9" t="s">
        <v>230</v>
      </c>
      <c r="N48" s="8" t="s">
        <v>406</v>
      </c>
      <c r="O48" s="9" t="s">
        <v>407</v>
      </c>
      <c r="P48" s="9" t="s">
        <v>408</v>
      </c>
      <c r="Q48" s="9" t="s">
        <v>409</v>
      </c>
      <c r="R48" s="9" t="s">
        <v>120</v>
      </c>
      <c r="S48" s="9" t="s">
        <v>121</v>
      </c>
      <c r="T48" s="9" t="s">
        <v>122</v>
      </c>
      <c r="U48" s="9" t="s">
        <v>188</v>
      </c>
    </row>
    <row r="49" customFormat="false" ht="42" hidden="false" customHeight="true" outlineLevel="0" collapsed="false">
      <c r="A49" s="9" t="s">
        <v>227</v>
      </c>
      <c r="B49" s="9" t="s">
        <v>189</v>
      </c>
      <c r="C49" s="9" t="s">
        <v>410</v>
      </c>
      <c r="D49" s="8" t="s">
        <v>183</v>
      </c>
      <c r="E49" s="9" t="s">
        <v>145</v>
      </c>
      <c r="F49" s="9" t="s">
        <v>108</v>
      </c>
      <c r="G49" s="9" t="s">
        <v>109</v>
      </c>
      <c r="H49" s="9" t="s">
        <v>110</v>
      </c>
      <c r="I49" s="9" t="s">
        <v>135</v>
      </c>
      <c r="J49" s="9" t="s">
        <v>112</v>
      </c>
      <c r="K49" s="9" t="s">
        <v>146</v>
      </c>
      <c r="L49" s="9" t="s">
        <v>114</v>
      </c>
      <c r="M49" s="9" t="s">
        <v>230</v>
      </c>
      <c r="N49" s="8" t="s">
        <v>411</v>
      </c>
      <c r="O49" s="9" t="s">
        <v>412</v>
      </c>
      <c r="P49" s="9" t="s">
        <v>413</v>
      </c>
      <c r="Q49" s="9" t="s">
        <v>414</v>
      </c>
      <c r="R49" s="9" t="s">
        <v>120</v>
      </c>
      <c r="S49" s="9" t="s">
        <v>121</v>
      </c>
      <c r="T49" s="9" t="s">
        <v>122</v>
      </c>
      <c r="U49" s="9" t="s">
        <v>188</v>
      </c>
    </row>
    <row r="50" customFormat="false" ht="42" hidden="false" customHeight="true" outlineLevel="0" collapsed="false">
      <c r="A50" s="9" t="s">
        <v>227</v>
      </c>
      <c r="B50" s="9" t="s">
        <v>195</v>
      </c>
      <c r="C50" s="9" t="s">
        <v>415</v>
      </c>
      <c r="D50" s="8" t="s">
        <v>154</v>
      </c>
      <c r="E50" s="9" t="s">
        <v>145</v>
      </c>
      <c r="F50" s="9" t="s">
        <v>108</v>
      </c>
      <c r="G50" s="9" t="s">
        <v>109</v>
      </c>
      <c r="H50" s="9" t="s">
        <v>110</v>
      </c>
      <c r="I50" s="9" t="s">
        <v>111</v>
      </c>
      <c r="J50" s="9" t="s">
        <v>112</v>
      </c>
      <c r="K50" s="9" t="s">
        <v>146</v>
      </c>
      <c r="L50" s="9" t="s">
        <v>114</v>
      </c>
      <c r="M50" s="9" t="s">
        <v>230</v>
      </c>
      <c r="N50" s="8" t="s">
        <v>416</v>
      </c>
      <c r="O50" s="9" t="s">
        <v>417</v>
      </c>
      <c r="P50" s="9" t="s">
        <v>418</v>
      </c>
      <c r="Q50" s="9" t="s">
        <v>419</v>
      </c>
      <c r="R50" s="9" t="s">
        <v>120</v>
      </c>
      <c r="S50" s="9" t="s">
        <v>121</v>
      </c>
      <c r="T50" s="9" t="s">
        <v>122</v>
      </c>
      <c r="U50" s="9" t="s">
        <v>188</v>
      </c>
    </row>
    <row r="51" customFormat="false" ht="42" hidden="false" customHeight="true" outlineLevel="0" collapsed="false">
      <c r="A51" s="9" t="s">
        <v>227</v>
      </c>
      <c r="B51" s="9" t="s">
        <v>201</v>
      </c>
      <c r="C51" s="9" t="s">
        <v>420</v>
      </c>
      <c r="D51" s="8" t="s">
        <v>106</v>
      </c>
      <c r="E51" s="9" t="s">
        <v>203</v>
      </c>
      <c r="F51" s="9" t="s">
        <v>108</v>
      </c>
      <c r="G51" s="9" t="s">
        <v>109</v>
      </c>
      <c r="H51" s="9" t="s">
        <v>110</v>
      </c>
      <c r="I51" s="9" t="s">
        <v>111</v>
      </c>
      <c r="J51" s="9" t="s">
        <v>112</v>
      </c>
      <c r="K51" s="9" t="s">
        <v>204</v>
      </c>
      <c r="L51" s="9" t="s">
        <v>114</v>
      </c>
      <c r="M51" s="9" t="s">
        <v>230</v>
      </c>
      <c r="N51" s="8" t="s">
        <v>421</v>
      </c>
      <c r="O51" s="9" t="s">
        <v>422</v>
      </c>
      <c r="P51" s="9" t="s">
        <v>423</v>
      </c>
      <c r="Q51" s="9" t="s">
        <v>424</v>
      </c>
      <c r="R51" s="9" t="s">
        <v>120</v>
      </c>
      <c r="S51" s="9" t="s">
        <v>121</v>
      </c>
      <c r="T51" s="9" t="s">
        <v>122</v>
      </c>
      <c r="U51" s="9" t="s">
        <v>123</v>
      </c>
    </row>
    <row r="52" customFormat="false" ht="42" hidden="false" customHeight="true" outlineLevel="0" collapsed="false">
      <c r="A52" s="9" t="s">
        <v>227</v>
      </c>
      <c r="B52" s="9" t="s">
        <v>215</v>
      </c>
      <c r="C52" s="9" t="s">
        <v>425</v>
      </c>
      <c r="D52" s="8" t="s">
        <v>126</v>
      </c>
      <c r="E52" s="9" t="s">
        <v>145</v>
      </c>
      <c r="F52" s="9" t="s">
        <v>108</v>
      </c>
      <c r="G52" s="9" t="s">
        <v>109</v>
      </c>
      <c r="H52" s="9" t="s">
        <v>110</v>
      </c>
      <c r="I52" s="9" t="s">
        <v>111</v>
      </c>
      <c r="J52" s="9" t="s">
        <v>112</v>
      </c>
      <c r="K52" s="9" t="s">
        <v>146</v>
      </c>
      <c r="L52" s="9" t="s">
        <v>114</v>
      </c>
      <c r="M52" s="9" t="s">
        <v>230</v>
      </c>
      <c r="N52" s="8" t="s">
        <v>426</v>
      </c>
      <c r="O52" s="9" t="s">
        <v>427</v>
      </c>
      <c r="P52" s="9" t="s">
        <v>428</v>
      </c>
      <c r="Q52" s="9" t="s">
        <v>429</v>
      </c>
      <c r="R52" s="9" t="s">
        <v>120</v>
      </c>
      <c r="S52" s="9" t="s">
        <v>121</v>
      </c>
      <c r="T52" s="9" t="s">
        <v>122</v>
      </c>
      <c r="U52" s="9" t="s">
        <v>123</v>
      </c>
    </row>
    <row r="53" customFormat="false" ht="42" hidden="false" customHeight="true" outlineLevel="0" collapsed="false">
      <c r="A53" s="9" t="s">
        <v>227</v>
      </c>
      <c r="B53" s="9" t="s">
        <v>221</v>
      </c>
      <c r="C53" s="9" t="s">
        <v>430</v>
      </c>
      <c r="D53" s="8" t="s">
        <v>126</v>
      </c>
      <c r="E53" s="9" t="s">
        <v>145</v>
      </c>
      <c r="F53" s="9" t="s">
        <v>108</v>
      </c>
      <c r="G53" s="9" t="s">
        <v>109</v>
      </c>
      <c r="H53" s="9" t="s">
        <v>110</v>
      </c>
      <c r="I53" s="9" t="s">
        <v>111</v>
      </c>
      <c r="J53" s="9" t="s">
        <v>112</v>
      </c>
      <c r="K53" s="9" t="s">
        <v>146</v>
      </c>
      <c r="L53" s="9" t="s">
        <v>114</v>
      </c>
      <c r="M53" s="9" t="s">
        <v>230</v>
      </c>
      <c r="N53" s="8" t="s">
        <v>431</v>
      </c>
      <c r="O53" s="9" t="s">
        <v>432</v>
      </c>
      <c r="P53" s="9" t="s">
        <v>433</v>
      </c>
      <c r="Q53" s="9" t="s">
        <v>434</v>
      </c>
      <c r="R53" s="9" t="s">
        <v>120</v>
      </c>
      <c r="S53" s="9" t="s">
        <v>121</v>
      </c>
      <c r="T53" s="9" t="s">
        <v>122</v>
      </c>
      <c r="U53" s="9" t="s">
        <v>123</v>
      </c>
    </row>
    <row r="54" customFormat="false" ht="42" hidden="false" customHeight="true" outlineLevel="0" collapsed="false">
      <c r="A54" s="9" t="s">
        <v>227</v>
      </c>
      <c r="B54" s="9" t="s">
        <v>435</v>
      </c>
      <c r="C54" s="9" t="s">
        <v>436</v>
      </c>
      <c r="D54" s="8" t="s">
        <v>126</v>
      </c>
      <c r="E54" s="9" t="s">
        <v>145</v>
      </c>
      <c r="F54" s="9" t="s">
        <v>108</v>
      </c>
      <c r="G54" s="9" t="s">
        <v>109</v>
      </c>
      <c r="H54" s="9" t="s">
        <v>110</v>
      </c>
      <c r="I54" s="9" t="s">
        <v>111</v>
      </c>
      <c r="J54" s="9" t="s">
        <v>112</v>
      </c>
      <c r="K54" s="9" t="s">
        <v>146</v>
      </c>
      <c r="L54" s="9" t="s">
        <v>114</v>
      </c>
      <c r="M54" s="9" t="s">
        <v>230</v>
      </c>
      <c r="N54" s="8" t="s">
        <v>437</v>
      </c>
      <c r="O54" s="9" t="s">
        <v>438</v>
      </c>
      <c r="P54" s="9" t="s">
        <v>439</v>
      </c>
      <c r="Q54" s="9" t="s">
        <v>440</v>
      </c>
      <c r="R54" s="9" t="s">
        <v>120</v>
      </c>
      <c r="S54" s="9" t="s">
        <v>121</v>
      </c>
      <c r="T54" s="9" t="s">
        <v>122</v>
      </c>
      <c r="U54" s="9" t="s">
        <v>123</v>
      </c>
    </row>
    <row r="55" customFormat="false" ht="42" hidden="false" customHeight="true" outlineLevel="0" collapsed="false">
      <c r="A55" s="9" t="s">
        <v>227</v>
      </c>
      <c r="B55" s="9" t="s">
        <v>441</v>
      </c>
      <c r="C55" s="9" t="s">
        <v>442</v>
      </c>
      <c r="D55" s="9" t="s">
        <v>133</v>
      </c>
      <c r="E55" s="9" t="s">
        <v>134</v>
      </c>
      <c r="F55" s="9" t="s">
        <v>443</v>
      </c>
      <c r="G55" s="9" t="s">
        <v>109</v>
      </c>
      <c r="H55" s="9" t="s">
        <v>110</v>
      </c>
      <c r="I55" s="9" t="s">
        <v>111</v>
      </c>
      <c r="J55" s="9" t="s">
        <v>112</v>
      </c>
      <c r="K55" s="9" t="s">
        <v>136</v>
      </c>
      <c r="L55" s="9" t="s">
        <v>137</v>
      </c>
      <c r="M55" s="9" t="s">
        <v>230</v>
      </c>
      <c r="N55" s="8" t="s">
        <v>444</v>
      </c>
      <c r="O55" s="9" t="s">
        <v>445</v>
      </c>
      <c r="P55" s="9" t="s">
        <v>446</v>
      </c>
      <c r="Q55" s="9" t="s">
        <v>447</v>
      </c>
      <c r="R55" s="9" t="s">
        <v>120</v>
      </c>
      <c r="S55" s="9" t="s">
        <v>121</v>
      </c>
      <c r="T55" s="9" t="s">
        <v>122</v>
      </c>
      <c r="U55" s="9" t="s">
        <v>188</v>
      </c>
    </row>
    <row r="56" customFormat="false" ht="42" hidden="false" customHeight="true" outlineLevel="0" collapsed="false">
      <c r="A56" s="9" t="s">
        <v>448</v>
      </c>
      <c r="B56" s="9" t="s">
        <v>449</v>
      </c>
      <c r="C56" s="9" t="s">
        <v>450</v>
      </c>
      <c r="D56" s="8" t="s">
        <v>451</v>
      </c>
      <c r="E56" s="9" t="s">
        <v>452</v>
      </c>
      <c r="F56" s="9" t="s">
        <v>453</v>
      </c>
      <c r="G56" s="9" t="s">
        <v>454</v>
      </c>
      <c r="H56" s="9" t="s">
        <v>455</v>
      </c>
      <c r="I56" s="9" t="s">
        <v>456</v>
      </c>
      <c r="J56" s="9" t="s">
        <v>112</v>
      </c>
      <c r="K56" s="9" t="s">
        <v>457</v>
      </c>
      <c r="L56" s="9" t="s">
        <v>458</v>
      </c>
      <c r="M56" s="9" t="s">
        <v>459</v>
      </c>
      <c r="N56" s="8" t="s">
        <v>460</v>
      </c>
      <c r="O56" s="8"/>
      <c r="P56" s="8"/>
      <c r="Q56" s="8"/>
      <c r="R56" s="9" t="s">
        <v>461</v>
      </c>
      <c r="S56" s="9" t="s">
        <v>462</v>
      </c>
      <c r="T56" s="9" t="s">
        <v>463</v>
      </c>
      <c r="U56" s="8"/>
    </row>
    <row r="57" customFormat="false" ht="42" hidden="false" customHeight="true" outlineLevel="0" collapsed="false">
      <c r="A57" s="9" t="s">
        <v>448</v>
      </c>
      <c r="B57" s="9" t="s">
        <v>464</v>
      </c>
      <c r="C57" s="9" t="s">
        <v>465</v>
      </c>
      <c r="D57" s="8" t="s">
        <v>451</v>
      </c>
      <c r="E57" s="9" t="s">
        <v>452</v>
      </c>
      <c r="F57" s="9" t="s">
        <v>453</v>
      </c>
      <c r="G57" s="9" t="s">
        <v>454</v>
      </c>
      <c r="H57" s="9" t="s">
        <v>455</v>
      </c>
      <c r="I57" s="9" t="s">
        <v>456</v>
      </c>
      <c r="J57" s="9" t="s">
        <v>112</v>
      </c>
      <c r="K57" s="9" t="s">
        <v>457</v>
      </c>
      <c r="L57" s="9" t="s">
        <v>458</v>
      </c>
      <c r="M57" s="9" t="s">
        <v>459</v>
      </c>
      <c r="N57" s="8" t="s">
        <v>466</v>
      </c>
      <c r="O57" s="8"/>
      <c r="P57" s="8"/>
      <c r="Q57" s="8"/>
      <c r="R57" s="9" t="s">
        <v>461</v>
      </c>
      <c r="S57" s="9" t="s">
        <v>462</v>
      </c>
      <c r="T57" s="9" t="s">
        <v>463</v>
      </c>
      <c r="U57" s="8"/>
    </row>
    <row r="58" customFormat="false" ht="42" hidden="false" customHeight="true" outlineLevel="0" collapsed="false">
      <c r="A58" s="9" t="s">
        <v>448</v>
      </c>
      <c r="B58" s="9" t="s">
        <v>467</v>
      </c>
      <c r="C58" s="9" t="s">
        <v>468</v>
      </c>
      <c r="D58" s="8" t="s">
        <v>451</v>
      </c>
      <c r="E58" s="9" t="s">
        <v>452</v>
      </c>
      <c r="F58" s="9" t="s">
        <v>453</v>
      </c>
      <c r="G58" s="9" t="s">
        <v>454</v>
      </c>
      <c r="H58" s="9" t="s">
        <v>455</v>
      </c>
      <c r="I58" s="9" t="s">
        <v>456</v>
      </c>
      <c r="J58" s="9" t="s">
        <v>112</v>
      </c>
      <c r="K58" s="9" t="s">
        <v>457</v>
      </c>
      <c r="L58" s="9" t="s">
        <v>458</v>
      </c>
      <c r="M58" s="9" t="s">
        <v>459</v>
      </c>
      <c r="N58" s="8" t="s">
        <v>469</v>
      </c>
      <c r="O58" s="8"/>
      <c r="P58" s="8"/>
      <c r="Q58" s="8"/>
      <c r="R58" s="9" t="s">
        <v>461</v>
      </c>
      <c r="S58" s="9" t="s">
        <v>462</v>
      </c>
      <c r="T58" s="9" t="s">
        <v>463</v>
      </c>
      <c r="U58" s="8"/>
    </row>
    <row r="59" customFormat="false" ht="42" hidden="false" customHeight="true" outlineLevel="0" collapsed="false">
      <c r="A59" s="9" t="s">
        <v>448</v>
      </c>
      <c r="B59" s="9" t="s">
        <v>470</v>
      </c>
      <c r="C59" s="9" t="s">
        <v>471</v>
      </c>
      <c r="D59" s="8" t="s">
        <v>451</v>
      </c>
      <c r="E59" s="9" t="s">
        <v>452</v>
      </c>
      <c r="F59" s="9" t="s">
        <v>453</v>
      </c>
      <c r="G59" s="9" t="s">
        <v>454</v>
      </c>
      <c r="H59" s="9" t="s">
        <v>455</v>
      </c>
      <c r="I59" s="9" t="s">
        <v>456</v>
      </c>
      <c r="J59" s="9" t="s">
        <v>112</v>
      </c>
      <c r="K59" s="9" t="s">
        <v>457</v>
      </c>
      <c r="L59" s="9" t="s">
        <v>458</v>
      </c>
      <c r="M59" s="9" t="s">
        <v>459</v>
      </c>
      <c r="N59" s="8" t="s">
        <v>472</v>
      </c>
      <c r="O59" s="8"/>
      <c r="P59" s="8"/>
      <c r="Q59" s="8"/>
      <c r="R59" s="9" t="s">
        <v>461</v>
      </c>
      <c r="S59" s="9" t="s">
        <v>462</v>
      </c>
      <c r="T59" s="9" t="s">
        <v>463</v>
      </c>
      <c r="U59" s="8"/>
    </row>
    <row r="60" customFormat="false" ht="42" hidden="false" customHeight="true" outlineLevel="0" collapsed="false">
      <c r="A60" s="9" t="s">
        <v>448</v>
      </c>
      <c r="B60" s="9" t="s">
        <v>473</v>
      </c>
      <c r="C60" s="9" t="s">
        <v>474</v>
      </c>
      <c r="D60" s="8" t="s">
        <v>451</v>
      </c>
      <c r="E60" s="9" t="s">
        <v>452</v>
      </c>
      <c r="F60" s="9" t="s">
        <v>453</v>
      </c>
      <c r="G60" s="9" t="s">
        <v>454</v>
      </c>
      <c r="H60" s="9" t="s">
        <v>455</v>
      </c>
      <c r="I60" s="9" t="s">
        <v>456</v>
      </c>
      <c r="J60" s="9" t="s">
        <v>112</v>
      </c>
      <c r="K60" s="9" t="s">
        <v>457</v>
      </c>
      <c r="L60" s="9" t="s">
        <v>458</v>
      </c>
      <c r="M60" s="9" t="s">
        <v>459</v>
      </c>
      <c r="N60" s="8" t="s">
        <v>475</v>
      </c>
      <c r="O60" s="8"/>
      <c r="P60" s="8"/>
      <c r="Q60" s="8"/>
      <c r="R60" s="9" t="s">
        <v>461</v>
      </c>
      <c r="S60" s="9" t="s">
        <v>462</v>
      </c>
      <c r="T60" s="9" t="s">
        <v>463</v>
      </c>
      <c r="U60" s="8"/>
    </row>
    <row r="61" customFormat="false" ht="42" hidden="false" customHeight="true" outlineLevel="0" collapsed="false">
      <c r="A61" s="9" t="s">
        <v>448</v>
      </c>
      <c r="B61" s="9" t="s">
        <v>476</v>
      </c>
      <c r="C61" s="9" t="s">
        <v>477</v>
      </c>
      <c r="D61" s="8" t="s">
        <v>451</v>
      </c>
      <c r="E61" s="9" t="s">
        <v>452</v>
      </c>
      <c r="F61" s="9" t="s">
        <v>453</v>
      </c>
      <c r="G61" s="9" t="s">
        <v>454</v>
      </c>
      <c r="H61" s="9" t="s">
        <v>455</v>
      </c>
      <c r="I61" s="9" t="s">
        <v>456</v>
      </c>
      <c r="J61" s="9" t="s">
        <v>112</v>
      </c>
      <c r="K61" s="9" t="s">
        <v>457</v>
      </c>
      <c r="L61" s="9" t="s">
        <v>458</v>
      </c>
      <c r="M61" s="9" t="s">
        <v>459</v>
      </c>
      <c r="N61" s="8" t="s">
        <v>478</v>
      </c>
      <c r="O61" s="8"/>
      <c r="P61" s="8"/>
      <c r="Q61" s="8"/>
      <c r="R61" s="9" t="s">
        <v>461</v>
      </c>
      <c r="S61" s="9" t="s">
        <v>462</v>
      </c>
      <c r="T61" s="9" t="s">
        <v>463</v>
      </c>
      <c r="U61" s="8"/>
    </row>
    <row r="62" customFormat="false" ht="42" hidden="false" customHeight="true" outlineLevel="0" collapsed="false">
      <c r="A62" s="9" t="s">
        <v>448</v>
      </c>
      <c r="B62" s="9" t="s">
        <v>479</v>
      </c>
      <c r="C62" s="9" t="s">
        <v>480</v>
      </c>
      <c r="D62" s="8" t="s">
        <v>183</v>
      </c>
      <c r="E62" s="9" t="s">
        <v>452</v>
      </c>
      <c r="F62" s="9" t="s">
        <v>453</v>
      </c>
      <c r="G62" s="9" t="s">
        <v>454</v>
      </c>
      <c r="H62" s="9" t="s">
        <v>455</v>
      </c>
      <c r="I62" s="9" t="s">
        <v>456</v>
      </c>
      <c r="J62" s="9" t="s">
        <v>112</v>
      </c>
      <c r="K62" s="9" t="s">
        <v>457</v>
      </c>
      <c r="L62" s="9" t="s">
        <v>458</v>
      </c>
      <c r="M62" s="9" t="s">
        <v>459</v>
      </c>
      <c r="N62" s="8" t="s">
        <v>481</v>
      </c>
      <c r="O62" s="8"/>
      <c r="P62" s="8"/>
      <c r="Q62" s="8"/>
      <c r="R62" s="9" t="s">
        <v>461</v>
      </c>
      <c r="S62" s="9" t="s">
        <v>462</v>
      </c>
      <c r="T62" s="9" t="s">
        <v>463</v>
      </c>
      <c r="U62" s="8"/>
    </row>
    <row r="63" customFormat="false" ht="42" hidden="false" customHeight="true" outlineLevel="0" collapsed="false">
      <c r="A63" s="9" t="s">
        <v>448</v>
      </c>
      <c r="B63" s="9" t="s">
        <v>482</v>
      </c>
      <c r="C63" s="9" t="s">
        <v>483</v>
      </c>
      <c r="D63" s="8" t="s">
        <v>183</v>
      </c>
      <c r="E63" s="9" t="s">
        <v>452</v>
      </c>
      <c r="F63" s="9" t="s">
        <v>453</v>
      </c>
      <c r="G63" s="9" t="s">
        <v>454</v>
      </c>
      <c r="H63" s="9" t="s">
        <v>455</v>
      </c>
      <c r="I63" s="9" t="s">
        <v>456</v>
      </c>
      <c r="J63" s="9" t="s">
        <v>112</v>
      </c>
      <c r="K63" s="9" t="s">
        <v>457</v>
      </c>
      <c r="L63" s="9" t="s">
        <v>458</v>
      </c>
      <c r="M63" s="9" t="s">
        <v>459</v>
      </c>
      <c r="N63" s="8" t="s">
        <v>484</v>
      </c>
      <c r="O63" s="8"/>
      <c r="P63" s="8"/>
      <c r="Q63" s="8"/>
      <c r="R63" s="9" t="s">
        <v>461</v>
      </c>
      <c r="S63" s="9" t="s">
        <v>462</v>
      </c>
      <c r="T63" s="9" t="s">
        <v>463</v>
      </c>
      <c r="U63" s="8"/>
    </row>
    <row r="64" customFormat="false" ht="42" hidden="false" customHeight="true" outlineLevel="0" collapsed="false">
      <c r="A64" s="9" t="s">
        <v>448</v>
      </c>
      <c r="B64" s="9" t="s">
        <v>485</v>
      </c>
      <c r="C64" s="9" t="s">
        <v>486</v>
      </c>
      <c r="D64" s="8" t="s">
        <v>237</v>
      </c>
      <c r="E64" s="9" t="s">
        <v>452</v>
      </c>
      <c r="F64" s="9" t="s">
        <v>453</v>
      </c>
      <c r="G64" s="9" t="s">
        <v>454</v>
      </c>
      <c r="H64" s="9" t="s">
        <v>455</v>
      </c>
      <c r="I64" s="9" t="s">
        <v>456</v>
      </c>
      <c r="J64" s="9" t="s">
        <v>112</v>
      </c>
      <c r="K64" s="9" t="s">
        <v>457</v>
      </c>
      <c r="L64" s="9" t="s">
        <v>458</v>
      </c>
      <c r="M64" s="9" t="s">
        <v>459</v>
      </c>
      <c r="N64" s="8" t="s">
        <v>487</v>
      </c>
      <c r="O64" s="8"/>
      <c r="P64" s="8"/>
      <c r="Q64" s="8"/>
      <c r="R64" s="9" t="s">
        <v>461</v>
      </c>
      <c r="S64" s="9" t="s">
        <v>462</v>
      </c>
      <c r="T64" s="9" t="s">
        <v>463</v>
      </c>
      <c r="U64" s="8"/>
    </row>
    <row r="65" customFormat="false" ht="42" hidden="false" customHeight="true" outlineLevel="0" collapsed="false">
      <c r="A65" s="9" t="s">
        <v>448</v>
      </c>
      <c r="B65" s="9" t="s">
        <v>488</v>
      </c>
      <c r="C65" s="9" t="s">
        <v>489</v>
      </c>
      <c r="D65" s="8" t="s">
        <v>277</v>
      </c>
      <c r="E65" s="9" t="s">
        <v>452</v>
      </c>
      <c r="F65" s="9" t="s">
        <v>453</v>
      </c>
      <c r="G65" s="9" t="s">
        <v>454</v>
      </c>
      <c r="H65" s="9" t="s">
        <v>455</v>
      </c>
      <c r="I65" s="9" t="s">
        <v>456</v>
      </c>
      <c r="J65" s="9" t="s">
        <v>112</v>
      </c>
      <c r="K65" s="9" t="s">
        <v>457</v>
      </c>
      <c r="L65" s="9" t="s">
        <v>458</v>
      </c>
      <c r="M65" s="9" t="s">
        <v>459</v>
      </c>
      <c r="N65" s="8" t="s">
        <v>490</v>
      </c>
      <c r="O65" s="8"/>
      <c r="P65" s="8"/>
      <c r="Q65" s="8"/>
      <c r="R65" s="9" t="s">
        <v>461</v>
      </c>
      <c r="S65" s="9" t="s">
        <v>462</v>
      </c>
      <c r="T65" s="9" t="s">
        <v>463</v>
      </c>
      <c r="U65" s="8"/>
    </row>
    <row r="66" customFormat="false" ht="42" hidden="false" customHeight="true" outlineLevel="0" collapsed="false">
      <c r="A66" s="9" t="s">
        <v>448</v>
      </c>
      <c r="B66" s="9" t="s">
        <v>491</v>
      </c>
      <c r="C66" s="9" t="s">
        <v>492</v>
      </c>
      <c r="D66" s="8" t="s">
        <v>277</v>
      </c>
      <c r="E66" s="9" t="s">
        <v>452</v>
      </c>
      <c r="F66" s="9" t="s">
        <v>453</v>
      </c>
      <c r="G66" s="9" t="s">
        <v>454</v>
      </c>
      <c r="H66" s="9" t="s">
        <v>455</v>
      </c>
      <c r="I66" s="9" t="s">
        <v>456</v>
      </c>
      <c r="J66" s="9" t="s">
        <v>112</v>
      </c>
      <c r="K66" s="9" t="s">
        <v>457</v>
      </c>
      <c r="L66" s="9" t="s">
        <v>458</v>
      </c>
      <c r="M66" s="9" t="s">
        <v>459</v>
      </c>
      <c r="N66" s="8" t="s">
        <v>493</v>
      </c>
      <c r="O66" s="8"/>
      <c r="P66" s="8"/>
      <c r="Q66" s="8"/>
      <c r="R66" s="9" t="s">
        <v>461</v>
      </c>
      <c r="S66" s="9" t="s">
        <v>462</v>
      </c>
      <c r="T66" s="9" t="s">
        <v>463</v>
      </c>
      <c r="U66" s="8"/>
    </row>
    <row r="67" customFormat="false" ht="42" hidden="false" customHeight="true" outlineLevel="0" collapsed="false">
      <c r="A67" s="9" t="s">
        <v>448</v>
      </c>
      <c r="B67" s="9" t="s">
        <v>494</v>
      </c>
      <c r="C67" s="9" t="s">
        <v>495</v>
      </c>
      <c r="D67" s="8" t="s">
        <v>183</v>
      </c>
      <c r="E67" s="9" t="s">
        <v>452</v>
      </c>
      <c r="F67" s="9" t="s">
        <v>453</v>
      </c>
      <c r="G67" s="9" t="s">
        <v>454</v>
      </c>
      <c r="H67" s="9" t="s">
        <v>455</v>
      </c>
      <c r="I67" s="9" t="s">
        <v>456</v>
      </c>
      <c r="J67" s="9" t="s">
        <v>112</v>
      </c>
      <c r="K67" s="9" t="s">
        <v>457</v>
      </c>
      <c r="L67" s="9" t="s">
        <v>458</v>
      </c>
      <c r="M67" s="9" t="s">
        <v>459</v>
      </c>
      <c r="N67" s="8" t="s">
        <v>496</v>
      </c>
      <c r="O67" s="8"/>
      <c r="P67" s="8"/>
      <c r="Q67" s="8"/>
      <c r="R67" s="9" t="s">
        <v>461</v>
      </c>
      <c r="S67" s="9" t="s">
        <v>462</v>
      </c>
      <c r="T67" s="9" t="s">
        <v>463</v>
      </c>
      <c r="U67" s="8"/>
    </row>
    <row r="68" customFormat="false" ht="42" hidden="false" customHeight="true" outlineLevel="0" collapsed="false">
      <c r="A68" s="9" t="s">
        <v>448</v>
      </c>
      <c r="B68" s="9" t="s">
        <v>497</v>
      </c>
      <c r="C68" s="9" t="s">
        <v>498</v>
      </c>
      <c r="D68" s="8" t="s">
        <v>183</v>
      </c>
      <c r="E68" s="9" t="s">
        <v>452</v>
      </c>
      <c r="F68" s="9" t="s">
        <v>453</v>
      </c>
      <c r="G68" s="9" t="s">
        <v>454</v>
      </c>
      <c r="H68" s="9" t="s">
        <v>455</v>
      </c>
      <c r="I68" s="9" t="s">
        <v>456</v>
      </c>
      <c r="J68" s="9" t="s">
        <v>112</v>
      </c>
      <c r="K68" s="9" t="s">
        <v>457</v>
      </c>
      <c r="L68" s="9" t="s">
        <v>458</v>
      </c>
      <c r="M68" s="9" t="s">
        <v>459</v>
      </c>
      <c r="N68" s="8" t="s">
        <v>499</v>
      </c>
      <c r="O68" s="8"/>
      <c r="P68" s="8"/>
      <c r="Q68" s="8"/>
      <c r="R68" s="9" t="s">
        <v>461</v>
      </c>
      <c r="S68" s="9" t="s">
        <v>462</v>
      </c>
      <c r="T68" s="9" t="s">
        <v>463</v>
      </c>
      <c r="U68" s="8"/>
    </row>
    <row r="69" customFormat="false" ht="42" hidden="false" customHeight="true" outlineLevel="0" collapsed="false">
      <c r="A69" s="9" t="s">
        <v>448</v>
      </c>
      <c r="B69" s="9" t="s">
        <v>500</v>
      </c>
      <c r="C69" s="9" t="s">
        <v>501</v>
      </c>
      <c r="D69" s="8" t="s">
        <v>183</v>
      </c>
      <c r="E69" s="9" t="s">
        <v>452</v>
      </c>
      <c r="F69" s="9" t="s">
        <v>453</v>
      </c>
      <c r="G69" s="9" t="s">
        <v>454</v>
      </c>
      <c r="H69" s="9" t="s">
        <v>455</v>
      </c>
      <c r="I69" s="9" t="s">
        <v>456</v>
      </c>
      <c r="J69" s="9" t="s">
        <v>112</v>
      </c>
      <c r="K69" s="9" t="s">
        <v>457</v>
      </c>
      <c r="L69" s="9" t="s">
        <v>458</v>
      </c>
      <c r="M69" s="9" t="s">
        <v>459</v>
      </c>
      <c r="N69" s="8" t="s">
        <v>502</v>
      </c>
      <c r="O69" s="8"/>
      <c r="P69" s="8"/>
      <c r="Q69" s="8"/>
      <c r="R69" s="9" t="s">
        <v>461</v>
      </c>
      <c r="S69" s="9" t="s">
        <v>462</v>
      </c>
      <c r="T69" s="9" t="s">
        <v>463</v>
      </c>
      <c r="U69" s="8"/>
    </row>
    <row r="70" customFormat="false" ht="42" hidden="false" customHeight="true" outlineLevel="0" collapsed="false">
      <c r="A70" s="9" t="s">
        <v>448</v>
      </c>
      <c r="B70" s="9" t="s">
        <v>503</v>
      </c>
      <c r="C70" s="9" t="s">
        <v>504</v>
      </c>
      <c r="D70" s="8" t="s">
        <v>183</v>
      </c>
      <c r="E70" s="9" t="s">
        <v>452</v>
      </c>
      <c r="F70" s="9" t="s">
        <v>453</v>
      </c>
      <c r="G70" s="9" t="s">
        <v>454</v>
      </c>
      <c r="H70" s="9" t="s">
        <v>455</v>
      </c>
      <c r="I70" s="9" t="s">
        <v>456</v>
      </c>
      <c r="J70" s="9" t="s">
        <v>112</v>
      </c>
      <c r="K70" s="9" t="s">
        <v>457</v>
      </c>
      <c r="L70" s="9" t="s">
        <v>458</v>
      </c>
      <c r="M70" s="9" t="s">
        <v>459</v>
      </c>
      <c r="N70" s="8" t="s">
        <v>505</v>
      </c>
      <c r="O70" s="8"/>
      <c r="P70" s="8"/>
      <c r="Q70" s="8"/>
      <c r="R70" s="9" t="s">
        <v>461</v>
      </c>
      <c r="S70" s="9" t="s">
        <v>462</v>
      </c>
      <c r="T70" s="9" t="s">
        <v>463</v>
      </c>
      <c r="U70" s="8"/>
    </row>
    <row r="71" customFormat="false" ht="42" hidden="false" customHeight="true" outlineLevel="0" collapsed="false">
      <c r="A71" s="9" t="s">
        <v>448</v>
      </c>
      <c r="B71" s="9" t="s">
        <v>506</v>
      </c>
      <c r="C71" s="9" t="s">
        <v>507</v>
      </c>
      <c r="D71" s="8" t="s">
        <v>183</v>
      </c>
      <c r="E71" s="9" t="s">
        <v>452</v>
      </c>
      <c r="F71" s="9" t="s">
        <v>453</v>
      </c>
      <c r="G71" s="9" t="s">
        <v>454</v>
      </c>
      <c r="H71" s="9" t="s">
        <v>455</v>
      </c>
      <c r="I71" s="9" t="s">
        <v>456</v>
      </c>
      <c r="J71" s="9" t="s">
        <v>112</v>
      </c>
      <c r="K71" s="9" t="s">
        <v>457</v>
      </c>
      <c r="L71" s="9" t="s">
        <v>458</v>
      </c>
      <c r="M71" s="9" t="s">
        <v>459</v>
      </c>
      <c r="N71" s="8" t="s">
        <v>508</v>
      </c>
      <c r="O71" s="8"/>
      <c r="P71" s="8"/>
      <c r="Q71" s="8"/>
      <c r="R71" s="9" t="s">
        <v>461</v>
      </c>
      <c r="S71" s="9" t="s">
        <v>462</v>
      </c>
      <c r="T71" s="9" t="s">
        <v>463</v>
      </c>
      <c r="U71" s="8"/>
    </row>
    <row r="72" customFormat="false" ht="42" hidden="false" customHeight="true" outlineLevel="0" collapsed="false">
      <c r="A72" s="9" t="s">
        <v>448</v>
      </c>
      <c r="B72" s="9" t="s">
        <v>509</v>
      </c>
      <c r="C72" s="9" t="s">
        <v>510</v>
      </c>
      <c r="D72" s="8" t="s">
        <v>183</v>
      </c>
      <c r="E72" s="9" t="s">
        <v>452</v>
      </c>
      <c r="F72" s="9" t="s">
        <v>453</v>
      </c>
      <c r="G72" s="9" t="s">
        <v>454</v>
      </c>
      <c r="H72" s="9" t="s">
        <v>455</v>
      </c>
      <c r="I72" s="9" t="s">
        <v>456</v>
      </c>
      <c r="J72" s="9" t="s">
        <v>112</v>
      </c>
      <c r="K72" s="9" t="s">
        <v>457</v>
      </c>
      <c r="L72" s="9" t="s">
        <v>458</v>
      </c>
      <c r="M72" s="9" t="s">
        <v>459</v>
      </c>
      <c r="N72" s="8" t="s">
        <v>511</v>
      </c>
      <c r="O72" s="8"/>
      <c r="P72" s="8"/>
      <c r="Q72" s="8"/>
      <c r="R72" s="9" t="s">
        <v>461</v>
      </c>
      <c r="S72" s="9" t="s">
        <v>462</v>
      </c>
      <c r="T72" s="9" t="s">
        <v>463</v>
      </c>
      <c r="U72" s="8"/>
    </row>
    <row r="73" customFormat="false" ht="42" hidden="false" customHeight="true" outlineLevel="0" collapsed="false">
      <c r="A73" s="9" t="s">
        <v>448</v>
      </c>
      <c r="B73" s="9" t="s">
        <v>159</v>
      </c>
      <c r="C73" s="9" t="s">
        <v>512</v>
      </c>
      <c r="D73" s="8" t="s">
        <v>154</v>
      </c>
      <c r="E73" s="9" t="s">
        <v>452</v>
      </c>
      <c r="F73" s="9" t="s">
        <v>453</v>
      </c>
      <c r="G73" s="9" t="s">
        <v>454</v>
      </c>
      <c r="H73" s="9" t="s">
        <v>455</v>
      </c>
      <c r="I73" s="9" t="s">
        <v>456</v>
      </c>
      <c r="J73" s="9" t="s">
        <v>112</v>
      </c>
      <c r="K73" s="9" t="s">
        <v>457</v>
      </c>
      <c r="L73" s="9" t="s">
        <v>458</v>
      </c>
      <c r="M73" s="9" t="s">
        <v>459</v>
      </c>
      <c r="N73" s="8" t="s">
        <v>513</v>
      </c>
      <c r="O73" s="8"/>
      <c r="P73" s="8"/>
      <c r="Q73" s="8"/>
      <c r="R73" s="9" t="s">
        <v>461</v>
      </c>
      <c r="S73" s="9" t="s">
        <v>462</v>
      </c>
      <c r="T73" s="9" t="s">
        <v>463</v>
      </c>
      <c r="U73" s="8"/>
    </row>
  </sheetData>
  <mergeCells count="1">
    <mergeCell ref="A1:U1"/>
  </mergeCells>
  <conditionalFormatting sqref="E4:L73">
    <cfRule type="containsText" priority="2" operator="containsText" aboveAverage="0" equalAverage="0" bottom="0" percent="0" rank="0" text="BLOCK" dxfId="6">
      <formula>NOT(ISERROR(SEARCH("BLOCK",E4)))</formula>
    </cfRule>
    <cfRule type="containsText" priority="3" operator="containsText" aboveAverage="0" equalAverage="0" bottom="0" percent="0" rank="0" text="NEEDS" dxfId="7">
      <formula>NOT(ISERROR(SEARCH("NEEDS",E4)))</formula>
    </cfRule>
    <cfRule type="containsText" priority="4" operator="containsText" aboveAverage="0" equalAverage="0" bottom="0" percent="0" rank="0" text="READY" dxfId="8">
      <formula>NOT(ISERROR(SEARCH("READY",E4)))</formula>
    </cfRule>
    <cfRule type="containsText" priority="5" operator="containsText" aboveAverage="0" equalAverage="0" bottom="0" percent="0" rank="0" text="COMPLETED" dxfId="9">
      <formula>NOT(ISERROR(SEARCH("COMPLETED",E4)))</formula>
    </cfRule>
    <cfRule type="containsText" priority="6" operator="containsText" aboveAverage="0" equalAverage="0" bottom="0" percent="0" rank="0" text="SUPERSEDED" dxfId="10">
      <formula>NOT(ISERROR(SEARCH("SUPERSEDED",E4)))</formula>
    </cfRule>
    <cfRule type="containsText" priority="7" operator="containsText" aboveAverage="0" equalAverage="0" bottom="0" percent="0" rank="0" text="N/A" dxfId="11">
      <formula>NOT(ISERROR(SEARCH("N/A",E4)))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0.24"/>
    <col collapsed="false" customWidth="true" hidden="false" outlineLevel="0" max="5" min="2" style="0" width="25.21"/>
    <col collapsed="false" customWidth="true" hidden="false" outlineLevel="0" max="6" min="6" style="0" width="55.44"/>
    <col collapsed="false" customWidth="true" hidden="false" outlineLevel="0" max="14" min="7" style="0" width="47.89"/>
    <col collapsed="false" customWidth="true" hidden="false" outlineLevel="0" max="15" min="15" style="0" width="12.6"/>
    <col collapsed="false" customWidth="true" hidden="false" outlineLevel="0" max="18" min="16" style="0" width="30.24"/>
    <col collapsed="false" customWidth="true" hidden="false" outlineLevel="0" max="21" min="19" style="0" width="20.17"/>
    <col collapsed="false" customWidth="true" hidden="false" outlineLevel="0" max="24" min="22" style="0" width="42.85"/>
    <col collapsed="false" customWidth="true" hidden="false" outlineLevel="0" max="25" min="25" style="0" width="26.53"/>
    <col collapsed="false" customWidth="true" hidden="false" outlineLevel="0" max="26" min="26" style="0" width="30.62"/>
    <col collapsed="false" customWidth="true" hidden="false" outlineLevel="0" max="28" min="27" style="0" width="21.43"/>
    <col collapsed="false" customWidth="true" hidden="false" outlineLevel="0" max="30" min="29" style="0" width="38.78"/>
  </cols>
  <sheetData>
    <row r="1" customFormat="false" ht="30" hidden="false" customHeight="true" outlineLevel="0" collapsed="false">
      <c r="A1" s="1" t="s">
        <v>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2" t="s">
        <v>515</v>
      </c>
      <c r="B3" s="11" t="s">
        <v>516</v>
      </c>
      <c r="C3" s="11" t="s">
        <v>517</v>
      </c>
      <c r="D3" s="11" t="s">
        <v>82</v>
      </c>
      <c r="E3" s="11" t="s">
        <v>83</v>
      </c>
      <c r="F3" s="11" t="s">
        <v>518</v>
      </c>
      <c r="G3" s="11" t="s">
        <v>519</v>
      </c>
      <c r="H3" s="11" t="s">
        <v>520</v>
      </c>
      <c r="I3" s="11" t="s">
        <v>521</v>
      </c>
      <c r="J3" s="11" t="s">
        <v>522</v>
      </c>
      <c r="K3" s="11" t="s">
        <v>523</v>
      </c>
      <c r="L3" s="11" t="s">
        <v>524</v>
      </c>
      <c r="M3" s="11" t="s">
        <v>525</v>
      </c>
      <c r="N3" s="11" t="s">
        <v>526</v>
      </c>
      <c r="O3" s="11" t="s">
        <v>527</v>
      </c>
      <c r="P3" s="11" t="s">
        <v>528</v>
      </c>
      <c r="Q3" s="11" t="s">
        <v>92</v>
      </c>
      <c r="R3" s="11" t="s">
        <v>529</v>
      </c>
      <c r="S3" s="11" t="s">
        <v>530</v>
      </c>
      <c r="T3" s="11" t="s">
        <v>531</v>
      </c>
      <c r="U3" s="11" t="s">
        <v>99</v>
      </c>
      <c r="V3" s="11" t="s">
        <v>93</v>
      </c>
      <c r="W3" s="11" t="s">
        <v>532</v>
      </c>
      <c r="X3" s="3" t="s">
        <v>94</v>
      </c>
      <c r="Y3" s="3" t="s">
        <v>97</v>
      </c>
      <c r="Z3" s="3" t="s">
        <v>98</v>
      </c>
      <c r="AA3" s="3" t="s">
        <v>100</v>
      </c>
      <c r="AB3" s="3" t="s">
        <v>101</v>
      </c>
      <c r="AC3" s="13" t="s">
        <v>102</v>
      </c>
      <c r="AD3" s="3" t="s">
        <v>533</v>
      </c>
    </row>
    <row r="4" customFormat="false" ht="72" hidden="false" customHeight="true" outlineLevel="0" collapsed="false">
      <c r="A4" s="7" t="s">
        <v>206</v>
      </c>
      <c r="B4" s="7" t="s">
        <v>89</v>
      </c>
      <c r="C4" s="7" t="s">
        <v>534</v>
      </c>
      <c r="D4" s="7" t="s">
        <v>103</v>
      </c>
      <c r="E4" s="7" t="s">
        <v>201</v>
      </c>
      <c r="F4" s="7" t="s">
        <v>202</v>
      </c>
      <c r="G4" s="5" t="s">
        <v>535</v>
      </c>
      <c r="H4" s="5" t="s">
        <v>536</v>
      </c>
      <c r="I4" s="5" t="s">
        <v>537</v>
      </c>
      <c r="J4" s="7" t="s">
        <v>538</v>
      </c>
      <c r="K4" s="5" t="s">
        <v>539</v>
      </c>
      <c r="L4" s="5" t="s">
        <v>535</v>
      </c>
      <c r="M4" s="5" t="s">
        <v>540</v>
      </c>
      <c r="N4" s="5" t="s">
        <v>541</v>
      </c>
      <c r="O4" s="7" t="s">
        <v>542</v>
      </c>
      <c r="P4" s="7" t="s">
        <v>51</v>
      </c>
      <c r="Q4" s="7" t="s">
        <v>204</v>
      </c>
      <c r="R4" s="7" t="s">
        <v>543</v>
      </c>
      <c r="S4" s="7" t="s">
        <v>544</v>
      </c>
      <c r="T4" s="7" t="s">
        <v>545</v>
      </c>
      <c r="U4" s="7" t="s">
        <v>120</v>
      </c>
      <c r="V4" s="7" t="s">
        <v>114</v>
      </c>
      <c r="W4" s="7" t="s">
        <v>546</v>
      </c>
      <c r="X4" s="7" t="s">
        <v>547</v>
      </c>
      <c r="Y4" s="7" t="s">
        <v>207</v>
      </c>
      <c r="Z4" s="7" t="s">
        <v>208</v>
      </c>
      <c r="AA4" s="7" t="s">
        <v>121</v>
      </c>
      <c r="AB4" s="7" t="s">
        <v>122</v>
      </c>
      <c r="AC4" s="7" t="s">
        <v>123</v>
      </c>
      <c r="AD4" s="5"/>
    </row>
    <row r="5" customFormat="false" ht="72" hidden="false" customHeight="true" outlineLevel="0" collapsed="false">
      <c r="A5" s="9" t="s">
        <v>148</v>
      </c>
      <c r="B5" s="9" t="s">
        <v>89</v>
      </c>
      <c r="C5" s="9" t="s">
        <v>534</v>
      </c>
      <c r="D5" s="9" t="s">
        <v>103</v>
      </c>
      <c r="E5" s="9" t="s">
        <v>143</v>
      </c>
      <c r="F5" s="9" t="s">
        <v>144</v>
      </c>
      <c r="G5" s="9" t="s">
        <v>548</v>
      </c>
      <c r="H5" s="8" t="s">
        <v>536</v>
      </c>
      <c r="I5" s="8" t="s">
        <v>537</v>
      </c>
      <c r="J5" s="9" t="s">
        <v>549</v>
      </c>
      <c r="K5" s="8" t="s">
        <v>550</v>
      </c>
      <c r="L5" s="9" t="s">
        <v>548</v>
      </c>
      <c r="M5" s="8" t="s">
        <v>551</v>
      </c>
      <c r="N5" s="8" t="s">
        <v>541</v>
      </c>
      <c r="O5" s="9" t="s">
        <v>542</v>
      </c>
      <c r="P5" s="9" t="s">
        <v>51</v>
      </c>
      <c r="Q5" s="9" t="s">
        <v>146</v>
      </c>
      <c r="R5" s="9" t="s">
        <v>552</v>
      </c>
      <c r="S5" s="9" t="s">
        <v>544</v>
      </c>
      <c r="T5" s="9" t="s">
        <v>545</v>
      </c>
      <c r="U5" s="9" t="s">
        <v>120</v>
      </c>
      <c r="V5" s="9" t="s">
        <v>114</v>
      </c>
      <c r="W5" s="9" t="s">
        <v>546</v>
      </c>
      <c r="X5" s="9" t="s">
        <v>547</v>
      </c>
      <c r="Y5" s="9" t="s">
        <v>149</v>
      </c>
      <c r="Z5" s="9" t="s">
        <v>150</v>
      </c>
      <c r="AA5" s="9" t="s">
        <v>121</v>
      </c>
      <c r="AB5" s="9" t="s">
        <v>122</v>
      </c>
      <c r="AC5" s="9" t="s">
        <v>151</v>
      </c>
      <c r="AD5" s="9" t="s">
        <v>553</v>
      </c>
    </row>
    <row r="6" customFormat="false" ht="72" hidden="false" customHeight="true" outlineLevel="0" collapsed="false">
      <c r="A6" s="9" t="s">
        <v>139</v>
      </c>
      <c r="B6" s="9" t="s">
        <v>89</v>
      </c>
      <c r="C6" s="9" t="s">
        <v>534</v>
      </c>
      <c r="D6" s="9" t="s">
        <v>103</v>
      </c>
      <c r="E6" s="9" t="s">
        <v>131</v>
      </c>
      <c r="F6" s="9" t="s">
        <v>132</v>
      </c>
      <c r="G6" s="9" t="s">
        <v>554</v>
      </c>
      <c r="H6" s="8" t="s">
        <v>536</v>
      </c>
      <c r="I6" s="8" t="s">
        <v>537</v>
      </c>
      <c r="J6" s="9" t="s">
        <v>555</v>
      </c>
      <c r="K6" s="8" t="s">
        <v>556</v>
      </c>
      <c r="L6" s="9" t="s">
        <v>554</v>
      </c>
      <c r="M6" s="8" t="s">
        <v>557</v>
      </c>
      <c r="N6" s="8" t="s">
        <v>541</v>
      </c>
      <c r="O6" s="9" t="s">
        <v>542</v>
      </c>
      <c r="P6" s="9" t="s">
        <v>51</v>
      </c>
      <c r="Q6" s="9" t="s">
        <v>136</v>
      </c>
      <c r="R6" s="9" t="s">
        <v>552</v>
      </c>
      <c r="S6" s="9" t="s">
        <v>544</v>
      </c>
      <c r="T6" s="9" t="s">
        <v>545</v>
      </c>
      <c r="U6" s="9" t="s">
        <v>120</v>
      </c>
      <c r="V6" s="9" t="s">
        <v>137</v>
      </c>
      <c r="W6" s="9" t="s">
        <v>558</v>
      </c>
      <c r="X6" s="9" t="s">
        <v>547</v>
      </c>
      <c r="Y6" s="9" t="s">
        <v>140</v>
      </c>
      <c r="Z6" s="9" t="s">
        <v>141</v>
      </c>
      <c r="AA6" s="9" t="s">
        <v>121</v>
      </c>
      <c r="AB6" s="9" t="s">
        <v>122</v>
      </c>
      <c r="AC6" s="9" t="s">
        <v>142</v>
      </c>
      <c r="AD6" s="9" t="s">
        <v>559</v>
      </c>
    </row>
    <row r="7" customFormat="false" ht="72" hidden="false" customHeight="true" outlineLevel="0" collapsed="false">
      <c r="A7" s="9" t="s">
        <v>224</v>
      </c>
      <c r="B7" s="9" t="s">
        <v>89</v>
      </c>
      <c r="C7" s="9" t="s">
        <v>534</v>
      </c>
      <c r="D7" s="9" t="s">
        <v>103</v>
      </c>
      <c r="E7" s="9" t="s">
        <v>221</v>
      </c>
      <c r="F7" s="9" t="s">
        <v>222</v>
      </c>
      <c r="G7" s="9" t="s">
        <v>560</v>
      </c>
      <c r="H7" s="8" t="s">
        <v>536</v>
      </c>
      <c r="I7" s="8" t="s">
        <v>537</v>
      </c>
      <c r="J7" s="9" t="s">
        <v>538</v>
      </c>
      <c r="K7" s="8" t="s">
        <v>561</v>
      </c>
      <c r="L7" s="9" t="s">
        <v>560</v>
      </c>
      <c r="M7" s="8" t="s">
        <v>562</v>
      </c>
      <c r="N7" s="8" t="s">
        <v>541</v>
      </c>
      <c r="O7" s="9" t="s">
        <v>542</v>
      </c>
      <c r="P7" s="9" t="s">
        <v>51</v>
      </c>
      <c r="Q7" s="9" t="s">
        <v>146</v>
      </c>
      <c r="R7" s="9" t="s">
        <v>563</v>
      </c>
      <c r="S7" s="9" t="s">
        <v>544</v>
      </c>
      <c r="T7" s="9" t="s">
        <v>545</v>
      </c>
      <c r="U7" s="9" t="s">
        <v>120</v>
      </c>
      <c r="V7" s="9" t="s">
        <v>114</v>
      </c>
      <c r="W7" s="9" t="s">
        <v>546</v>
      </c>
      <c r="X7" s="9" t="s">
        <v>547</v>
      </c>
      <c r="Y7" s="9" t="s">
        <v>225</v>
      </c>
      <c r="Z7" s="9" t="s">
        <v>226</v>
      </c>
      <c r="AA7" s="9" t="s">
        <v>121</v>
      </c>
      <c r="AB7" s="9" t="s">
        <v>122</v>
      </c>
      <c r="AC7" s="9" t="s">
        <v>174</v>
      </c>
      <c r="AD7" s="9" t="s">
        <v>564</v>
      </c>
    </row>
    <row r="8" customFormat="false" ht="72" hidden="false" customHeight="true" outlineLevel="0" collapsed="false">
      <c r="A8" s="9" t="s">
        <v>218</v>
      </c>
      <c r="B8" s="9" t="s">
        <v>89</v>
      </c>
      <c r="C8" s="9" t="s">
        <v>534</v>
      </c>
      <c r="D8" s="9" t="s">
        <v>103</v>
      </c>
      <c r="E8" s="9" t="s">
        <v>215</v>
      </c>
      <c r="F8" s="9" t="s">
        <v>216</v>
      </c>
      <c r="G8" s="9" t="s">
        <v>565</v>
      </c>
      <c r="H8" s="8" t="s">
        <v>536</v>
      </c>
      <c r="I8" s="8" t="s">
        <v>537</v>
      </c>
      <c r="J8" s="9" t="s">
        <v>538</v>
      </c>
      <c r="K8" s="8" t="s">
        <v>566</v>
      </c>
      <c r="L8" s="9" t="s">
        <v>565</v>
      </c>
      <c r="M8" s="8" t="s">
        <v>567</v>
      </c>
      <c r="N8" s="8" t="s">
        <v>541</v>
      </c>
      <c r="O8" s="9" t="s">
        <v>542</v>
      </c>
      <c r="P8" s="9" t="s">
        <v>51</v>
      </c>
      <c r="Q8" s="9" t="s">
        <v>146</v>
      </c>
      <c r="R8" s="9" t="s">
        <v>563</v>
      </c>
      <c r="S8" s="9" t="s">
        <v>544</v>
      </c>
      <c r="T8" s="9" t="s">
        <v>545</v>
      </c>
      <c r="U8" s="9" t="s">
        <v>120</v>
      </c>
      <c r="V8" s="9" t="s">
        <v>114</v>
      </c>
      <c r="W8" s="9" t="s">
        <v>558</v>
      </c>
      <c r="X8" s="9" t="s">
        <v>547</v>
      </c>
      <c r="Y8" s="9" t="s">
        <v>219</v>
      </c>
      <c r="Z8" s="9" t="s">
        <v>220</v>
      </c>
      <c r="AA8" s="9" t="s">
        <v>121</v>
      </c>
      <c r="AB8" s="9" t="s">
        <v>122</v>
      </c>
      <c r="AC8" s="9" t="s">
        <v>174</v>
      </c>
      <c r="AD8" s="9" t="s">
        <v>564</v>
      </c>
    </row>
    <row r="9" customFormat="false" ht="72" hidden="false" customHeight="true" outlineLevel="0" collapsed="false">
      <c r="A9" s="9" t="s">
        <v>170</v>
      </c>
      <c r="B9" s="9" t="s">
        <v>89</v>
      </c>
      <c r="C9" s="9" t="s">
        <v>534</v>
      </c>
      <c r="D9" s="9" t="s">
        <v>103</v>
      </c>
      <c r="E9" s="9" t="s">
        <v>166</v>
      </c>
      <c r="F9" s="9" t="s">
        <v>167</v>
      </c>
      <c r="G9" s="9" t="s">
        <v>568</v>
      </c>
      <c r="H9" s="8" t="s">
        <v>536</v>
      </c>
      <c r="I9" s="8" t="s">
        <v>537</v>
      </c>
      <c r="J9" s="9" t="s">
        <v>569</v>
      </c>
      <c r="K9" s="8" t="s">
        <v>570</v>
      </c>
      <c r="L9" s="9" t="s">
        <v>568</v>
      </c>
      <c r="M9" s="8" t="s">
        <v>571</v>
      </c>
      <c r="N9" s="8" t="s">
        <v>541</v>
      </c>
      <c r="O9" s="9" t="s">
        <v>542</v>
      </c>
      <c r="P9" s="9" t="s">
        <v>51</v>
      </c>
      <c r="Q9" s="9" t="s">
        <v>136</v>
      </c>
      <c r="R9" s="9" t="s">
        <v>552</v>
      </c>
      <c r="S9" s="9" t="s">
        <v>544</v>
      </c>
      <c r="T9" s="9" t="s">
        <v>545</v>
      </c>
      <c r="U9" s="9" t="s">
        <v>173</v>
      </c>
      <c r="V9" s="9" t="s">
        <v>137</v>
      </c>
      <c r="W9" s="9" t="s">
        <v>558</v>
      </c>
      <c r="X9" s="9" t="s">
        <v>547</v>
      </c>
      <c r="Y9" s="9" t="s">
        <v>171</v>
      </c>
      <c r="Z9" s="9" t="s">
        <v>172</v>
      </c>
      <c r="AA9" s="9" t="s">
        <v>121</v>
      </c>
      <c r="AB9" s="9" t="s">
        <v>122</v>
      </c>
      <c r="AC9" s="9" t="s">
        <v>174</v>
      </c>
      <c r="AD9" s="9" t="s">
        <v>572</v>
      </c>
    </row>
    <row r="10" customFormat="false" ht="72" hidden="false" customHeight="true" outlineLevel="0" collapsed="false">
      <c r="A10" s="9" t="s">
        <v>178</v>
      </c>
      <c r="B10" s="9" t="s">
        <v>89</v>
      </c>
      <c r="C10" s="9" t="s">
        <v>534</v>
      </c>
      <c r="D10" s="9" t="s">
        <v>103</v>
      </c>
      <c r="E10" s="9" t="s">
        <v>175</v>
      </c>
      <c r="F10" s="9" t="s">
        <v>176</v>
      </c>
      <c r="G10" s="9" t="s">
        <v>573</v>
      </c>
      <c r="H10" s="8" t="s">
        <v>536</v>
      </c>
      <c r="I10" s="8" t="s">
        <v>537</v>
      </c>
      <c r="J10" s="9" t="s">
        <v>574</v>
      </c>
      <c r="K10" s="8" t="s">
        <v>575</v>
      </c>
      <c r="L10" s="9" t="s">
        <v>573</v>
      </c>
      <c r="M10" s="9" t="s">
        <v>576</v>
      </c>
      <c r="N10" s="8" t="s">
        <v>541</v>
      </c>
      <c r="O10" s="9" t="s">
        <v>542</v>
      </c>
      <c r="P10" s="9" t="s">
        <v>51</v>
      </c>
      <c r="Q10" s="9" t="s">
        <v>146</v>
      </c>
      <c r="R10" s="9" t="s">
        <v>552</v>
      </c>
      <c r="S10" s="9" t="s">
        <v>544</v>
      </c>
      <c r="T10" s="9" t="s">
        <v>545</v>
      </c>
      <c r="U10" s="9" t="s">
        <v>120</v>
      </c>
      <c r="V10" s="9" t="s">
        <v>114</v>
      </c>
      <c r="W10" s="9" t="s">
        <v>546</v>
      </c>
      <c r="X10" s="9" t="s">
        <v>547</v>
      </c>
      <c r="Y10" s="9" t="s">
        <v>179</v>
      </c>
      <c r="Z10" s="9" t="s">
        <v>180</v>
      </c>
      <c r="AA10" s="9" t="s">
        <v>121</v>
      </c>
      <c r="AB10" s="9" t="s">
        <v>122</v>
      </c>
      <c r="AC10" s="9" t="s">
        <v>174</v>
      </c>
      <c r="AD10" s="9" t="s">
        <v>577</v>
      </c>
    </row>
    <row r="11" customFormat="false" ht="72" hidden="false" customHeight="true" outlineLevel="0" collapsed="false">
      <c r="A11" s="9" t="s">
        <v>185</v>
      </c>
      <c r="B11" s="9" t="s">
        <v>89</v>
      </c>
      <c r="C11" s="9" t="s">
        <v>534</v>
      </c>
      <c r="D11" s="9" t="s">
        <v>103</v>
      </c>
      <c r="E11" s="9" t="s">
        <v>181</v>
      </c>
      <c r="F11" s="9" t="s">
        <v>182</v>
      </c>
      <c r="G11" s="9" t="s">
        <v>578</v>
      </c>
      <c r="H11" s="8" t="s">
        <v>536</v>
      </c>
      <c r="I11" s="8" t="s">
        <v>537</v>
      </c>
      <c r="J11" s="9" t="s">
        <v>579</v>
      </c>
      <c r="K11" s="8" t="s">
        <v>580</v>
      </c>
      <c r="L11" s="9" t="s">
        <v>578</v>
      </c>
      <c r="M11" s="9" t="s">
        <v>576</v>
      </c>
      <c r="N11" s="8" t="s">
        <v>541</v>
      </c>
      <c r="O11" s="9" t="s">
        <v>542</v>
      </c>
      <c r="P11" s="9" t="s">
        <v>51</v>
      </c>
      <c r="Q11" s="9" t="s">
        <v>146</v>
      </c>
      <c r="R11" s="9" t="s">
        <v>581</v>
      </c>
      <c r="S11" s="9" t="s">
        <v>544</v>
      </c>
      <c r="T11" s="9" t="s">
        <v>545</v>
      </c>
      <c r="U11" s="9" t="s">
        <v>120</v>
      </c>
      <c r="V11" s="9" t="s">
        <v>114</v>
      </c>
      <c r="W11" s="9" t="s">
        <v>546</v>
      </c>
      <c r="X11" s="9" t="s">
        <v>547</v>
      </c>
      <c r="Y11" s="9" t="s">
        <v>186</v>
      </c>
      <c r="Z11" s="9" t="s">
        <v>187</v>
      </c>
      <c r="AA11" s="9" t="s">
        <v>121</v>
      </c>
      <c r="AB11" s="9" t="s">
        <v>122</v>
      </c>
      <c r="AC11" s="9" t="s">
        <v>188</v>
      </c>
      <c r="AD11" s="9" t="s">
        <v>582</v>
      </c>
    </row>
    <row r="12" customFormat="false" ht="72" hidden="false" customHeight="true" outlineLevel="0" collapsed="false">
      <c r="A12" s="9" t="s">
        <v>192</v>
      </c>
      <c r="B12" s="9" t="s">
        <v>89</v>
      </c>
      <c r="C12" s="9" t="s">
        <v>534</v>
      </c>
      <c r="D12" s="9" t="s">
        <v>103</v>
      </c>
      <c r="E12" s="9" t="s">
        <v>189</v>
      </c>
      <c r="F12" s="9" t="s">
        <v>190</v>
      </c>
      <c r="G12" s="9" t="s">
        <v>583</v>
      </c>
      <c r="H12" s="8" t="s">
        <v>536</v>
      </c>
      <c r="I12" s="8" t="s">
        <v>537</v>
      </c>
      <c r="J12" s="9" t="s">
        <v>579</v>
      </c>
      <c r="K12" s="8" t="s">
        <v>584</v>
      </c>
      <c r="L12" s="9" t="s">
        <v>583</v>
      </c>
      <c r="M12" s="9" t="s">
        <v>576</v>
      </c>
      <c r="N12" s="8" t="s">
        <v>541</v>
      </c>
      <c r="O12" s="9" t="s">
        <v>542</v>
      </c>
      <c r="P12" s="9" t="s">
        <v>51</v>
      </c>
      <c r="Q12" s="9" t="s">
        <v>146</v>
      </c>
      <c r="R12" s="9" t="s">
        <v>581</v>
      </c>
      <c r="S12" s="9" t="s">
        <v>544</v>
      </c>
      <c r="T12" s="9" t="s">
        <v>545</v>
      </c>
      <c r="U12" s="9" t="s">
        <v>120</v>
      </c>
      <c r="V12" s="9" t="s">
        <v>114</v>
      </c>
      <c r="W12" s="9" t="s">
        <v>546</v>
      </c>
      <c r="X12" s="9" t="s">
        <v>547</v>
      </c>
      <c r="Y12" s="9" t="s">
        <v>193</v>
      </c>
      <c r="Z12" s="9" t="s">
        <v>194</v>
      </c>
      <c r="AA12" s="9" t="s">
        <v>121</v>
      </c>
      <c r="AB12" s="9" t="s">
        <v>122</v>
      </c>
      <c r="AC12" s="9" t="s">
        <v>188</v>
      </c>
      <c r="AD12" s="9" t="s">
        <v>582</v>
      </c>
    </row>
    <row r="13" customFormat="false" ht="72" hidden="false" customHeight="true" outlineLevel="0" collapsed="false">
      <c r="A13" s="9" t="s">
        <v>156</v>
      </c>
      <c r="B13" s="9" t="s">
        <v>89</v>
      </c>
      <c r="C13" s="9" t="s">
        <v>534</v>
      </c>
      <c r="D13" s="9" t="s">
        <v>103</v>
      </c>
      <c r="E13" s="9" t="s">
        <v>152</v>
      </c>
      <c r="F13" s="9" t="s">
        <v>153</v>
      </c>
      <c r="G13" s="8" t="s">
        <v>585</v>
      </c>
      <c r="H13" s="8" t="s">
        <v>536</v>
      </c>
      <c r="I13" s="8" t="s">
        <v>537</v>
      </c>
      <c r="J13" s="9" t="s">
        <v>538</v>
      </c>
      <c r="K13" s="8" t="s">
        <v>586</v>
      </c>
      <c r="L13" s="8" t="s">
        <v>585</v>
      </c>
      <c r="M13" s="8" t="s">
        <v>540</v>
      </c>
      <c r="N13" s="8" t="s">
        <v>541</v>
      </c>
      <c r="O13" s="9" t="s">
        <v>542</v>
      </c>
      <c r="P13" s="9" t="s">
        <v>51</v>
      </c>
      <c r="Q13" s="9" t="s">
        <v>146</v>
      </c>
      <c r="R13" s="9" t="s">
        <v>581</v>
      </c>
      <c r="S13" s="9" t="s">
        <v>544</v>
      </c>
      <c r="T13" s="9" t="s">
        <v>545</v>
      </c>
      <c r="U13" s="9" t="s">
        <v>120</v>
      </c>
      <c r="V13" s="9" t="s">
        <v>114</v>
      </c>
      <c r="W13" s="9" t="s">
        <v>546</v>
      </c>
      <c r="X13" s="9" t="s">
        <v>547</v>
      </c>
      <c r="Y13" s="9" t="s">
        <v>157</v>
      </c>
      <c r="Z13" s="9" t="s">
        <v>158</v>
      </c>
      <c r="AA13" s="9" t="s">
        <v>121</v>
      </c>
      <c r="AB13" s="9" t="s">
        <v>122</v>
      </c>
      <c r="AC13" s="9" t="s">
        <v>123</v>
      </c>
      <c r="AD13" s="8"/>
    </row>
    <row r="14" customFormat="false" ht="72" hidden="false" customHeight="true" outlineLevel="0" collapsed="false">
      <c r="A14" s="9" t="s">
        <v>162</v>
      </c>
      <c r="B14" s="9" t="s">
        <v>89</v>
      </c>
      <c r="C14" s="9" t="s">
        <v>534</v>
      </c>
      <c r="D14" s="9" t="s">
        <v>103</v>
      </c>
      <c r="E14" s="9" t="s">
        <v>159</v>
      </c>
      <c r="F14" s="9" t="s">
        <v>160</v>
      </c>
      <c r="G14" s="9" t="s">
        <v>587</v>
      </c>
      <c r="H14" s="8" t="s">
        <v>536</v>
      </c>
      <c r="I14" s="8" t="s">
        <v>537</v>
      </c>
      <c r="J14" s="9" t="s">
        <v>574</v>
      </c>
      <c r="K14" s="8" t="s">
        <v>588</v>
      </c>
      <c r="L14" s="9" t="s">
        <v>587</v>
      </c>
      <c r="M14" s="9" t="s">
        <v>576</v>
      </c>
      <c r="N14" s="8" t="s">
        <v>541</v>
      </c>
      <c r="O14" s="9" t="s">
        <v>542</v>
      </c>
      <c r="P14" s="9" t="s">
        <v>51</v>
      </c>
      <c r="Q14" s="9" t="s">
        <v>146</v>
      </c>
      <c r="R14" s="9" t="s">
        <v>581</v>
      </c>
      <c r="S14" s="9" t="s">
        <v>544</v>
      </c>
      <c r="T14" s="9" t="s">
        <v>545</v>
      </c>
      <c r="U14" s="9" t="s">
        <v>120</v>
      </c>
      <c r="V14" s="9" t="s">
        <v>114</v>
      </c>
      <c r="W14" s="9" t="s">
        <v>546</v>
      </c>
      <c r="X14" s="9" t="s">
        <v>547</v>
      </c>
      <c r="Y14" s="9" t="s">
        <v>163</v>
      </c>
      <c r="Z14" s="9" t="s">
        <v>164</v>
      </c>
      <c r="AA14" s="9" t="s">
        <v>121</v>
      </c>
      <c r="AB14" s="9" t="s">
        <v>122</v>
      </c>
      <c r="AC14" s="9" t="s">
        <v>165</v>
      </c>
      <c r="AD14" s="9" t="s">
        <v>582</v>
      </c>
    </row>
    <row r="15" customFormat="false" ht="72" hidden="false" customHeight="true" outlineLevel="0" collapsed="false">
      <c r="A15" s="9" t="s">
        <v>198</v>
      </c>
      <c r="B15" s="9" t="s">
        <v>89</v>
      </c>
      <c r="C15" s="9" t="s">
        <v>534</v>
      </c>
      <c r="D15" s="9" t="s">
        <v>103</v>
      </c>
      <c r="E15" s="9" t="s">
        <v>195</v>
      </c>
      <c r="F15" s="9" t="s">
        <v>196</v>
      </c>
      <c r="G15" s="9" t="s">
        <v>589</v>
      </c>
      <c r="H15" s="8" t="s">
        <v>536</v>
      </c>
      <c r="I15" s="8" t="s">
        <v>537</v>
      </c>
      <c r="J15" s="9" t="s">
        <v>555</v>
      </c>
      <c r="K15" s="8" t="s">
        <v>590</v>
      </c>
      <c r="L15" s="9" t="s">
        <v>589</v>
      </c>
      <c r="M15" s="8" t="s">
        <v>540</v>
      </c>
      <c r="N15" s="8" t="s">
        <v>541</v>
      </c>
      <c r="O15" s="9" t="s">
        <v>542</v>
      </c>
      <c r="P15" s="9" t="s">
        <v>51</v>
      </c>
      <c r="Q15" s="9" t="s">
        <v>146</v>
      </c>
      <c r="R15" s="9" t="s">
        <v>581</v>
      </c>
      <c r="S15" s="9" t="s">
        <v>544</v>
      </c>
      <c r="T15" s="9" t="s">
        <v>545</v>
      </c>
      <c r="U15" s="9" t="s">
        <v>120</v>
      </c>
      <c r="V15" s="9" t="s">
        <v>114</v>
      </c>
      <c r="W15" s="9" t="s">
        <v>546</v>
      </c>
      <c r="X15" s="9" t="s">
        <v>547</v>
      </c>
      <c r="Y15" s="9" t="s">
        <v>199</v>
      </c>
      <c r="Z15" s="9" t="s">
        <v>200</v>
      </c>
      <c r="AA15" s="9" t="s">
        <v>121</v>
      </c>
      <c r="AB15" s="9" t="s">
        <v>122</v>
      </c>
      <c r="AC15" s="9" t="s">
        <v>188</v>
      </c>
      <c r="AD15" s="9" t="s">
        <v>591</v>
      </c>
    </row>
    <row r="16" customFormat="false" ht="72" hidden="false" customHeight="true" outlineLevel="0" collapsed="false">
      <c r="A16" s="9" t="s">
        <v>128</v>
      </c>
      <c r="B16" s="9" t="s">
        <v>89</v>
      </c>
      <c r="C16" s="9" t="s">
        <v>534</v>
      </c>
      <c r="D16" s="9" t="s">
        <v>103</v>
      </c>
      <c r="E16" s="9" t="s">
        <v>124</v>
      </c>
      <c r="F16" s="9" t="s">
        <v>125</v>
      </c>
      <c r="G16" s="9" t="s">
        <v>592</v>
      </c>
      <c r="H16" s="8" t="s">
        <v>536</v>
      </c>
      <c r="I16" s="8" t="s">
        <v>537</v>
      </c>
      <c r="J16" s="9" t="s">
        <v>538</v>
      </c>
      <c r="K16" s="8" t="s">
        <v>593</v>
      </c>
      <c r="L16" s="9" t="s">
        <v>592</v>
      </c>
      <c r="M16" s="8" t="s">
        <v>540</v>
      </c>
      <c r="N16" s="8" t="s">
        <v>541</v>
      </c>
      <c r="O16" s="9" t="s">
        <v>542</v>
      </c>
      <c r="P16" s="9" t="s">
        <v>51</v>
      </c>
      <c r="Q16" s="9" t="s">
        <v>113</v>
      </c>
      <c r="R16" s="9" t="s">
        <v>563</v>
      </c>
      <c r="S16" s="9" t="s">
        <v>544</v>
      </c>
      <c r="T16" s="9" t="s">
        <v>545</v>
      </c>
      <c r="U16" s="9" t="s">
        <v>120</v>
      </c>
      <c r="V16" s="9" t="s">
        <v>114</v>
      </c>
      <c r="W16" s="9" t="s">
        <v>546</v>
      </c>
      <c r="X16" s="9" t="s">
        <v>547</v>
      </c>
      <c r="Y16" s="9" t="s">
        <v>129</v>
      </c>
      <c r="Z16" s="9" t="s">
        <v>130</v>
      </c>
      <c r="AA16" s="9" t="s">
        <v>121</v>
      </c>
      <c r="AB16" s="9" t="s">
        <v>122</v>
      </c>
      <c r="AC16" s="9" t="s">
        <v>123</v>
      </c>
      <c r="AD16" s="9" t="s">
        <v>564</v>
      </c>
    </row>
    <row r="17" customFormat="false" ht="72" hidden="false" customHeight="true" outlineLevel="0" collapsed="false">
      <c r="A17" s="9" t="s">
        <v>117</v>
      </c>
      <c r="B17" s="9" t="s">
        <v>89</v>
      </c>
      <c r="C17" s="9" t="s">
        <v>534</v>
      </c>
      <c r="D17" s="9" t="s">
        <v>103</v>
      </c>
      <c r="E17" s="9" t="s">
        <v>104</v>
      </c>
      <c r="F17" s="9" t="s">
        <v>105</v>
      </c>
      <c r="G17" s="8" t="s">
        <v>594</v>
      </c>
      <c r="H17" s="8" t="s">
        <v>536</v>
      </c>
      <c r="I17" s="8" t="s">
        <v>537</v>
      </c>
      <c r="J17" s="9" t="s">
        <v>538</v>
      </c>
      <c r="K17" s="8" t="s">
        <v>595</v>
      </c>
      <c r="L17" s="8" t="s">
        <v>594</v>
      </c>
      <c r="M17" s="8" t="s">
        <v>540</v>
      </c>
      <c r="N17" s="8" t="s">
        <v>541</v>
      </c>
      <c r="O17" s="9" t="s">
        <v>542</v>
      </c>
      <c r="P17" s="9" t="s">
        <v>51</v>
      </c>
      <c r="Q17" s="9" t="s">
        <v>113</v>
      </c>
      <c r="R17" s="9" t="s">
        <v>543</v>
      </c>
      <c r="S17" s="9" t="s">
        <v>544</v>
      </c>
      <c r="T17" s="9" t="s">
        <v>545</v>
      </c>
      <c r="U17" s="9" t="s">
        <v>120</v>
      </c>
      <c r="V17" s="9" t="s">
        <v>114</v>
      </c>
      <c r="W17" s="9" t="s">
        <v>546</v>
      </c>
      <c r="X17" s="9" t="s">
        <v>547</v>
      </c>
      <c r="Y17" s="9" t="s">
        <v>118</v>
      </c>
      <c r="Z17" s="9" t="s">
        <v>119</v>
      </c>
      <c r="AA17" s="9" t="s">
        <v>121</v>
      </c>
      <c r="AB17" s="9" t="s">
        <v>122</v>
      </c>
      <c r="AC17" s="9" t="s">
        <v>123</v>
      </c>
      <c r="AD17" s="8"/>
    </row>
    <row r="18" customFormat="false" ht="72" hidden="false" customHeight="true" outlineLevel="0" collapsed="false">
      <c r="A18" s="9" t="s">
        <v>212</v>
      </c>
      <c r="B18" s="9" t="s">
        <v>89</v>
      </c>
      <c r="C18" s="9" t="s">
        <v>534</v>
      </c>
      <c r="D18" s="9" t="s">
        <v>103</v>
      </c>
      <c r="E18" s="9" t="s">
        <v>209</v>
      </c>
      <c r="F18" s="9" t="s">
        <v>210</v>
      </c>
      <c r="G18" s="8" t="s">
        <v>596</v>
      </c>
      <c r="H18" s="8" t="s">
        <v>536</v>
      </c>
      <c r="I18" s="8" t="s">
        <v>537</v>
      </c>
      <c r="J18" s="9" t="s">
        <v>538</v>
      </c>
      <c r="K18" s="8" t="s">
        <v>597</v>
      </c>
      <c r="L18" s="8" t="s">
        <v>596</v>
      </c>
      <c r="M18" s="8" t="s">
        <v>540</v>
      </c>
      <c r="N18" s="8" t="s">
        <v>541</v>
      </c>
      <c r="O18" s="9" t="s">
        <v>542</v>
      </c>
      <c r="P18" s="9" t="s">
        <v>51</v>
      </c>
      <c r="Q18" s="9" t="s">
        <v>113</v>
      </c>
      <c r="R18" s="9" t="s">
        <v>543</v>
      </c>
      <c r="S18" s="9" t="s">
        <v>544</v>
      </c>
      <c r="T18" s="9" t="s">
        <v>545</v>
      </c>
      <c r="U18" s="9" t="s">
        <v>120</v>
      </c>
      <c r="V18" s="9" t="s">
        <v>114</v>
      </c>
      <c r="W18" s="9" t="s">
        <v>546</v>
      </c>
      <c r="X18" s="9" t="s">
        <v>547</v>
      </c>
      <c r="Y18" s="9" t="s">
        <v>213</v>
      </c>
      <c r="Z18" s="9" t="s">
        <v>214</v>
      </c>
      <c r="AA18" s="9" t="s">
        <v>121</v>
      </c>
      <c r="AB18" s="9" t="s">
        <v>122</v>
      </c>
      <c r="AC18" s="9" t="s">
        <v>123</v>
      </c>
      <c r="AD18" s="8"/>
    </row>
    <row r="19" customFormat="false" ht="72" hidden="false" customHeight="true" outlineLevel="0" collapsed="false">
      <c r="A19" s="9" t="s">
        <v>239</v>
      </c>
      <c r="B19" s="9" t="s">
        <v>89</v>
      </c>
      <c r="C19" s="9" t="s">
        <v>534</v>
      </c>
      <c r="D19" s="9" t="s">
        <v>227</v>
      </c>
      <c r="E19" s="9" t="s">
        <v>235</v>
      </c>
      <c r="F19" s="9" t="s">
        <v>236</v>
      </c>
      <c r="G19" s="9" t="s">
        <v>598</v>
      </c>
      <c r="H19" s="8" t="s">
        <v>536</v>
      </c>
      <c r="I19" s="8" t="s">
        <v>537</v>
      </c>
      <c r="J19" s="9" t="s">
        <v>599</v>
      </c>
      <c r="K19" s="8" t="s">
        <v>600</v>
      </c>
      <c r="L19" s="9" t="s">
        <v>598</v>
      </c>
      <c r="M19" s="8" t="s">
        <v>601</v>
      </c>
      <c r="N19" s="8" t="s">
        <v>541</v>
      </c>
      <c r="O19" s="9" t="s">
        <v>542</v>
      </c>
      <c r="P19" s="9" t="s">
        <v>51</v>
      </c>
      <c r="Q19" s="9" t="s">
        <v>113</v>
      </c>
      <c r="R19" s="9" t="s">
        <v>563</v>
      </c>
      <c r="S19" s="9" t="s">
        <v>544</v>
      </c>
      <c r="T19" s="9" t="s">
        <v>545</v>
      </c>
      <c r="U19" s="9" t="s">
        <v>120</v>
      </c>
      <c r="V19" s="9" t="s">
        <v>114</v>
      </c>
      <c r="W19" s="9" t="s">
        <v>546</v>
      </c>
      <c r="X19" s="9" t="s">
        <v>602</v>
      </c>
      <c r="Y19" s="9" t="s">
        <v>240</v>
      </c>
      <c r="Z19" s="9" t="s">
        <v>241</v>
      </c>
      <c r="AA19" s="9" t="s">
        <v>121</v>
      </c>
      <c r="AB19" s="9" t="s">
        <v>122</v>
      </c>
      <c r="AC19" s="9" t="s">
        <v>242</v>
      </c>
      <c r="AD19" s="9" t="s">
        <v>603</v>
      </c>
    </row>
    <row r="20" customFormat="false" ht="72" hidden="false" customHeight="true" outlineLevel="0" collapsed="false">
      <c r="A20" s="9" t="s">
        <v>246</v>
      </c>
      <c r="B20" s="9" t="s">
        <v>89</v>
      </c>
      <c r="C20" s="9" t="s">
        <v>534</v>
      </c>
      <c r="D20" s="9" t="s">
        <v>227</v>
      </c>
      <c r="E20" s="9" t="s">
        <v>243</v>
      </c>
      <c r="F20" s="9" t="s">
        <v>244</v>
      </c>
      <c r="G20" s="9" t="s">
        <v>604</v>
      </c>
      <c r="H20" s="8" t="s">
        <v>536</v>
      </c>
      <c r="I20" s="8" t="s">
        <v>537</v>
      </c>
      <c r="J20" s="9" t="s">
        <v>599</v>
      </c>
      <c r="K20" s="8" t="s">
        <v>605</v>
      </c>
      <c r="L20" s="9" t="s">
        <v>604</v>
      </c>
      <c r="M20" s="8" t="s">
        <v>601</v>
      </c>
      <c r="N20" s="8" t="s">
        <v>541</v>
      </c>
      <c r="O20" s="9" t="s">
        <v>542</v>
      </c>
      <c r="P20" s="9" t="s">
        <v>51</v>
      </c>
      <c r="Q20" s="9" t="s">
        <v>113</v>
      </c>
      <c r="R20" s="9" t="s">
        <v>563</v>
      </c>
      <c r="S20" s="9" t="s">
        <v>544</v>
      </c>
      <c r="T20" s="9" t="s">
        <v>545</v>
      </c>
      <c r="U20" s="9" t="s">
        <v>120</v>
      </c>
      <c r="V20" s="9" t="s">
        <v>114</v>
      </c>
      <c r="W20" s="9" t="s">
        <v>546</v>
      </c>
      <c r="X20" s="9" t="s">
        <v>602</v>
      </c>
      <c r="Y20" s="9" t="s">
        <v>247</v>
      </c>
      <c r="Z20" s="9" t="s">
        <v>248</v>
      </c>
      <c r="AA20" s="9" t="s">
        <v>121</v>
      </c>
      <c r="AB20" s="9" t="s">
        <v>122</v>
      </c>
      <c r="AC20" s="9" t="s">
        <v>249</v>
      </c>
      <c r="AD20" s="9" t="s">
        <v>603</v>
      </c>
    </row>
    <row r="21" customFormat="false" ht="72" hidden="false" customHeight="true" outlineLevel="0" collapsed="false">
      <c r="A21" s="9" t="s">
        <v>253</v>
      </c>
      <c r="B21" s="9" t="s">
        <v>89</v>
      </c>
      <c r="C21" s="9" t="s">
        <v>534</v>
      </c>
      <c r="D21" s="9" t="s">
        <v>227</v>
      </c>
      <c r="E21" s="9" t="s">
        <v>250</v>
      </c>
      <c r="F21" s="9" t="s">
        <v>251</v>
      </c>
      <c r="G21" s="9" t="s">
        <v>606</v>
      </c>
      <c r="H21" s="8" t="s">
        <v>536</v>
      </c>
      <c r="I21" s="8" t="s">
        <v>537</v>
      </c>
      <c r="J21" s="9" t="s">
        <v>599</v>
      </c>
      <c r="K21" s="8" t="s">
        <v>607</v>
      </c>
      <c r="L21" s="9" t="s">
        <v>606</v>
      </c>
      <c r="M21" s="8" t="s">
        <v>601</v>
      </c>
      <c r="N21" s="8" t="s">
        <v>541</v>
      </c>
      <c r="O21" s="9" t="s">
        <v>542</v>
      </c>
      <c r="P21" s="9" t="s">
        <v>51</v>
      </c>
      <c r="Q21" s="9" t="s">
        <v>113</v>
      </c>
      <c r="R21" s="9" t="s">
        <v>563</v>
      </c>
      <c r="S21" s="9" t="s">
        <v>544</v>
      </c>
      <c r="T21" s="9" t="s">
        <v>545</v>
      </c>
      <c r="U21" s="9" t="s">
        <v>120</v>
      </c>
      <c r="V21" s="9" t="s">
        <v>114</v>
      </c>
      <c r="W21" s="9" t="s">
        <v>546</v>
      </c>
      <c r="X21" s="9" t="s">
        <v>602</v>
      </c>
      <c r="Y21" s="9" t="s">
        <v>254</v>
      </c>
      <c r="Z21" s="9" t="s">
        <v>255</v>
      </c>
      <c r="AA21" s="9" t="s">
        <v>121</v>
      </c>
      <c r="AB21" s="9" t="s">
        <v>122</v>
      </c>
      <c r="AC21" s="9" t="s">
        <v>249</v>
      </c>
      <c r="AD21" s="9" t="s">
        <v>603</v>
      </c>
    </row>
    <row r="22" customFormat="false" ht="72" hidden="false" customHeight="true" outlineLevel="0" collapsed="false">
      <c r="A22" s="9" t="s">
        <v>266</v>
      </c>
      <c r="B22" s="9" t="s">
        <v>89</v>
      </c>
      <c r="C22" s="9" t="s">
        <v>534</v>
      </c>
      <c r="D22" s="9" t="s">
        <v>227</v>
      </c>
      <c r="E22" s="9" t="s">
        <v>262</v>
      </c>
      <c r="F22" s="9" t="s">
        <v>263</v>
      </c>
      <c r="G22" s="9" t="s">
        <v>608</v>
      </c>
      <c r="H22" s="8" t="s">
        <v>536</v>
      </c>
      <c r="I22" s="8" t="s">
        <v>537</v>
      </c>
      <c r="J22" s="9" t="s">
        <v>599</v>
      </c>
      <c r="K22" s="8" t="s">
        <v>609</v>
      </c>
      <c r="L22" s="9" t="s">
        <v>608</v>
      </c>
      <c r="M22" s="8" t="s">
        <v>601</v>
      </c>
      <c r="N22" s="8" t="s">
        <v>541</v>
      </c>
      <c r="O22" s="9" t="s">
        <v>542</v>
      </c>
      <c r="P22" s="9" t="s">
        <v>51</v>
      </c>
      <c r="Q22" s="9" t="s">
        <v>113</v>
      </c>
      <c r="R22" s="9" t="s">
        <v>563</v>
      </c>
      <c r="S22" s="9" t="s">
        <v>544</v>
      </c>
      <c r="T22" s="9" t="s">
        <v>545</v>
      </c>
      <c r="U22" s="9" t="s">
        <v>120</v>
      </c>
      <c r="V22" s="9" t="s">
        <v>114</v>
      </c>
      <c r="W22" s="9" t="s">
        <v>546</v>
      </c>
      <c r="X22" s="9" t="s">
        <v>602</v>
      </c>
      <c r="Y22" s="9" t="s">
        <v>267</v>
      </c>
      <c r="Z22" s="9" t="s">
        <v>268</v>
      </c>
      <c r="AA22" s="9" t="s">
        <v>121</v>
      </c>
      <c r="AB22" s="9" t="s">
        <v>122</v>
      </c>
      <c r="AC22" s="9" t="s">
        <v>249</v>
      </c>
      <c r="AD22" s="9" t="s">
        <v>603</v>
      </c>
    </row>
    <row r="23" customFormat="false" ht="72" hidden="false" customHeight="true" outlineLevel="0" collapsed="false">
      <c r="A23" s="9" t="s">
        <v>272</v>
      </c>
      <c r="B23" s="9" t="s">
        <v>89</v>
      </c>
      <c r="C23" s="9" t="s">
        <v>534</v>
      </c>
      <c r="D23" s="9" t="s">
        <v>227</v>
      </c>
      <c r="E23" s="9" t="s">
        <v>269</v>
      </c>
      <c r="F23" s="9" t="s">
        <v>270</v>
      </c>
      <c r="G23" s="9" t="s">
        <v>610</v>
      </c>
      <c r="H23" s="8" t="s">
        <v>536</v>
      </c>
      <c r="I23" s="8" t="s">
        <v>537</v>
      </c>
      <c r="J23" s="9" t="s">
        <v>599</v>
      </c>
      <c r="K23" s="8" t="s">
        <v>611</v>
      </c>
      <c r="L23" s="9" t="s">
        <v>610</v>
      </c>
      <c r="M23" s="8" t="s">
        <v>601</v>
      </c>
      <c r="N23" s="8" t="s">
        <v>541</v>
      </c>
      <c r="O23" s="9" t="s">
        <v>542</v>
      </c>
      <c r="P23" s="9" t="s">
        <v>51</v>
      </c>
      <c r="Q23" s="9" t="s">
        <v>113</v>
      </c>
      <c r="R23" s="9" t="s">
        <v>563</v>
      </c>
      <c r="S23" s="9" t="s">
        <v>544</v>
      </c>
      <c r="T23" s="9" t="s">
        <v>545</v>
      </c>
      <c r="U23" s="9" t="s">
        <v>120</v>
      </c>
      <c r="V23" s="9" t="s">
        <v>114</v>
      </c>
      <c r="W23" s="9" t="s">
        <v>546</v>
      </c>
      <c r="X23" s="9" t="s">
        <v>602</v>
      </c>
      <c r="Y23" s="9" t="s">
        <v>273</v>
      </c>
      <c r="Z23" s="9" t="s">
        <v>274</v>
      </c>
      <c r="AA23" s="9" t="s">
        <v>121</v>
      </c>
      <c r="AB23" s="9" t="s">
        <v>122</v>
      </c>
      <c r="AC23" s="9" t="s">
        <v>249</v>
      </c>
      <c r="AD23" s="9" t="s">
        <v>603</v>
      </c>
    </row>
    <row r="24" customFormat="false" ht="72" hidden="false" customHeight="true" outlineLevel="0" collapsed="false">
      <c r="A24" s="9" t="s">
        <v>259</v>
      </c>
      <c r="B24" s="9" t="s">
        <v>89</v>
      </c>
      <c r="C24" s="9" t="s">
        <v>534</v>
      </c>
      <c r="D24" s="9" t="s">
        <v>227</v>
      </c>
      <c r="E24" s="9" t="s">
        <v>256</v>
      </c>
      <c r="F24" s="9" t="s">
        <v>257</v>
      </c>
      <c r="G24" s="9" t="s">
        <v>612</v>
      </c>
      <c r="H24" s="8" t="s">
        <v>536</v>
      </c>
      <c r="I24" s="8" t="s">
        <v>537</v>
      </c>
      <c r="J24" s="9" t="s">
        <v>599</v>
      </c>
      <c r="K24" s="8" t="s">
        <v>613</v>
      </c>
      <c r="L24" s="9" t="s">
        <v>612</v>
      </c>
      <c r="M24" s="8" t="s">
        <v>601</v>
      </c>
      <c r="N24" s="8" t="s">
        <v>541</v>
      </c>
      <c r="O24" s="9" t="s">
        <v>542</v>
      </c>
      <c r="P24" s="9" t="s">
        <v>51</v>
      </c>
      <c r="Q24" s="9" t="s">
        <v>113</v>
      </c>
      <c r="R24" s="9" t="s">
        <v>563</v>
      </c>
      <c r="S24" s="9" t="s">
        <v>544</v>
      </c>
      <c r="T24" s="9" t="s">
        <v>545</v>
      </c>
      <c r="U24" s="9" t="s">
        <v>120</v>
      </c>
      <c r="V24" s="9" t="s">
        <v>114</v>
      </c>
      <c r="W24" s="9" t="s">
        <v>546</v>
      </c>
      <c r="X24" s="9" t="s">
        <v>602</v>
      </c>
      <c r="Y24" s="9" t="s">
        <v>260</v>
      </c>
      <c r="Z24" s="9" t="s">
        <v>261</v>
      </c>
      <c r="AA24" s="9" t="s">
        <v>121</v>
      </c>
      <c r="AB24" s="9" t="s">
        <v>122</v>
      </c>
      <c r="AC24" s="9" t="s">
        <v>249</v>
      </c>
      <c r="AD24" s="9" t="s">
        <v>603</v>
      </c>
    </row>
    <row r="25" customFormat="false" ht="72" hidden="false" customHeight="true" outlineLevel="0" collapsed="false">
      <c r="A25" s="9" t="s">
        <v>279</v>
      </c>
      <c r="B25" s="9" t="s">
        <v>89</v>
      </c>
      <c r="C25" s="9" t="s">
        <v>534</v>
      </c>
      <c r="D25" s="9" t="s">
        <v>227</v>
      </c>
      <c r="E25" s="9" t="s">
        <v>275</v>
      </c>
      <c r="F25" s="9" t="s">
        <v>276</v>
      </c>
      <c r="G25" s="9" t="s">
        <v>614</v>
      </c>
      <c r="H25" s="8" t="s">
        <v>536</v>
      </c>
      <c r="I25" s="8" t="s">
        <v>537</v>
      </c>
      <c r="J25" s="9" t="s">
        <v>599</v>
      </c>
      <c r="K25" s="8" t="s">
        <v>615</v>
      </c>
      <c r="L25" s="9" t="s">
        <v>614</v>
      </c>
      <c r="M25" s="8" t="s">
        <v>601</v>
      </c>
      <c r="N25" s="8" t="s">
        <v>541</v>
      </c>
      <c r="O25" s="9" t="s">
        <v>542</v>
      </c>
      <c r="P25" s="9" t="s">
        <v>51</v>
      </c>
      <c r="Q25" s="9" t="s">
        <v>113</v>
      </c>
      <c r="R25" s="9" t="s">
        <v>563</v>
      </c>
      <c r="S25" s="9" t="s">
        <v>544</v>
      </c>
      <c r="T25" s="9" t="s">
        <v>545</v>
      </c>
      <c r="U25" s="9" t="s">
        <v>120</v>
      </c>
      <c r="V25" s="9" t="s">
        <v>114</v>
      </c>
      <c r="W25" s="9" t="s">
        <v>546</v>
      </c>
      <c r="X25" s="9" t="s">
        <v>602</v>
      </c>
      <c r="Y25" s="9" t="s">
        <v>280</v>
      </c>
      <c r="Z25" s="9" t="s">
        <v>281</v>
      </c>
      <c r="AA25" s="9" t="s">
        <v>121</v>
      </c>
      <c r="AB25" s="9" t="s">
        <v>122</v>
      </c>
      <c r="AC25" s="9" t="s">
        <v>249</v>
      </c>
      <c r="AD25" s="9" t="s">
        <v>603</v>
      </c>
    </row>
    <row r="26" customFormat="false" ht="72" hidden="false" customHeight="true" outlineLevel="0" collapsed="false">
      <c r="A26" s="9" t="s">
        <v>285</v>
      </c>
      <c r="B26" s="9" t="s">
        <v>89</v>
      </c>
      <c r="C26" s="9" t="s">
        <v>534</v>
      </c>
      <c r="D26" s="9" t="s">
        <v>227</v>
      </c>
      <c r="E26" s="9" t="s">
        <v>282</v>
      </c>
      <c r="F26" s="9" t="s">
        <v>283</v>
      </c>
      <c r="G26" s="9" t="s">
        <v>616</v>
      </c>
      <c r="H26" s="8" t="s">
        <v>536</v>
      </c>
      <c r="I26" s="8" t="s">
        <v>537</v>
      </c>
      <c r="J26" s="9" t="s">
        <v>599</v>
      </c>
      <c r="K26" s="8" t="s">
        <v>617</v>
      </c>
      <c r="L26" s="9" t="s">
        <v>616</v>
      </c>
      <c r="M26" s="8" t="s">
        <v>601</v>
      </c>
      <c r="N26" s="8" t="s">
        <v>541</v>
      </c>
      <c r="O26" s="9" t="s">
        <v>542</v>
      </c>
      <c r="P26" s="9" t="s">
        <v>51</v>
      </c>
      <c r="Q26" s="9" t="s">
        <v>113</v>
      </c>
      <c r="R26" s="9" t="s">
        <v>563</v>
      </c>
      <c r="S26" s="9" t="s">
        <v>544</v>
      </c>
      <c r="T26" s="9" t="s">
        <v>545</v>
      </c>
      <c r="U26" s="9" t="s">
        <v>120</v>
      </c>
      <c r="V26" s="9" t="s">
        <v>114</v>
      </c>
      <c r="W26" s="9" t="s">
        <v>546</v>
      </c>
      <c r="X26" s="9" t="s">
        <v>602</v>
      </c>
      <c r="Y26" s="9" t="s">
        <v>286</v>
      </c>
      <c r="Z26" s="9" t="s">
        <v>287</v>
      </c>
      <c r="AA26" s="9" t="s">
        <v>121</v>
      </c>
      <c r="AB26" s="9" t="s">
        <v>122</v>
      </c>
      <c r="AC26" s="9" t="s">
        <v>288</v>
      </c>
      <c r="AD26" s="9" t="s">
        <v>603</v>
      </c>
    </row>
    <row r="27" customFormat="false" ht="72" hidden="false" customHeight="true" outlineLevel="0" collapsed="false">
      <c r="A27" s="9" t="s">
        <v>292</v>
      </c>
      <c r="B27" s="9" t="s">
        <v>89</v>
      </c>
      <c r="C27" s="9" t="s">
        <v>534</v>
      </c>
      <c r="D27" s="9" t="s">
        <v>227</v>
      </c>
      <c r="E27" s="9" t="s">
        <v>289</v>
      </c>
      <c r="F27" s="9" t="s">
        <v>290</v>
      </c>
      <c r="G27" s="9" t="s">
        <v>618</v>
      </c>
      <c r="H27" s="8" t="s">
        <v>536</v>
      </c>
      <c r="I27" s="8" t="s">
        <v>537</v>
      </c>
      <c r="J27" s="9" t="s">
        <v>599</v>
      </c>
      <c r="K27" s="8" t="s">
        <v>619</v>
      </c>
      <c r="L27" s="9" t="s">
        <v>618</v>
      </c>
      <c r="M27" s="8" t="s">
        <v>601</v>
      </c>
      <c r="N27" s="8" t="s">
        <v>541</v>
      </c>
      <c r="O27" s="9" t="s">
        <v>542</v>
      </c>
      <c r="P27" s="9" t="s">
        <v>51</v>
      </c>
      <c r="Q27" s="9" t="s">
        <v>113</v>
      </c>
      <c r="R27" s="9" t="s">
        <v>563</v>
      </c>
      <c r="S27" s="9" t="s">
        <v>544</v>
      </c>
      <c r="T27" s="9" t="s">
        <v>545</v>
      </c>
      <c r="U27" s="9" t="s">
        <v>120</v>
      </c>
      <c r="V27" s="9" t="s">
        <v>114</v>
      </c>
      <c r="W27" s="9" t="s">
        <v>546</v>
      </c>
      <c r="X27" s="9" t="s">
        <v>602</v>
      </c>
      <c r="Y27" s="9" t="s">
        <v>293</v>
      </c>
      <c r="Z27" s="9" t="s">
        <v>294</v>
      </c>
      <c r="AA27" s="9" t="s">
        <v>121</v>
      </c>
      <c r="AB27" s="9" t="s">
        <v>122</v>
      </c>
      <c r="AC27" s="9" t="s">
        <v>249</v>
      </c>
      <c r="AD27" s="9" t="s">
        <v>603</v>
      </c>
    </row>
    <row r="28" customFormat="false" ht="72" hidden="false" customHeight="true" outlineLevel="0" collapsed="false">
      <c r="A28" s="9" t="s">
        <v>298</v>
      </c>
      <c r="B28" s="9" t="s">
        <v>89</v>
      </c>
      <c r="C28" s="9" t="s">
        <v>534</v>
      </c>
      <c r="D28" s="9" t="s">
        <v>227</v>
      </c>
      <c r="E28" s="9" t="s">
        <v>295</v>
      </c>
      <c r="F28" s="9" t="s">
        <v>296</v>
      </c>
      <c r="G28" s="9" t="s">
        <v>620</v>
      </c>
      <c r="H28" s="8" t="s">
        <v>536</v>
      </c>
      <c r="I28" s="8" t="s">
        <v>537</v>
      </c>
      <c r="J28" s="9" t="s">
        <v>599</v>
      </c>
      <c r="K28" s="8" t="s">
        <v>621</v>
      </c>
      <c r="L28" s="9" t="s">
        <v>620</v>
      </c>
      <c r="M28" s="8" t="s">
        <v>601</v>
      </c>
      <c r="N28" s="8" t="s">
        <v>541</v>
      </c>
      <c r="O28" s="9" t="s">
        <v>542</v>
      </c>
      <c r="P28" s="9" t="s">
        <v>51</v>
      </c>
      <c r="Q28" s="9" t="s">
        <v>113</v>
      </c>
      <c r="R28" s="9" t="s">
        <v>563</v>
      </c>
      <c r="S28" s="9" t="s">
        <v>544</v>
      </c>
      <c r="T28" s="9" t="s">
        <v>545</v>
      </c>
      <c r="U28" s="9" t="s">
        <v>120</v>
      </c>
      <c r="V28" s="9" t="s">
        <v>114</v>
      </c>
      <c r="W28" s="9" t="s">
        <v>546</v>
      </c>
      <c r="X28" s="9" t="s">
        <v>602</v>
      </c>
      <c r="Y28" s="9" t="s">
        <v>299</v>
      </c>
      <c r="Z28" s="9" t="s">
        <v>300</v>
      </c>
      <c r="AA28" s="9" t="s">
        <v>121</v>
      </c>
      <c r="AB28" s="9" t="s">
        <v>122</v>
      </c>
      <c r="AC28" s="9" t="s">
        <v>288</v>
      </c>
      <c r="AD28" s="9" t="s">
        <v>603</v>
      </c>
    </row>
    <row r="29" customFormat="false" ht="72" hidden="false" customHeight="true" outlineLevel="0" collapsed="false">
      <c r="A29" s="9" t="s">
        <v>304</v>
      </c>
      <c r="B29" s="9" t="s">
        <v>89</v>
      </c>
      <c r="C29" s="9" t="s">
        <v>534</v>
      </c>
      <c r="D29" s="9" t="s">
        <v>227</v>
      </c>
      <c r="E29" s="9" t="s">
        <v>301</v>
      </c>
      <c r="F29" s="9" t="s">
        <v>302</v>
      </c>
      <c r="G29" s="9" t="s">
        <v>622</v>
      </c>
      <c r="H29" s="8" t="s">
        <v>536</v>
      </c>
      <c r="I29" s="8" t="s">
        <v>537</v>
      </c>
      <c r="J29" s="9" t="s">
        <v>599</v>
      </c>
      <c r="K29" s="8" t="s">
        <v>623</v>
      </c>
      <c r="L29" s="9" t="s">
        <v>622</v>
      </c>
      <c r="M29" s="8" t="s">
        <v>601</v>
      </c>
      <c r="N29" s="8" t="s">
        <v>541</v>
      </c>
      <c r="O29" s="9" t="s">
        <v>542</v>
      </c>
      <c r="P29" s="9" t="s">
        <v>51</v>
      </c>
      <c r="Q29" s="9" t="s">
        <v>113</v>
      </c>
      <c r="R29" s="9" t="s">
        <v>563</v>
      </c>
      <c r="S29" s="9" t="s">
        <v>544</v>
      </c>
      <c r="T29" s="9" t="s">
        <v>545</v>
      </c>
      <c r="U29" s="9" t="s">
        <v>120</v>
      </c>
      <c r="V29" s="9" t="s">
        <v>114</v>
      </c>
      <c r="W29" s="9" t="s">
        <v>546</v>
      </c>
      <c r="X29" s="9" t="s">
        <v>602</v>
      </c>
      <c r="Y29" s="9" t="s">
        <v>305</v>
      </c>
      <c r="Z29" s="9" t="s">
        <v>306</v>
      </c>
      <c r="AA29" s="9" t="s">
        <v>121</v>
      </c>
      <c r="AB29" s="9" t="s">
        <v>122</v>
      </c>
      <c r="AC29" s="9" t="s">
        <v>288</v>
      </c>
      <c r="AD29" s="9" t="s">
        <v>603</v>
      </c>
    </row>
    <row r="30" customFormat="false" ht="72" hidden="false" customHeight="true" outlineLevel="0" collapsed="false">
      <c r="A30" s="9" t="s">
        <v>354</v>
      </c>
      <c r="B30" s="9" t="s">
        <v>89</v>
      </c>
      <c r="C30" s="9" t="s">
        <v>534</v>
      </c>
      <c r="D30" s="9" t="s">
        <v>227</v>
      </c>
      <c r="E30" s="9" t="s">
        <v>350</v>
      </c>
      <c r="F30" s="9" t="s">
        <v>351</v>
      </c>
      <c r="G30" s="9" t="s">
        <v>624</v>
      </c>
      <c r="H30" s="8" t="s">
        <v>536</v>
      </c>
      <c r="I30" s="8" t="s">
        <v>537</v>
      </c>
      <c r="J30" s="9" t="s">
        <v>599</v>
      </c>
      <c r="K30" s="8" t="s">
        <v>625</v>
      </c>
      <c r="L30" s="9" t="s">
        <v>624</v>
      </c>
      <c r="M30" s="8" t="s">
        <v>601</v>
      </c>
      <c r="N30" s="8" t="s">
        <v>541</v>
      </c>
      <c r="O30" s="9" t="s">
        <v>542</v>
      </c>
      <c r="P30" s="9" t="s">
        <v>51</v>
      </c>
      <c r="Q30" s="9" t="s">
        <v>113</v>
      </c>
      <c r="R30" s="9" t="s">
        <v>543</v>
      </c>
      <c r="S30" s="9" t="s">
        <v>544</v>
      </c>
      <c r="T30" s="9" t="s">
        <v>545</v>
      </c>
      <c r="U30" s="9" t="s">
        <v>120</v>
      </c>
      <c r="V30" s="9" t="s">
        <v>114</v>
      </c>
      <c r="W30" s="9" t="s">
        <v>546</v>
      </c>
      <c r="X30" s="9" t="s">
        <v>602</v>
      </c>
      <c r="Y30" s="9" t="s">
        <v>355</v>
      </c>
      <c r="Z30" s="9" t="s">
        <v>356</v>
      </c>
      <c r="AA30" s="9" t="s">
        <v>121</v>
      </c>
      <c r="AB30" s="9" t="s">
        <v>122</v>
      </c>
      <c r="AC30" s="9" t="s">
        <v>249</v>
      </c>
      <c r="AD30" s="9" t="s">
        <v>603</v>
      </c>
    </row>
    <row r="31" customFormat="false" ht="72" hidden="false" customHeight="true" outlineLevel="0" collapsed="false">
      <c r="A31" s="9" t="s">
        <v>377</v>
      </c>
      <c r="B31" s="9" t="s">
        <v>89</v>
      </c>
      <c r="C31" s="9" t="s">
        <v>534</v>
      </c>
      <c r="D31" s="9" t="s">
        <v>227</v>
      </c>
      <c r="E31" s="9" t="s">
        <v>131</v>
      </c>
      <c r="F31" s="9" t="s">
        <v>375</v>
      </c>
      <c r="G31" s="9" t="s">
        <v>626</v>
      </c>
      <c r="H31" s="8" t="s">
        <v>536</v>
      </c>
      <c r="I31" s="8" t="s">
        <v>537</v>
      </c>
      <c r="J31" s="9" t="s">
        <v>627</v>
      </c>
      <c r="K31" s="8" t="s">
        <v>628</v>
      </c>
      <c r="L31" s="9" t="s">
        <v>626</v>
      </c>
      <c r="M31" s="8" t="s">
        <v>557</v>
      </c>
      <c r="N31" s="8" t="s">
        <v>541</v>
      </c>
      <c r="O31" s="9" t="s">
        <v>542</v>
      </c>
      <c r="P31" s="9" t="s">
        <v>51</v>
      </c>
      <c r="Q31" s="9" t="s">
        <v>136</v>
      </c>
      <c r="R31" s="9" t="s">
        <v>552</v>
      </c>
      <c r="S31" s="9" t="s">
        <v>544</v>
      </c>
      <c r="T31" s="9" t="s">
        <v>545</v>
      </c>
      <c r="U31" s="9" t="s">
        <v>120</v>
      </c>
      <c r="V31" s="9" t="s">
        <v>137</v>
      </c>
      <c r="W31" s="9" t="s">
        <v>558</v>
      </c>
      <c r="X31" s="9" t="s">
        <v>602</v>
      </c>
      <c r="Y31" s="9" t="s">
        <v>378</v>
      </c>
      <c r="Z31" s="9" t="s">
        <v>379</v>
      </c>
      <c r="AA31" s="9" t="s">
        <v>121</v>
      </c>
      <c r="AB31" s="9" t="s">
        <v>122</v>
      </c>
      <c r="AC31" s="9" t="s">
        <v>188</v>
      </c>
      <c r="AD31" s="9" t="s">
        <v>629</v>
      </c>
    </row>
    <row r="32" customFormat="false" ht="72" hidden="false" customHeight="true" outlineLevel="0" collapsed="false">
      <c r="A32" s="9" t="s">
        <v>382</v>
      </c>
      <c r="B32" s="9" t="s">
        <v>89</v>
      </c>
      <c r="C32" s="9" t="s">
        <v>534</v>
      </c>
      <c r="D32" s="9" t="s">
        <v>227</v>
      </c>
      <c r="E32" s="9" t="s">
        <v>143</v>
      </c>
      <c r="F32" s="9" t="s">
        <v>380</v>
      </c>
      <c r="G32" s="9" t="s">
        <v>548</v>
      </c>
      <c r="H32" s="8" t="s">
        <v>536</v>
      </c>
      <c r="I32" s="8" t="s">
        <v>537</v>
      </c>
      <c r="J32" s="9" t="s">
        <v>630</v>
      </c>
      <c r="K32" s="8" t="s">
        <v>631</v>
      </c>
      <c r="L32" s="9" t="s">
        <v>548</v>
      </c>
      <c r="M32" s="8" t="s">
        <v>551</v>
      </c>
      <c r="N32" s="8" t="s">
        <v>541</v>
      </c>
      <c r="O32" s="9" t="s">
        <v>542</v>
      </c>
      <c r="P32" s="9" t="s">
        <v>51</v>
      </c>
      <c r="Q32" s="9" t="s">
        <v>146</v>
      </c>
      <c r="R32" s="9" t="s">
        <v>552</v>
      </c>
      <c r="S32" s="9" t="s">
        <v>544</v>
      </c>
      <c r="T32" s="9" t="s">
        <v>545</v>
      </c>
      <c r="U32" s="9" t="s">
        <v>120</v>
      </c>
      <c r="V32" s="9" t="s">
        <v>114</v>
      </c>
      <c r="W32" s="9" t="s">
        <v>546</v>
      </c>
      <c r="X32" s="9" t="s">
        <v>602</v>
      </c>
      <c r="Y32" s="9" t="s">
        <v>383</v>
      </c>
      <c r="Z32" s="9" t="s">
        <v>384</v>
      </c>
      <c r="AA32" s="9" t="s">
        <v>121</v>
      </c>
      <c r="AB32" s="9" t="s">
        <v>122</v>
      </c>
      <c r="AC32" s="9" t="s">
        <v>151</v>
      </c>
      <c r="AD32" s="9" t="s">
        <v>632</v>
      </c>
    </row>
    <row r="33" customFormat="false" ht="72" hidden="false" customHeight="true" outlineLevel="0" collapsed="false">
      <c r="A33" s="9" t="s">
        <v>387</v>
      </c>
      <c r="B33" s="9" t="s">
        <v>89</v>
      </c>
      <c r="C33" s="9" t="s">
        <v>534</v>
      </c>
      <c r="D33" s="9" t="s">
        <v>227</v>
      </c>
      <c r="E33" s="9" t="s">
        <v>152</v>
      </c>
      <c r="F33" s="9" t="s">
        <v>385</v>
      </c>
      <c r="G33" s="8" t="s">
        <v>585</v>
      </c>
      <c r="H33" s="8" t="s">
        <v>536</v>
      </c>
      <c r="I33" s="8" t="s">
        <v>537</v>
      </c>
      <c r="J33" s="9" t="s">
        <v>599</v>
      </c>
      <c r="K33" s="8" t="s">
        <v>633</v>
      </c>
      <c r="L33" s="8" t="s">
        <v>585</v>
      </c>
      <c r="M33" s="8" t="s">
        <v>540</v>
      </c>
      <c r="N33" s="8" t="s">
        <v>541</v>
      </c>
      <c r="O33" s="9" t="s">
        <v>542</v>
      </c>
      <c r="P33" s="9" t="s">
        <v>51</v>
      </c>
      <c r="Q33" s="9" t="s">
        <v>146</v>
      </c>
      <c r="R33" s="9" t="s">
        <v>581</v>
      </c>
      <c r="S33" s="9" t="s">
        <v>544</v>
      </c>
      <c r="T33" s="9" t="s">
        <v>545</v>
      </c>
      <c r="U33" s="9" t="s">
        <v>120</v>
      </c>
      <c r="V33" s="9" t="s">
        <v>114</v>
      </c>
      <c r="W33" s="9" t="s">
        <v>546</v>
      </c>
      <c r="X33" s="9" t="s">
        <v>602</v>
      </c>
      <c r="Y33" s="9" t="s">
        <v>388</v>
      </c>
      <c r="Z33" s="9" t="s">
        <v>389</v>
      </c>
      <c r="AA33" s="9" t="s">
        <v>121</v>
      </c>
      <c r="AB33" s="9" t="s">
        <v>122</v>
      </c>
      <c r="AC33" s="9" t="s">
        <v>123</v>
      </c>
      <c r="AD33" s="9" t="s">
        <v>603</v>
      </c>
    </row>
    <row r="34" customFormat="false" ht="72" hidden="false" customHeight="true" outlineLevel="0" collapsed="false">
      <c r="A34" s="9" t="s">
        <v>392</v>
      </c>
      <c r="B34" s="9" t="s">
        <v>89</v>
      </c>
      <c r="C34" s="9" t="s">
        <v>534</v>
      </c>
      <c r="D34" s="9" t="s">
        <v>227</v>
      </c>
      <c r="E34" s="9" t="s">
        <v>159</v>
      </c>
      <c r="F34" s="9" t="s">
        <v>390</v>
      </c>
      <c r="G34" s="9" t="s">
        <v>587</v>
      </c>
      <c r="H34" s="8" t="s">
        <v>536</v>
      </c>
      <c r="I34" s="8" t="s">
        <v>537</v>
      </c>
      <c r="J34" s="9" t="s">
        <v>634</v>
      </c>
      <c r="K34" s="8" t="s">
        <v>635</v>
      </c>
      <c r="L34" s="9" t="s">
        <v>587</v>
      </c>
      <c r="M34" s="9" t="s">
        <v>576</v>
      </c>
      <c r="N34" s="8" t="s">
        <v>541</v>
      </c>
      <c r="O34" s="9" t="s">
        <v>542</v>
      </c>
      <c r="P34" s="9" t="s">
        <v>51</v>
      </c>
      <c r="Q34" s="9" t="s">
        <v>146</v>
      </c>
      <c r="R34" s="9" t="s">
        <v>581</v>
      </c>
      <c r="S34" s="9" t="s">
        <v>544</v>
      </c>
      <c r="T34" s="9" t="s">
        <v>545</v>
      </c>
      <c r="U34" s="9" t="s">
        <v>120</v>
      </c>
      <c r="V34" s="9" t="s">
        <v>114</v>
      </c>
      <c r="W34" s="9" t="s">
        <v>546</v>
      </c>
      <c r="X34" s="9" t="s">
        <v>602</v>
      </c>
      <c r="Y34" s="9" t="s">
        <v>393</v>
      </c>
      <c r="Z34" s="9" t="s">
        <v>394</v>
      </c>
      <c r="AA34" s="9" t="s">
        <v>121</v>
      </c>
      <c r="AB34" s="9" t="s">
        <v>122</v>
      </c>
      <c r="AC34" s="9" t="s">
        <v>165</v>
      </c>
      <c r="AD34" s="9" t="s">
        <v>636</v>
      </c>
    </row>
    <row r="35" customFormat="false" ht="72" hidden="false" customHeight="true" outlineLevel="0" collapsed="false">
      <c r="A35" s="9" t="s">
        <v>417</v>
      </c>
      <c r="B35" s="9" t="s">
        <v>89</v>
      </c>
      <c r="C35" s="9" t="s">
        <v>534</v>
      </c>
      <c r="D35" s="9" t="s">
        <v>227</v>
      </c>
      <c r="E35" s="9" t="s">
        <v>195</v>
      </c>
      <c r="F35" s="9" t="s">
        <v>415</v>
      </c>
      <c r="G35" s="9" t="s">
        <v>589</v>
      </c>
      <c r="H35" s="8" t="s">
        <v>536</v>
      </c>
      <c r="I35" s="8" t="s">
        <v>537</v>
      </c>
      <c r="J35" s="9" t="s">
        <v>627</v>
      </c>
      <c r="K35" s="8" t="s">
        <v>637</v>
      </c>
      <c r="L35" s="9" t="s">
        <v>589</v>
      </c>
      <c r="M35" s="8" t="s">
        <v>540</v>
      </c>
      <c r="N35" s="8" t="s">
        <v>541</v>
      </c>
      <c r="O35" s="9" t="s">
        <v>542</v>
      </c>
      <c r="P35" s="9" t="s">
        <v>51</v>
      </c>
      <c r="Q35" s="9" t="s">
        <v>146</v>
      </c>
      <c r="R35" s="9" t="s">
        <v>581</v>
      </c>
      <c r="S35" s="9" t="s">
        <v>544</v>
      </c>
      <c r="T35" s="9" t="s">
        <v>545</v>
      </c>
      <c r="U35" s="9" t="s">
        <v>120</v>
      </c>
      <c r="V35" s="9" t="s">
        <v>114</v>
      </c>
      <c r="W35" s="9" t="s">
        <v>546</v>
      </c>
      <c r="X35" s="9" t="s">
        <v>602</v>
      </c>
      <c r="Y35" s="9" t="s">
        <v>418</v>
      </c>
      <c r="Z35" s="9" t="s">
        <v>419</v>
      </c>
      <c r="AA35" s="9" t="s">
        <v>121</v>
      </c>
      <c r="AB35" s="9" t="s">
        <v>122</v>
      </c>
      <c r="AC35" s="9" t="s">
        <v>188</v>
      </c>
      <c r="AD35" s="9" t="s">
        <v>638</v>
      </c>
    </row>
    <row r="36" customFormat="false" ht="72" hidden="false" customHeight="true" outlineLevel="0" collapsed="false">
      <c r="A36" s="9" t="s">
        <v>397</v>
      </c>
      <c r="B36" s="9" t="s">
        <v>89</v>
      </c>
      <c r="C36" s="9" t="s">
        <v>534</v>
      </c>
      <c r="D36" s="9" t="s">
        <v>227</v>
      </c>
      <c r="E36" s="9" t="s">
        <v>166</v>
      </c>
      <c r="F36" s="9" t="s">
        <v>395</v>
      </c>
      <c r="G36" s="9" t="s">
        <v>639</v>
      </c>
      <c r="H36" s="8" t="s">
        <v>536</v>
      </c>
      <c r="I36" s="8" t="s">
        <v>537</v>
      </c>
      <c r="J36" s="9" t="s">
        <v>640</v>
      </c>
      <c r="K36" s="8" t="s">
        <v>641</v>
      </c>
      <c r="L36" s="9" t="s">
        <v>639</v>
      </c>
      <c r="M36" s="9" t="s">
        <v>576</v>
      </c>
      <c r="N36" s="8" t="s">
        <v>541</v>
      </c>
      <c r="O36" s="9" t="s">
        <v>542</v>
      </c>
      <c r="P36" s="9" t="s">
        <v>51</v>
      </c>
      <c r="Q36" s="9" t="s">
        <v>136</v>
      </c>
      <c r="R36" s="9" t="s">
        <v>552</v>
      </c>
      <c r="S36" s="9" t="s">
        <v>544</v>
      </c>
      <c r="T36" s="9" t="s">
        <v>545</v>
      </c>
      <c r="U36" s="9" t="s">
        <v>120</v>
      </c>
      <c r="V36" s="9" t="s">
        <v>137</v>
      </c>
      <c r="W36" s="9" t="s">
        <v>558</v>
      </c>
      <c r="X36" s="9" t="s">
        <v>602</v>
      </c>
      <c r="Y36" s="9" t="s">
        <v>398</v>
      </c>
      <c r="Z36" s="9" t="s">
        <v>399</v>
      </c>
      <c r="AA36" s="9" t="s">
        <v>121</v>
      </c>
      <c r="AB36" s="9" t="s">
        <v>122</v>
      </c>
      <c r="AC36" s="9" t="s">
        <v>188</v>
      </c>
      <c r="AD36" s="9" t="s">
        <v>642</v>
      </c>
    </row>
    <row r="37" customFormat="false" ht="72" hidden="false" customHeight="true" outlineLevel="0" collapsed="false">
      <c r="A37" s="9" t="s">
        <v>402</v>
      </c>
      <c r="B37" s="9" t="s">
        <v>89</v>
      </c>
      <c r="C37" s="9" t="s">
        <v>534</v>
      </c>
      <c r="D37" s="9" t="s">
        <v>227</v>
      </c>
      <c r="E37" s="9" t="s">
        <v>175</v>
      </c>
      <c r="F37" s="9" t="s">
        <v>400</v>
      </c>
      <c r="G37" s="9" t="s">
        <v>643</v>
      </c>
      <c r="H37" s="8" t="s">
        <v>536</v>
      </c>
      <c r="I37" s="8" t="s">
        <v>537</v>
      </c>
      <c r="J37" s="9" t="s">
        <v>634</v>
      </c>
      <c r="K37" s="8" t="s">
        <v>644</v>
      </c>
      <c r="L37" s="9" t="s">
        <v>643</v>
      </c>
      <c r="M37" s="9" t="s">
        <v>576</v>
      </c>
      <c r="N37" s="8" t="s">
        <v>541</v>
      </c>
      <c r="O37" s="9" t="s">
        <v>542</v>
      </c>
      <c r="P37" s="9" t="s">
        <v>51</v>
      </c>
      <c r="Q37" s="9" t="s">
        <v>146</v>
      </c>
      <c r="R37" s="9" t="s">
        <v>552</v>
      </c>
      <c r="S37" s="9" t="s">
        <v>544</v>
      </c>
      <c r="T37" s="9" t="s">
        <v>545</v>
      </c>
      <c r="U37" s="9" t="s">
        <v>120</v>
      </c>
      <c r="V37" s="9" t="s">
        <v>114</v>
      </c>
      <c r="W37" s="9" t="s">
        <v>546</v>
      </c>
      <c r="X37" s="9" t="s">
        <v>602</v>
      </c>
      <c r="Y37" s="9" t="s">
        <v>403</v>
      </c>
      <c r="Z37" s="9" t="s">
        <v>404</v>
      </c>
      <c r="AA37" s="9" t="s">
        <v>121</v>
      </c>
      <c r="AB37" s="9" t="s">
        <v>122</v>
      </c>
      <c r="AC37" s="9" t="s">
        <v>123</v>
      </c>
      <c r="AD37" s="9" t="s">
        <v>642</v>
      </c>
    </row>
    <row r="38" customFormat="false" ht="72" hidden="false" customHeight="true" outlineLevel="0" collapsed="false">
      <c r="A38" s="9" t="s">
        <v>407</v>
      </c>
      <c r="B38" s="9" t="s">
        <v>89</v>
      </c>
      <c r="C38" s="9" t="s">
        <v>534</v>
      </c>
      <c r="D38" s="9" t="s">
        <v>227</v>
      </c>
      <c r="E38" s="9" t="s">
        <v>181</v>
      </c>
      <c r="F38" s="9" t="s">
        <v>405</v>
      </c>
      <c r="G38" s="9" t="s">
        <v>645</v>
      </c>
      <c r="H38" s="8" t="s">
        <v>536</v>
      </c>
      <c r="I38" s="8" t="s">
        <v>537</v>
      </c>
      <c r="J38" s="9" t="s">
        <v>640</v>
      </c>
      <c r="K38" s="8" t="s">
        <v>646</v>
      </c>
      <c r="L38" s="9" t="s">
        <v>645</v>
      </c>
      <c r="M38" s="9" t="s">
        <v>576</v>
      </c>
      <c r="N38" s="8" t="s">
        <v>541</v>
      </c>
      <c r="O38" s="9" t="s">
        <v>542</v>
      </c>
      <c r="P38" s="9" t="s">
        <v>51</v>
      </c>
      <c r="Q38" s="9" t="s">
        <v>146</v>
      </c>
      <c r="R38" s="9" t="s">
        <v>581</v>
      </c>
      <c r="S38" s="9" t="s">
        <v>544</v>
      </c>
      <c r="T38" s="9" t="s">
        <v>545</v>
      </c>
      <c r="U38" s="9" t="s">
        <v>120</v>
      </c>
      <c r="V38" s="9" t="s">
        <v>114</v>
      </c>
      <c r="W38" s="9" t="s">
        <v>558</v>
      </c>
      <c r="X38" s="9" t="s">
        <v>602</v>
      </c>
      <c r="Y38" s="9" t="s">
        <v>408</v>
      </c>
      <c r="Z38" s="9" t="s">
        <v>409</v>
      </c>
      <c r="AA38" s="9" t="s">
        <v>121</v>
      </c>
      <c r="AB38" s="9" t="s">
        <v>122</v>
      </c>
      <c r="AC38" s="9" t="s">
        <v>188</v>
      </c>
      <c r="AD38" s="9" t="s">
        <v>636</v>
      </c>
    </row>
    <row r="39" customFormat="false" ht="72" hidden="false" customHeight="true" outlineLevel="0" collapsed="false">
      <c r="A39" s="9" t="s">
        <v>412</v>
      </c>
      <c r="B39" s="9" t="s">
        <v>89</v>
      </c>
      <c r="C39" s="9" t="s">
        <v>534</v>
      </c>
      <c r="D39" s="9" t="s">
        <v>227</v>
      </c>
      <c r="E39" s="9" t="s">
        <v>189</v>
      </c>
      <c r="F39" s="9" t="s">
        <v>410</v>
      </c>
      <c r="G39" s="9" t="s">
        <v>647</v>
      </c>
      <c r="H39" s="8" t="s">
        <v>536</v>
      </c>
      <c r="I39" s="8" t="s">
        <v>537</v>
      </c>
      <c r="J39" s="9" t="s">
        <v>640</v>
      </c>
      <c r="K39" s="8" t="s">
        <v>648</v>
      </c>
      <c r="L39" s="9" t="s">
        <v>647</v>
      </c>
      <c r="M39" s="9" t="s">
        <v>576</v>
      </c>
      <c r="N39" s="8" t="s">
        <v>541</v>
      </c>
      <c r="O39" s="9" t="s">
        <v>542</v>
      </c>
      <c r="P39" s="9" t="s">
        <v>51</v>
      </c>
      <c r="Q39" s="9" t="s">
        <v>146</v>
      </c>
      <c r="R39" s="9" t="s">
        <v>581</v>
      </c>
      <c r="S39" s="9" t="s">
        <v>544</v>
      </c>
      <c r="T39" s="9" t="s">
        <v>545</v>
      </c>
      <c r="U39" s="9" t="s">
        <v>120</v>
      </c>
      <c r="V39" s="9" t="s">
        <v>114</v>
      </c>
      <c r="W39" s="9" t="s">
        <v>558</v>
      </c>
      <c r="X39" s="9" t="s">
        <v>602</v>
      </c>
      <c r="Y39" s="9" t="s">
        <v>413</v>
      </c>
      <c r="Z39" s="9" t="s">
        <v>414</v>
      </c>
      <c r="AA39" s="9" t="s">
        <v>121</v>
      </c>
      <c r="AB39" s="9" t="s">
        <v>122</v>
      </c>
      <c r="AC39" s="9" t="s">
        <v>188</v>
      </c>
      <c r="AD39" s="9" t="s">
        <v>636</v>
      </c>
    </row>
    <row r="40" customFormat="false" ht="72" hidden="false" customHeight="true" outlineLevel="0" collapsed="false">
      <c r="A40" s="9" t="s">
        <v>232</v>
      </c>
      <c r="B40" s="9" t="s">
        <v>89</v>
      </c>
      <c r="C40" s="9" t="s">
        <v>534</v>
      </c>
      <c r="D40" s="9" t="s">
        <v>227</v>
      </c>
      <c r="E40" s="9" t="s">
        <v>228</v>
      </c>
      <c r="F40" s="9" t="s">
        <v>229</v>
      </c>
      <c r="G40" s="9" t="s">
        <v>649</v>
      </c>
      <c r="H40" s="8" t="s">
        <v>536</v>
      </c>
      <c r="I40" s="8" t="s">
        <v>537</v>
      </c>
      <c r="J40" s="9" t="s">
        <v>599</v>
      </c>
      <c r="K40" s="8" t="s">
        <v>650</v>
      </c>
      <c r="L40" s="9" t="s">
        <v>649</v>
      </c>
      <c r="M40" s="8" t="s">
        <v>540</v>
      </c>
      <c r="N40" s="8" t="s">
        <v>541</v>
      </c>
      <c r="O40" s="9" t="s">
        <v>542</v>
      </c>
      <c r="P40" s="9" t="s">
        <v>51</v>
      </c>
      <c r="Q40" s="9" t="s">
        <v>204</v>
      </c>
      <c r="R40" s="9" t="s">
        <v>543</v>
      </c>
      <c r="S40" s="9" t="s">
        <v>544</v>
      </c>
      <c r="T40" s="9" t="s">
        <v>545</v>
      </c>
      <c r="U40" s="9" t="s">
        <v>120</v>
      </c>
      <c r="V40" s="9" t="s">
        <v>114</v>
      </c>
      <c r="W40" s="9" t="s">
        <v>546</v>
      </c>
      <c r="X40" s="9" t="s">
        <v>602</v>
      </c>
      <c r="Y40" s="9" t="s">
        <v>233</v>
      </c>
      <c r="Z40" s="9" t="s">
        <v>234</v>
      </c>
      <c r="AA40" s="9" t="s">
        <v>121</v>
      </c>
      <c r="AB40" s="9" t="s">
        <v>122</v>
      </c>
      <c r="AC40" s="9" t="s">
        <v>123</v>
      </c>
      <c r="AD40" s="9" t="s">
        <v>603</v>
      </c>
    </row>
    <row r="41" customFormat="false" ht="72" hidden="false" customHeight="true" outlineLevel="0" collapsed="false">
      <c r="A41" s="9" t="s">
        <v>361</v>
      </c>
      <c r="B41" s="9" t="s">
        <v>89</v>
      </c>
      <c r="C41" s="9" t="s">
        <v>534</v>
      </c>
      <c r="D41" s="9" t="s">
        <v>227</v>
      </c>
      <c r="E41" s="9" t="s">
        <v>357</v>
      </c>
      <c r="F41" s="9" t="s">
        <v>358</v>
      </c>
      <c r="G41" s="9" t="s">
        <v>651</v>
      </c>
      <c r="H41" s="8" t="s">
        <v>536</v>
      </c>
      <c r="I41" s="8" t="s">
        <v>537</v>
      </c>
      <c r="J41" s="9" t="s">
        <v>627</v>
      </c>
      <c r="K41" s="8" t="s">
        <v>652</v>
      </c>
      <c r="L41" s="9" t="s">
        <v>651</v>
      </c>
      <c r="M41" s="8" t="s">
        <v>540</v>
      </c>
      <c r="N41" s="8" t="s">
        <v>541</v>
      </c>
      <c r="O41" s="9" t="s">
        <v>542</v>
      </c>
      <c r="P41" s="9" t="s">
        <v>51</v>
      </c>
      <c r="Q41" s="9" t="s">
        <v>136</v>
      </c>
      <c r="R41" s="9" t="s">
        <v>581</v>
      </c>
      <c r="S41" s="9" t="s">
        <v>544</v>
      </c>
      <c r="T41" s="9" t="s">
        <v>545</v>
      </c>
      <c r="U41" s="9" t="s">
        <v>120</v>
      </c>
      <c r="V41" s="9" t="s">
        <v>137</v>
      </c>
      <c r="W41" s="9" t="s">
        <v>558</v>
      </c>
      <c r="X41" s="9" t="s">
        <v>602</v>
      </c>
      <c r="Y41" s="9" t="s">
        <v>362</v>
      </c>
      <c r="Z41" s="9" t="s">
        <v>363</v>
      </c>
      <c r="AA41" s="9" t="s">
        <v>121</v>
      </c>
      <c r="AB41" s="9" t="s">
        <v>122</v>
      </c>
      <c r="AC41" s="9" t="s">
        <v>188</v>
      </c>
      <c r="AD41" s="9" t="s">
        <v>638</v>
      </c>
    </row>
    <row r="42" customFormat="false" ht="72" hidden="false" customHeight="true" outlineLevel="0" collapsed="false">
      <c r="A42" s="9" t="s">
        <v>367</v>
      </c>
      <c r="B42" s="9" t="s">
        <v>89</v>
      </c>
      <c r="C42" s="9" t="s">
        <v>534</v>
      </c>
      <c r="D42" s="9" t="s">
        <v>227</v>
      </c>
      <c r="E42" s="9" t="s">
        <v>364</v>
      </c>
      <c r="F42" s="9" t="s">
        <v>365</v>
      </c>
      <c r="G42" s="9" t="s">
        <v>653</v>
      </c>
      <c r="H42" s="8" t="s">
        <v>536</v>
      </c>
      <c r="I42" s="8" t="s">
        <v>537</v>
      </c>
      <c r="J42" s="9" t="s">
        <v>627</v>
      </c>
      <c r="K42" s="8" t="s">
        <v>654</v>
      </c>
      <c r="L42" s="9" t="s">
        <v>653</v>
      </c>
      <c r="M42" s="8" t="s">
        <v>540</v>
      </c>
      <c r="N42" s="8" t="s">
        <v>541</v>
      </c>
      <c r="O42" s="9" t="s">
        <v>542</v>
      </c>
      <c r="P42" s="9" t="s">
        <v>51</v>
      </c>
      <c r="Q42" s="9" t="s">
        <v>136</v>
      </c>
      <c r="R42" s="9" t="s">
        <v>581</v>
      </c>
      <c r="S42" s="9" t="s">
        <v>544</v>
      </c>
      <c r="T42" s="9" t="s">
        <v>545</v>
      </c>
      <c r="U42" s="9" t="s">
        <v>120</v>
      </c>
      <c r="V42" s="9" t="s">
        <v>137</v>
      </c>
      <c r="W42" s="9" t="s">
        <v>558</v>
      </c>
      <c r="X42" s="9" t="s">
        <v>602</v>
      </c>
      <c r="Y42" s="9" t="s">
        <v>368</v>
      </c>
      <c r="Z42" s="9" t="s">
        <v>369</v>
      </c>
      <c r="AA42" s="9" t="s">
        <v>121</v>
      </c>
      <c r="AB42" s="9" t="s">
        <v>122</v>
      </c>
      <c r="AC42" s="9" t="s">
        <v>188</v>
      </c>
      <c r="AD42" s="9" t="s">
        <v>638</v>
      </c>
    </row>
    <row r="43" customFormat="false" ht="72" hidden="false" customHeight="true" outlineLevel="0" collapsed="false">
      <c r="A43" s="9" t="s">
        <v>372</v>
      </c>
      <c r="B43" s="9" t="s">
        <v>89</v>
      </c>
      <c r="C43" s="9" t="s">
        <v>534</v>
      </c>
      <c r="D43" s="9" t="s">
        <v>227</v>
      </c>
      <c r="E43" s="9" t="s">
        <v>124</v>
      </c>
      <c r="F43" s="9" t="s">
        <v>370</v>
      </c>
      <c r="G43" s="9" t="s">
        <v>592</v>
      </c>
      <c r="H43" s="8" t="s">
        <v>536</v>
      </c>
      <c r="I43" s="8" t="s">
        <v>537</v>
      </c>
      <c r="J43" s="9" t="s">
        <v>599</v>
      </c>
      <c r="K43" s="8" t="s">
        <v>655</v>
      </c>
      <c r="L43" s="9" t="s">
        <v>592</v>
      </c>
      <c r="M43" s="8" t="s">
        <v>540</v>
      </c>
      <c r="N43" s="8" t="s">
        <v>541</v>
      </c>
      <c r="O43" s="9" t="s">
        <v>542</v>
      </c>
      <c r="P43" s="9" t="s">
        <v>51</v>
      </c>
      <c r="Q43" s="9" t="s">
        <v>113</v>
      </c>
      <c r="R43" s="9" t="s">
        <v>563</v>
      </c>
      <c r="S43" s="9" t="s">
        <v>544</v>
      </c>
      <c r="T43" s="9" t="s">
        <v>545</v>
      </c>
      <c r="U43" s="9" t="s">
        <v>120</v>
      </c>
      <c r="V43" s="9" t="s">
        <v>114</v>
      </c>
      <c r="W43" s="9" t="s">
        <v>546</v>
      </c>
      <c r="X43" s="9" t="s">
        <v>602</v>
      </c>
      <c r="Y43" s="9" t="s">
        <v>373</v>
      </c>
      <c r="Z43" s="9" t="s">
        <v>374</v>
      </c>
      <c r="AA43" s="9" t="s">
        <v>121</v>
      </c>
      <c r="AB43" s="9" t="s">
        <v>122</v>
      </c>
      <c r="AC43" s="9" t="s">
        <v>123</v>
      </c>
      <c r="AD43" s="9" t="s">
        <v>656</v>
      </c>
    </row>
    <row r="44" customFormat="false" ht="72" hidden="false" customHeight="true" outlineLevel="0" collapsed="false">
      <c r="A44" s="9" t="s">
        <v>427</v>
      </c>
      <c r="B44" s="9" t="s">
        <v>89</v>
      </c>
      <c r="C44" s="9" t="s">
        <v>534</v>
      </c>
      <c r="D44" s="9" t="s">
        <v>227</v>
      </c>
      <c r="E44" s="9" t="s">
        <v>215</v>
      </c>
      <c r="F44" s="9" t="s">
        <v>425</v>
      </c>
      <c r="G44" s="9" t="s">
        <v>657</v>
      </c>
      <c r="H44" s="8" t="s">
        <v>536</v>
      </c>
      <c r="I44" s="8" t="s">
        <v>537</v>
      </c>
      <c r="J44" s="9" t="s">
        <v>599</v>
      </c>
      <c r="K44" s="8" t="s">
        <v>658</v>
      </c>
      <c r="L44" s="9" t="s">
        <v>657</v>
      </c>
      <c r="M44" s="8" t="s">
        <v>567</v>
      </c>
      <c r="N44" s="8" t="s">
        <v>541</v>
      </c>
      <c r="O44" s="9" t="s">
        <v>542</v>
      </c>
      <c r="P44" s="9" t="s">
        <v>51</v>
      </c>
      <c r="Q44" s="9" t="s">
        <v>146</v>
      </c>
      <c r="R44" s="9" t="s">
        <v>563</v>
      </c>
      <c r="S44" s="9" t="s">
        <v>544</v>
      </c>
      <c r="T44" s="9" t="s">
        <v>545</v>
      </c>
      <c r="U44" s="9" t="s">
        <v>120</v>
      </c>
      <c r="V44" s="9" t="s">
        <v>114</v>
      </c>
      <c r="W44" s="9" t="s">
        <v>558</v>
      </c>
      <c r="X44" s="9" t="s">
        <v>602</v>
      </c>
      <c r="Y44" s="9" t="s">
        <v>428</v>
      </c>
      <c r="Z44" s="9" t="s">
        <v>429</v>
      </c>
      <c r="AA44" s="9" t="s">
        <v>121</v>
      </c>
      <c r="AB44" s="9" t="s">
        <v>122</v>
      </c>
      <c r="AC44" s="9" t="s">
        <v>123</v>
      </c>
      <c r="AD44" s="9" t="s">
        <v>656</v>
      </c>
    </row>
    <row r="45" customFormat="false" ht="72" hidden="false" customHeight="true" outlineLevel="0" collapsed="false">
      <c r="A45" s="9" t="s">
        <v>432</v>
      </c>
      <c r="B45" s="9" t="s">
        <v>89</v>
      </c>
      <c r="C45" s="9" t="s">
        <v>534</v>
      </c>
      <c r="D45" s="9" t="s">
        <v>227</v>
      </c>
      <c r="E45" s="9" t="s">
        <v>221</v>
      </c>
      <c r="F45" s="9" t="s">
        <v>430</v>
      </c>
      <c r="G45" s="9" t="s">
        <v>659</v>
      </c>
      <c r="H45" s="8" t="s">
        <v>536</v>
      </c>
      <c r="I45" s="8" t="s">
        <v>537</v>
      </c>
      <c r="J45" s="9" t="s">
        <v>599</v>
      </c>
      <c r="K45" s="8" t="s">
        <v>660</v>
      </c>
      <c r="L45" s="9" t="s">
        <v>659</v>
      </c>
      <c r="M45" s="8" t="s">
        <v>562</v>
      </c>
      <c r="N45" s="8" t="s">
        <v>541</v>
      </c>
      <c r="O45" s="9" t="s">
        <v>542</v>
      </c>
      <c r="P45" s="9" t="s">
        <v>51</v>
      </c>
      <c r="Q45" s="9" t="s">
        <v>146</v>
      </c>
      <c r="R45" s="9" t="s">
        <v>563</v>
      </c>
      <c r="S45" s="9" t="s">
        <v>544</v>
      </c>
      <c r="T45" s="9" t="s">
        <v>545</v>
      </c>
      <c r="U45" s="9" t="s">
        <v>120</v>
      </c>
      <c r="V45" s="9" t="s">
        <v>114</v>
      </c>
      <c r="W45" s="9" t="s">
        <v>546</v>
      </c>
      <c r="X45" s="9" t="s">
        <v>602</v>
      </c>
      <c r="Y45" s="9" t="s">
        <v>433</v>
      </c>
      <c r="Z45" s="9" t="s">
        <v>434</v>
      </c>
      <c r="AA45" s="9" t="s">
        <v>121</v>
      </c>
      <c r="AB45" s="9" t="s">
        <v>122</v>
      </c>
      <c r="AC45" s="9" t="s">
        <v>123</v>
      </c>
      <c r="AD45" s="9" t="s">
        <v>656</v>
      </c>
    </row>
    <row r="46" customFormat="false" ht="72" hidden="false" customHeight="true" outlineLevel="0" collapsed="false">
      <c r="A46" s="9" t="s">
        <v>422</v>
      </c>
      <c r="B46" s="9" t="s">
        <v>89</v>
      </c>
      <c r="C46" s="9" t="s">
        <v>534</v>
      </c>
      <c r="D46" s="9" t="s">
        <v>227</v>
      </c>
      <c r="E46" s="9" t="s">
        <v>201</v>
      </c>
      <c r="F46" s="9" t="s">
        <v>420</v>
      </c>
      <c r="G46" s="8" t="s">
        <v>661</v>
      </c>
      <c r="H46" s="8" t="s">
        <v>536</v>
      </c>
      <c r="I46" s="8" t="s">
        <v>537</v>
      </c>
      <c r="J46" s="9" t="s">
        <v>599</v>
      </c>
      <c r="K46" s="8" t="s">
        <v>662</v>
      </c>
      <c r="L46" s="8" t="s">
        <v>661</v>
      </c>
      <c r="M46" s="8" t="s">
        <v>540</v>
      </c>
      <c r="N46" s="8" t="s">
        <v>541</v>
      </c>
      <c r="O46" s="9" t="s">
        <v>542</v>
      </c>
      <c r="P46" s="9" t="s">
        <v>51</v>
      </c>
      <c r="Q46" s="9" t="s">
        <v>204</v>
      </c>
      <c r="R46" s="9" t="s">
        <v>543</v>
      </c>
      <c r="S46" s="9" t="s">
        <v>544</v>
      </c>
      <c r="T46" s="9" t="s">
        <v>545</v>
      </c>
      <c r="U46" s="9" t="s">
        <v>120</v>
      </c>
      <c r="V46" s="9" t="s">
        <v>114</v>
      </c>
      <c r="W46" s="9" t="s">
        <v>546</v>
      </c>
      <c r="X46" s="9" t="s">
        <v>602</v>
      </c>
      <c r="Y46" s="9" t="s">
        <v>423</v>
      </c>
      <c r="Z46" s="9" t="s">
        <v>424</v>
      </c>
      <c r="AA46" s="9" t="s">
        <v>121</v>
      </c>
      <c r="AB46" s="9" t="s">
        <v>122</v>
      </c>
      <c r="AC46" s="9" t="s">
        <v>123</v>
      </c>
      <c r="AD46" s="9" t="s">
        <v>603</v>
      </c>
    </row>
    <row r="47" customFormat="false" ht="72" hidden="false" customHeight="true" outlineLevel="0" collapsed="false">
      <c r="A47" s="9" t="s">
        <v>438</v>
      </c>
      <c r="B47" s="9" t="s">
        <v>89</v>
      </c>
      <c r="C47" s="9" t="s">
        <v>534</v>
      </c>
      <c r="D47" s="9" t="s">
        <v>227</v>
      </c>
      <c r="E47" s="9" t="s">
        <v>435</v>
      </c>
      <c r="F47" s="9" t="s">
        <v>436</v>
      </c>
      <c r="G47" s="9" t="s">
        <v>663</v>
      </c>
      <c r="H47" s="8" t="s">
        <v>536</v>
      </c>
      <c r="I47" s="8" t="s">
        <v>537</v>
      </c>
      <c r="J47" s="9" t="s">
        <v>599</v>
      </c>
      <c r="K47" s="8" t="s">
        <v>664</v>
      </c>
      <c r="L47" s="9" t="s">
        <v>663</v>
      </c>
      <c r="M47" s="9" t="s">
        <v>665</v>
      </c>
      <c r="N47" s="8" t="s">
        <v>541</v>
      </c>
      <c r="O47" s="9" t="s">
        <v>542</v>
      </c>
      <c r="P47" s="9" t="s">
        <v>51</v>
      </c>
      <c r="Q47" s="9" t="s">
        <v>146</v>
      </c>
      <c r="R47" s="9" t="s">
        <v>563</v>
      </c>
      <c r="S47" s="9" t="s">
        <v>544</v>
      </c>
      <c r="T47" s="9" t="s">
        <v>545</v>
      </c>
      <c r="U47" s="9" t="s">
        <v>120</v>
      </c>
      <c r="V47" s="9" t="s">
        <v>114</v>
      </c>
      <c r="W47" s="9" t="s">
        <v>546</v>
      </c>
      <c r="X47" s="9" t="s">
        <v>602</v>
      </c>
      <c r="Y47" s="9" t="s">
        <v>439</v>
      </c>
      <c r="Z47" s="9" t="s">
        <v>440</v>
      </c>
      <c r="AA47" s="9" t="s">
        <v>121</v>
      </c>
      <c r="AB47" s="9" t="s">
        <v>122</v>
      </c>
      <c r="AC47" s="9" t="s">
        <v>123</v>
      </c>
      <c r="AD47" s="9" t="s">
        <v>638</v>
      </c>
    </row>
    <row r="48" customFormat="false" ht="72" hidden="false" customHeight="true" outlineLevel="0" collapsed="false">
      <c r="A48" s="9" t="s">
        <v>335</v>
      </c>
      <c r="B48" s="9" t="s">
        <v>89</v>
      </c>
      <c r="C48" s="9" t="s">
        <v>534</v>
      </c>
      <c r="D48" s="9" t="s">
        <v>227</v>
      </c>
      <c r="E48" s="9" t="s">
        <v>332</v>
      </c>
      <c r="F48" s="9" t="s">
        <v>333</v>
      </c>
      <c r="G48" s="9" t="s">
        <v>666</v>
      </c>
      <c r="H48" s="8" t="s">
        <v>536</v>
      </c>
      <c r="I48" s="8" t="s">
        <v>537</v>
      </c>
      <c r="J48" s="9" t="s">
        <v>599</v>
      </c>
      <c r="K48" s="8" t="s">
        <v>667</v>
      </c>
      <c r="L48" s="9" t="s">
        <v>666</v>
      </c>
      <c r="M48" s="8" t="s">
        <v>601</v>
      </c>
      <c r="N48" s="8" t="s">
        <v>541</v>
      </c>
      <c r="O48" s="9" t="s">
        <v>542</v>
      </c>
      <c r="P48" s="9" t="s">
        <v>51</v>
      </c>
      <c r="Q48" s="9" t="s">
        <v>146</v>
      </c>
      <c r="R48" s="9" t="s">
        <v>581</v>
      </c>
      <c r="S48" s="9" t="s">
        <v>544</v>
      </c>
      <c r="T48" s="9" t="s">
        <v>545</v>
      </c>
      <c r="U48" s="9" t="s">
        <v>120</v>
      </c>
      <c r="V48" s="9" t="s">
        <v>114</v>
      </c>
      <c r="W48" s="9" t="s">
        <v>546</v>
      </c>
      <c r="X48" s="9" t="s">
        <v>602</v>
      </c>
      <c r="Y48" s="9" t="s">
        <v>336</v>
      </c>
      <c r="Z48" s="9" t="s">
        <v>337</v>
      </c>
      <c r="AA48" s="9" t="s">
        <v>121</v>
      </c>
      <c r="AB48" s="9" t="s">
        <v>122</v>
      </c>
      <c r="AC48" s="9" t="s">
        <v>249</v>
      </c>
      <c r="AD48" s="9" t="s">
        <v>603</v>
      </c>
    </row>
    <row r="49" customFormat="false" ht="72" hidden="false" customHeight="true" outlineLevel="0" collapsed="false">
      <c r="A49" s="9" t="s">
        <v>341</v>
      </c>
      <c r="B49" s="9" t="s">
        <v>89</v>
      </c>
      <c r="C49" s="9" t="s">
        <v>534</v>
      </c>
      <c r="D49" s="9" t="s">
        <v>227</v>
      </c>
      <c r="E49" s="9" t="s">
        <v>338</v>
      </c>
      <c r="F49" s="9" t="s">
        <v>339</v>
      </c>
      <c r="G49" s="9" t="s">
        <v>668</v>
      </c>
      <c r="H49" s="8" t="s">
        <v>536</v>
      </c>
      <c r="I49" s="8" t="s">
        <v>537</v>
      </c>
      <c r="J49" s="9" t="s">
        <v>599</v>
      </c>
      <c r="K49" s="8" t="s">
        <v>669</v>
      </c>
      <c r="L49" s="9" t="s">
        <v>668</v>
      </c>
      <c r="M49" s="8" t="s">
        <v>601</v>
      </c>
      <c r="N49" s="8" t="s">
        <v>541</v>
      </c>
      <c r="O49" s="9" t="s">
        <v>542</v>
      </c>
      <c r="P49" s="9" t="s">
        <v>51</v>
      </c>
      <c r="Q49" s="9" t="s">
        <v>146</v>
      </c>
      <c r="R49" s="9" t="s">
        <v>581</v>
      </c>
      <c r="S49" s="9" t="s">
        <v>544</v>
      </c>
      <c r="T49" s="9" t="s">
        <v>545</v>
      </c>
      <c r="U49" s="9" t="s">
        <v>120</v>
      </c>
      <c r="V49" s="9" t="s">
        <v>114</v>
      </c>
      <c r="W49" s="9" t="s">
        <v>546</v>
      </c>
      <c r="X49" s="9" t="s">
        <v>602</v>
      </c>
      <c r="Y49" s="9" t="s">
        <v>342</v>
      </c>
      <c r="Z49" s="9" t="s">
        <v>343</v>
      </c>
      <c r="AA49" s="9" t="s">
        <v>121</v>
      </c>
      <c r="AB49" s="9" t="s">
        <v>122</v>
      </c>
      <c r="AC49" s="9" t="s">
        <v>249</v>
      </c>
      <c r="AD49" s="9" t="s">
        <v>603</v>
      </c>
    </row>
    <row r="50" customFormat="false" ht="72" hidden="false" customHeight="true" outlineLevel="0" collapsed="false">
      <c r="A50" s="9" t="s">
        <v>347</v>
      </c>
      <c r="B50" s="9" t="s">
        <v>89</v>
      </c>
      <c r="C50" s="9" t="s">
        <v>534</v>
      </c>
      <c r="D50" s="9" t="s">
        <v>227</v>
      </c>
      <c r="E50" s="9" t="s">
        <v>344</v>
      </c>
      <c r="F50" s="9" t="s">
        <v>345</v>
      </c>
      <c r="G50" s="9" t="s">
        <v>670</v>
      </c>
      <c r="H50" s="8" t="s">
        <v>536</v>
      </c>
      <c r="I50" s="8" t="s">
        <v>537</v>
      </c>
      <c r="J50" s="9" t="s">
        <v>599</v>
      </c>
      <c r="K50" s="8" t="s">
        <v>671</v>
      </c>
      <c r="L50" s="9" t="s">
        <v>670</v>
      </c>
      <c r="M50" s="8" t="s">
        <v>601</v>
      </c>
      <c r="N50" s="8" t="s">
        <v>541</v>
      </c>
      <c r="O50" s="9" t="s">
        <v>542</v>
      </c>
      <c r="P50" s="9" t="s">
        <v>51</v>
      </c>
      <c r="Q50" s="9" t="s">
        <v>146</v>
      </c>
      <c r="R50" s="9" t="s">
        <v>581</v>
      </c>
      <c r="S50" s="9" t="s">
        <v>544</v>
      </c>
      <c r="T50" s="9" t="s">
        <v>545</v>
      </c>
      <c r="U50" s="9" t="s">
        <v>120</v>
      </c>
      <c r="V50" s="9" t="s">
        <v>114</v>
      </c>
      <c r="W50" s="9" t="s">
        <v>546</v>
      </c>
      <c r="X50" s="9" t="s">
        <v>602</v>
      </c>
      <c r="Y50" s="9" t="s">
        <v>348</v>
      </c>
      <c r="Z50" s="9" t="s">
        <v>349</v>
      </c>
      <c r="AA50" s="9" t="s">
        <v>121</v>
      </c>
      <c r="AB50" s="9" t="s">
        <v>122</v>
      </c>
      <c r="AC50" s="9" t="s">
        <v>249</v>
      </c>
      <c r="AD50" s="9" t="s">
        <v>603</v>
      </c>
    </row>
    <row r="51" customFormat="false" ht="72" hidden="false" customHeight="true" outlineLevel="0" collapsed="false">
      <c r="A51" s="9" t="s">
        <v>310</v>
      </c>
      <c r="B51" s="9" t="s">
        <v>89</v>
      </c>
      <c r="C51" s="9" t="s">
        <v>534</v>
      </c>
      <c r="D51" s="9" t="s">
        <v>227</v>
      </c>
      <c r="E51" s="9" t="s">
        <v>307</v>
      </c>
      <c r="F51" s="9" t="s">
        <v>308</v>
      </c>
      <c r="G51" s="9" t="s">
        <v>672</v>
      </c>
      <c r="H51" s="8" t="s">
        <v>536</v>
      </c>
      <c r="I51" s="8" t="s">
        <v>537</v>
      </c>
      <c r="J51" s="9" t="s">
        <v>599</v>
      </c>
      <c r="K51" s="8" t="s">
        <v>673</v>
      </c>
      <c r="L51" s="9" t="s">
        <v>672</v>
      </c>
      <c r="M51" s="8" t="s">
        <v>601</v>
      </c>
      <c r="N51" s="8" t="s">
        <v>541</v>
      </c>
      <c r="O51" s="9" t="s">
        <v>542</v>
      </c>
      <c r="P51" s="9" t="s">
        <v>51</v>
      </c>
      <c r="Q51" s="9" t="s">
        <v>146</v>
      </c>
      <c r="R51" s="9" t="s">
        <v>581</v>
      </c>
      <c r="S51" s="9" t="s">
        <v>544</v>
      </c>
      <c r="T51" s="9" t="s">
        <v>545</v>
      </c>
      <c r="U51" s="9" t="s">
        <v>120</v>
      </c>
      <c r="V51" s="9" t="s">
        <v>114</v>
      </c>
      <c r="W51" s="9" t="s">
        <v>546</v>
      </c>
      <c r="X51" s="9" t="s">
        <v>602</v>
      </c>
      <c r="Y51" s="9" t="s">
        <v>311</v>
      </c>
      <c r="Z51" s="9" t="s">
        <v>312</v>
      </c>
      <c r="AA51" s="9" t="s">
        <v>121</v>
      </c>
      <c r="AB51" s="9" t="s">
        <v>122</v>
      </c>
      <c r="AC51" s="9" t="s">
        <v>249</v>
      </c>
      <c r="AD51" s="9" t="s">
        <v>603</v>
      </c>
    </row>
    <row r="52" customFormat="false" ht="72" hidden="false" customHeight="true" outlineLevel="0" collapsed="false">
      <c r="A52" s="9" t="s">
        <v>316</v>
      </c>
      <c r="B52" s="9" t="s">
        <v>89</v>
      </c>
      <c r="C52" s="9" t="s">
        <v>534</v>
      </c>
      <c r="D52" s="9" t="s">
        <v>227</v>
      </c>
      <c r="E52" s="9" t="s">
        <v>313</v>
      </c>
      <c r="F52" s="9" t="s">
        <v>314</v>
      </c>
      <c r="G52" s="9" t="s">
        <v>674</v>
      </c>
      <c r="H52" s="8" t="s">
        <v>536</v>
      </c>
      <c r="I52" s="8" t="s">
        <v>537</v>
      </c>
      <c r="J52" s="9" t="s">
        <v>634</v>
      </c>
      <c r="K52" s="8" t="s">
        <v>675</v>
      </c>
      <c r="L52" s="9" t="s">
        <v>674</v>
      </c>
      <c r="M52" s="9" t="s">
        <v>576</v>
      </c>
      <c r="N52" s="8" t="s">
        <v>541</v>
      </c>
      <c r="O52" s="9" t="s">
        <v>542</v>
      </c>
      <c r="P52" s="9" t="s">
        <v>51</v>
      </c>
      <c r="Q52" s="9" t="s">
        <v>146</v>
      </c>
      <c r="R52" s="9" t="s">
        <v>581</v>
      </c>
      <c r="S52" s="9" t="s">
        <v>544</v>
      </c>
      <c r="T52" s="9" t="s">
        <v>545</v>
      </c>
      <c r="U52" s="9" t="s">
        <v>120</v>
      </c>
      <c r="V52" s="9" t="s">
        <v>114</v>
      </c>
      <c r="W52" s="9" t="s">
        <v>546</v>
      </c>
      <c r="X52" s="9" t="s">
        <v>602</v>
      </c>
      <c r="Y52" s="9" t="s">
        <v>317</v>
      </c>
      <c r="Z52" s="9" t="s">
        <v>318</v>
      </c>
      <c r="AA52" s="9" t="s">
        <v>121</v>
      </c>
      <c r="AB52" s="9" t="s">
        <v>122</v>
      </c>
      <c r="AC52" s="9" t="s">
        <v>249</v>
      </c>
      <c r="AD52" s="9" t="s">
        <v>636</v>
      </c>
    </row>
    <row r="53" customFormat="false" ht="72" hidden="false" customHeight="true" outlineLevel="0" collapsed="false">
      <c r="A53" s="9" t="s">
        <v>329</v>
      </c>
      <c r="B53" s="9" t="s">
        <v>89</v>
      </c>
      <c r="C53" s="9" t="s">
        <v>534</v>
      </c>
      <c r="D53" s="9" t="s">
        <v>227</v>
      </c>
      <c r="E53" s="9" t="s">
        <v>326</v>
      </c>
      <c r="F53" s="9" t="s">
        <v>327</v>
      </c>
      <c r="G53" s="9" t="s">
        <v>676</v>
      </c>
      <c r="H53" s="8" t="s">
        <v>536</v>
      </c>
      <c r="I53" s="8" t="s">
        <v>537</v>
      </c>
      <c r="J53" s="9" t="s">
        <v>599</v>
      </c>
      <c r="K53" s="8" t="s">
        <v>677</v>
      </c>
      <c r="L53" s="9" t="s">
        <v>676</v>
      </c>
      <c r="M53" s="8" t="s">
        <v>540</v>
      </c>
      <c r="N53" s="8" t="s">
        <v>541</v>
      </c>
      <c r="O53" s="9" t="s">
        <v>542</v>
      </c>
      <c r="P53" s="9" t="s">
        <v>51</v>
      </c>
      <c r="Q53" s="9" t="s">
        <v>146</v>
      </c>
      <c r="R53" s="9" t="s">
        <v>581</v>
      </c>
      <c r="S53" s="9" t="s">
        <v>544</v>
      </c>
      <c r="T53" s="9" t="s">
        <v>545</v>
      </c>
      <c r="U53" s="9" t="s">
        <v>120</v>
      </c>
      <c r="V53" s="9" t="s">
        <v>114</v>
      </c>
      <c r="W53" s="9" t="s">
        <v>558</v>
      </c>
      <c r="X53" s="9" t="s">
        <v>602</v>
      </c>
      <c r="Y53" s="9" t="s">
        <v>330</v>
      </c>
      <c r="Z53" s="9" t="s">
        <v>331</v>
      </c>
      <c r="AA53" s="9" t="s">
        <v>121</v>
      </c>
      <c r="AB53" s="9" t="s">
        <v>122</v>
      </c>
      <c r="AC53" s="9" t="s">
        <v>123</v>
      </c>
      <c r="AD53" s="9" t="s">
        <v>603</v>
      </c>
    </row>
    <row r="54" customFormat="false" ht="72" hidden="false" customHeight="true" outlineLevel="0" collapsed="false">
      <c r="A54" s="9" t="s">
        <v>323</v>
      </c>
      <c r="B54" s="9" t="s">
        <v>89</v>
      </c>
      <c r="C54" s="9" t="s">
        <v>534</v>
      </c>
      <c r="D54" s="9" t="s">
        <v>227</v>
      </c>
      <c r="E54" s="9" t="s">
        <v>319</v>
      </c>
      <c r="F54" s="9" t="s">
        <v>320</v>
      </c>
      <c r="G54" s="9" t="s">
        <v>678</v>
      </c>
      <c r="H54" s="8" t="s">
        <v>536</v>
      </c>
      <c r="I54" s="8" t="s">
        <v>537</v>
      </c>
      <c r="J54" s="9" t="s">
        <v>599</v>
      </c>
      <c r="K54" s="8" t="s">
        <v>679</v>
      </c>
      <c r="L54" s="9" t="s">
        <v>678</v>
      </c>
      <c r="M54" s="8" t="s">
        <v>601</v>
      </c>
      <c r="N54" s="8" t="s">
        <v>541</v>
      </c>
      <c r="O54" s="9" t="s">
        <v>542</v>
      </c>
      <c r="P54" s="9" t="s">
        <v>51</v>
      </c>
      <c r="Q54" s="9" t="s">
        <v>204</v>
      </c>
      <c r="R54" s="9" t="s">
        <v>563</v>
      </c>
      <c r="S54" s="9" t="s">
        <v>544</v>
      </c>
      <c r="T54" s="9" t="s">
        <v>545</v>
      </c>
      <c r="U54" s="9" t="s">
        <v>120</v>
      </c>
      <c r="V54" s="9" t="s">
        <v>114</v>
      </c>
      <c r="W54" s="9" t="s">
        <v>546</v>
      </c>
      <c r="X54" s="9" t="s">
        <v>602</v>
      </c>
      <c r="Y54" s="9" t="s">
        <v>324</v>
      </c>
      <c r="Z54" s="9" t="s">
        <v>325</v>
      </c>
      <c r="AA54" s="9" t="s">
        <v>121</v>
      </c>
      <c r="AB54" s="9" t="s">
        <v>122</v>
      </c>
      <c r="AC54" s="9" t="s">
        <v>249</v>
      </c>
      <c r="AD54" s="9" t="s">
        <v>603</v>
      </c>
    </row>
    <row r="55" customFormat="false" ht="72" hidden="false" customHeight="true" outlineLevel="0" collapsed="false">
      <c r="A55" s="9" t="s">
        <v>445</v>
      </c>
      <c r="B55" s="9" t="s">
        <v>89</v>
      </c>
      <c r="C55" s="9" t="s">
        <v>534</v>
      </c>
      <c r="D55" s="9" t="s">
        <v>227</v>
      </c>
      <c r="E55" s="9" t="s">
        <v>441</v>
      </c>
      <c r="F55" s="9" t="s">
        <v>442</v>
      </c>
      <c r="G55" s="9" t="s">
        <v>680</v>
      </c>
      <c r="H55" s="8" t="s">
        <v>536</v>
      </c>
      <c r="I55" s="8" t="s">
        <v>537</v>
      </c>
      <c r="J55" s="9" t="s">
        <v>627</v>
      </c>
      <c r="K55" s="8" t="s">
        <v>681</v>
      </c>
      <c r="L55" s="9" t="s">
        <v>680</v>
      </c>
      <c r="M55" s="8" t="s">
        <v>682</v>
      </c>
      <c r="N55" s="8" t="s">
        <v>541</v>
      </c>
      <c r="O55" s="9" t="s">
        <v>542</v>
      </c>
      <c r="P55" s="9" t="s">
        <v>51</v>
      </c>
      <c r="Q55" s="9" t="s">
        <v>136</v>
      </c>
      <c r="R55" s="9" t="s">
        <v>552</v>
      </c>
      <c r="S55" s="9" t="s">
        <v>544</v>
      </c>
      <c r="T55" s="9" t="s">
        <v>545</v>
      </c>
      <c r="U55" s="9" t="s">
        <v>120</v>
      </c>
      <c r="V55" s="9" t="s">
        <v>137</v>
      </c>
      <c r="W55" s="9" t="s">
        <v>558</v>
      </c>
      <c r="X55" s="9" t="s">
        <v>602</v>
      </c>
      <c r="Y55" s="9" t="s">
        <v>446</v>
      </c>
      <c r="Z55" s="9" t="s">
        <v>447</v>
      </c>
      <c r="AA55" s="9" t="s">
        <v>121</v>
      </c>
      <c r="AB55" s="9" t="s">
        <v>122</v>
      </c>
      <c r="AC55" s="9" t="s">
        <v>188</v>
      </c>
      <c r="AD55" s="9" t="s">
        <v>629</v>
      </c>
    </row>
    <row r="56" customFormat="false" ht="72" hidden="false" customHeight="true" outlineLevel="0" collapsed="false">
      <c r="A56" s="9" t="s">
        <v>683</v>
      </c>
      <c r="B56" s="9" t="s">
        <v>54</v>
      </c>
      <c r="C56" s="9" t="s">
        <v>684</v>
      </c>
      <c r="D56" s="9" t="s">
        <v>685</v>
      </c>
      <c r="E56" s="9" t="s">
        <v>686</v>
      </c>
      <c r="F56" s="9" t="s">
        <v>176</v>
      </c>
      <c r="G56" s="8" t="s">
        <v>687</v>
      </c>
      <c r="H56" s="8" t="s">
        <v>688</v>
      </c>
      <c r="I56" s="8" t="s">
        <v>689</v>
      </c>
      <c r="J56" s="8" t="s">
        <v>690</v>
      </c>
      <c r="K56" s="8" t="s">
        <v>691</v>
      </c>
      <c r="L56" s="8" t="s">
        <v>687</v>
      </c>
      <c r="M56" s="8" t="s">
        <v>692</v>
      </c>
      <c r="N56" s="9" t="s">
        <v>693</v>
      </c>
      <c r="O56" s="9" t="s">
        <v>542</v>
      </c>
      <c r="P56" s="9" t="s">
        <v>51</v>
      </c>
      <c r="Q56" s="9" t="s">
        <v>136</v>
      </c>
      <c r="R56" s="9" t="s">
        <v>552</v>
      </c>
      <c r="S56" s="9" t="s">
        <v>544</v>
      </c>
      <c r="T56" s="9" t="s">
        <v>694</v>
      </c>
      <c r="U56" s="9" t="s">
        <v>695</v>
      </c>
      <c r="V56" s="9" t="s">
        <v>696</v>
      </c>
      <c r="W56" s="9" t="s">
        <v>697</v>
      </c>
      <c r="X56" s="9" t="s">
        <v>698</v>
      </c>
      <c r="Y56" s="8"/>
      <c r="Z56" s="8"/>
      <c r="AA56" s="9" t="s">
        <v>462</v>
      </c>
      <c r="AB56" s="9" t="s">
        <v>122</v>
      </c>
      <c r="AC56" s="8"/>
      <c r="AD56" s="8"/>
    </row>
    <row r="57" customFormat="false" ht="72" hidden="false" customHeight="true" outlineLevel="0" collapsed="false">
      <c r="A57" s="9" t="s">
        <v>699</v>
      </c>
      <c r="B57" s="9" t="s">
        <v>54</v>
      </c>
      <c r="C57" s="9" t="s">
        <v>684</v>
      </c>
      <c r="D57" s="9" t="s">
        <v>685</v>
      </c>
      <c r="E57" s="9" t="s">
        <v>686</v>
      </c>
      <c r="F57" s="9" t="s">
        <v>400</v>
      </c>
      <c r="G57" s="8" t="s">
        <v>700</v>
      </c>
      <c r="H57" s="8" t="s">
        <v>701</v>
      </c>
      <c r="I57" s="8" t="s">
        <v>689</v>
      </c>
      <c r="J57" s="8" t="s">
        <v>702</v>
      </c>
      <c r="K57" s="8" t="s">
        <v>703</v>
      </c>
      <c r="L57" s="8" t="s">
        <v>700</v>
      </c>
      <c r="M57" s="8" t="s">
        <v>704</v>
      </c>
      <c r="N57" s="9" t="s">
        <v>705</v>
      </c>
      <c r="O57" s="9" t="s">
        <v>542</v>
      </c>
      <c r="P57" s="9" t="s">
        <v>51</v>
      </c>
      <c r="Q57" s="9" t="s">
        <v>136</v>
      </c>
      <c r="R57" s="9" t="s">
        <v>552</v>
      </c>
      <c r="S57" s="9" t="s">
        <v>544</v>
      </c>
      <c r="T57" s="9" t="s">
        <v>694</v>
      </c>
      <c r="U57" s="9" t="s">
        <v>695</v>
      </c>
      <c r="V57" s="9" t="s">
        <v>696</v>
      </c>
      <c r="W57" s="9" t="s">
        <v>706</v>
      </c>
      <c r="X57" s="9" t="s">
        <v>707</v>
      </c>
      <c r="Y57" s="8"/>
      <c r="Z57" s="8"/>
      <c r="AA57" s="9" t="s">
        <v>462</v>
      </c>
      <c r="AB57" s="9" t="s">
        <v>122</v>
      </c>
      <c r="AC57" s="8"/>
      <c r="AD57" s="8"/>
    </row>
    <row r="58" customFormat="false" ht="72" hidden="false" customHeight="true" outlineLevel="0" collapsed="false">
      <c r="A58" s="9" t="s">
        <v>708</v>
      </c>
      <c r="B58" s="9" t="s">
        <v>54</v>
      </c>
      <c r="C58" s="9" t="s">
        <v>684</v>
      </c>
      <c r="D58" s="9" t="s">
        <v>685</v>
      </c>
      <c r="E58" s="9" t="s">
        <v>686</v>
      </c>
      <c r="F58" s="9" t="s">
        <v>167</v>
      </c>
      <c r="G58" s="8" t="s">
        <v>709</v>
      </c>
      <c r="H58" s="8" t="s">
        <v>710</v>
      </c>
      <c r="I58" s="8" t="s">
        <v>689</v>
      </c>
      <c r="J58" s="8" t="s">
        <v>711</v>
      </c>
      <c r="K58" s="8" t="s">
        <v>712</v>
      </c>
      <c r="L58" s="8" t="s">
        <v>709</v>
      </c>
      <c r="M58" s="8" t="s">
        <v>713</v>
      </c>
      <c r="N58" s="8" t="s">
        <v>714</v>
      </c>
      <c r="O58" s="9" t="s">
        <v>542</v>
      </c>
      <c r="P58" s="9" t="s">
        <v>51</v>
      </c>
      <c r="Q58" s="9" t="s">
        <v>136</v>
      </c>
      <c r="R58" s="9" t="s">
        <v>552</v>
      </c>
      <c r="S58" s="9" t="s">
        <v>544</v>
      </c>
      <c r="T58" s="9" t="s">
        <v>694</v>
      </c>
      <c r="U58" s="9" t="s">
        <v>695</v>
      </c>
      <c r="V58" s="9" t="s">
        <v>696</v>
      </c>
      <c r="W58" s="9" t="s">
        <v>715</v>
      </c>
      <c r="X58" s="9" t="s">
        <v>716</v>
      </c>
      <c r="Y58" s="8"/>
      <c r="Z58" s="8"/>
      <c r="AA58" s="9" t="s">
        <v>462</v>
      </c>
      <c r="AB58" s="9" t="s">
        <v>122</v>
      </c>
      <c r="AC58" s="8"/>
      <c r="AD58" s="8"/>
    </row>
    <row r="59" customFormat="false" ht="72" hidden="false" customHeight="true" outlineLevel="0" collapsed="false">
      <c r="A59" s="9" t="s">
        <v>717</v>
      </c>
      <c r="B59" s="9" t="s">
        <v>54</v>
      </c>
      <c r="C59" s="9" t="s">
        <v>684</v>
      </c>
      <c r="D59" s="9" t="s">
        <v>685</v>
      </c>
      <c r="E59" s="9" t="s">
        <v>686</v>
      </c>
      <c r="F59" s="9" t="s">
        <v>395</v>
      </c>
      <c r="G59" s="8" t="s">
        <v>718</v>
      </c>
      <c r="H59" s="8" t="s">
        <v>719</v>
      </c>
      <c r="I59" s="8" t="s">
        <v>689</v>
      </c>
      <c r="J59" s="8" t="s">
        <v>720</v>
      </c>
      <c r="K59" s="8" t="s">
        <v>721</v>
      </c>
      <c r="L59" s="8" t="s">
        <v>718</v>
      </c>
      <c r="M59" s="8" t="s">
        <v>722</v>
      </c>
      <c r="N59" s="8" t="s">
        <v>723</v>
      </c>
      <c r="O59" s="9" t="s">
        <v>542</v>
      </c>
      <c r="P59" s="9" t="s">
        <v>51</v>
      </c>
      <c r="Q59" s="9" t="s">
        <v>136</v>
      </c>
      <c r="R59" s="9" t="s">
        <v>552</v>
      </c>
      <c r="S59" s="9" t="s">
        <v>544</v>
      </c>
      <c r="T59" s="9" t="s">
        <v>694</v>
      </c>
      <c r="U59" s="9" t="s">
        <v>695</v>
      </c>
      <c r="V59" s="9" t="s">
        <v>696</v>
      </c>
      <c r="W59" s="9" t="s">
        <v>715</v>
      </c>
      <c r="X59" s="9" t="s">
        <v>724</v>
      </c>
      <c r="Y59" s="8"/>
      <c r="Z59" s="8"/>
      <c r="AA59" s="9" t="s">
        <v>462</v>
      </c>
      <c r="AB59" s="9" t="s">
        <v>122</v>
      </c>
      <c r="AC59" s="8"/>
      <c r="AD59" s="8"/>
    </row>
    <row r="60" customFormat="false" ht="72" hidden="false" customHeight="true" outlineLevel="0" collapsed="false">
      <c r="A60" s="9" t="s">
        <v>725</v>
      </c>
      <c r="B60" s="9" t="s">
        <v>54</v>
      </c>
      <c r="C60" s="9" t="s">
        <v>684</v>
      </c>
      <c r="D60" s="9" t="s">
        <v>685</v>
      </c>
      <c r="E60" s="9" t="s">
        <v>686</v>
      </c>
      <c r="F60" s="9" t="s">
        <v>726</v>
      </c>
      <c r="G60" s="8" t="s">
        <v>727</v>
      </c>
      <c r="H60" s="8" t="s">
        <v>728</v>
      </c>
      <c r="I60" s="8" t="s">
        <v>689</v>
      </c>
      <c r="J60" s="8" t="s">
        <v>729</v>
      </c>
      <c r="K60" s="8" t="s">
        <v>730</v>
      </c>
      <c r="L60" s="8" t="s">
        <v>727</v>
      </c>
      <c r="M60" s="8" t="s">
        <v>731</v>
      </c>
      <c r="N60" s="9" t="s">
        <v>732</v>
      </c>
      <c r="O60" s="9" t="s">
        <v>542</v>
      </c>
      <c r="P60" s="9" t="s">
        <v>51</v>
      </c>
      <c r="Q60" s="9" t="s">
        <v>146</v>
      </c>
      <c r="R60" s="9" t="s">
        <v>563</v>
      </c>
      <c r="S60" s="9" t="s">
        <v>544</v>
      </c>
      <c r="T60" s="9" t="s">
        <v>694</v>
      </c>
      <c r="U60" s="9" t="s">
        <v>695</v>
      </c>
      <c r="V60" s="9" t="s">
        <v>696</v>
      </c>
      <c r="W60" s="9" t="s">
        <v>733</v>
      </c>
      <c r="X60" s="9" t="s">
        <v>734</v>
      </c>
      <c r="Y60" s="8"/>
      <c r="Z60" s="8"/>
      <c r="AA60" s="9" t="s">
        <v>462</v>
      </c>
      <c r="AB60" s="9" t="s">
        <v>122</v>
      </c>
      <c r="AC60" s="8"/>
      <c r="AD60" s="8"/>
    </row>
    <row r="61" customFormat="false" ht="72" hidden="false" customHeight="true" outlineLevel="0" collapsed="false">
      <c r="A61" s="9" t="s">
        <v>735</v>
      </c>
      <c r="B61" s="9" t="s">
        <v>54</v>
      </c>
      <c r="C61" s="9" t="s">
        <v>684</v>
      </c>
      <c r="D61" s="9" t="s">
        <v>685</v>
      </c>
      <c r="E61" s="9" t="s">
        <v>686</v>
      </c>
      <c r="F61" s="9" t="s">
        <v>736</v>
      </c>
      <c r="G61" s="8" t="s">
        <v>737</v>
      </c>
      <c r="H61" s="8" t="s">
        <v>738</v>
      </c>
      <c r="I61" s="8" t="s">
        <v>689</v>
      </c>
      <c r="J61" s="8" t="s">
        <v>739</v>
      </c>
      <c r="K61" s="8" t="s">
        <v>740</v>
      </c>
      <c r="L61" s="8" t="s">
        <v>737</v>
      </c>
      <c r="M61" s="8" t="s">
        <v>741</v>
      </c>
      <c r="N61" s="9" t="s">
        <v>742</v>
      </c>
      <c r="O61" s="9" t="s">
        <v>542</v>
      </c>
      <c r="P61" s="9" t="s">
        <v>51</v>
      </c>
      <c r="Q61" s="9" t="s">
        <v>146</v>
      </c>
      <c r="R61" s="9" t="s">
        <v>563</v>
      </c>
      <c r="S61" s="9" t="s">
        <v>544</v>
      </c>
      <c r="T61" s="9" t="s">
        <v>694</v>
      </c>
      <c r="U61" s="9" t="s">
        <v>695</v>
      </c>
      <c r="V61" s="9" t="s">
        <v>696</v>
      </c>
      <c r="W61" s="9" t="s">
        <v>733</v>
      </c>
      <c r="X61" s="9" t="s">
        <v>743</v>
      </c>
      <c r="Y61" s="8"/>
      <c r="Z61" s="8"/>
      <c r="AA61" s="9" t="s">
        <v>462</v>
      </c>
      <c r="AB61" s="9" t="s">
        <v>122</v>
      </c>
      <c r="AC61" s="8"/>
      <c r="AD61" s="8"/>
    </row>
    <row r="62" customFormat="false" ht="72" hidden="false" customHeight="true" outlineLevel="0" collapsed="false">
      <c r="A62" s="9" t="s">
        <v>744</v>
      </c>
      <c r="B62" s="9" t="s">
        <v>54</v>
      </c>
      <c r="C62" s="9" t="s">
        <v>684</v>
      </c>
      <c r="D62" s="9" t="s">
        <v>685</v>
      </c>
      <c r="E62" s="9" t="s">
        <v>686</v>
      </c>
      <c r="F62" s="9" t="s">
        <v>745</v>
      </c>
      <c r="G62" s="8" t="s">
        <v>746</v>
      </c>
      <c r="H62" s="8" t="s">
        <v>747</v>
      </c>
      <c r="I62" s="8" t="s">
        <v>689</v>
      </c>
      <c r="J62" s="8" t="s">
        <v>748</v>
      </c>
      <c r="K62" s="8" t="s">
        <v>749</v>
      </c>
      <c r="L62" s="8" t="s">
        <v>746</v>
      </c>
      <c r="M62" s="8" t="s">
        <v>750</v>
      </c>
      <c r="N62" s="9" t="s">
        <v>751</v>
      </c>
      <c r="O62" s="9" t="s">
        <v>542</v>
      </c>
      <c r="P62" s="9" t="s">
        <v>51</v>
      </c>
      <c r="Q62" s="9" t="s">
        <v>146</v>
      </c>
      <c r="R62" s="9" t="s">
        <v>563</v>
      </c>
      <c r="S62" s="9" t="s">
        <v>544</v>
      </c>
      <c r="T62" s="9" t="s">
        <v>694</v>
      </c>
      <c r="U62" s="9" t="s">
        <v>695</v>
      </c>
      <c r="V62" s="9" t="s">
        <v>696</v>
      </c>
      <c r="W62" s="9" t="s">
        <v>752</v>
      </c>
      <c r="X62" s="9" t="s">
        <v>753</v>
      </c>
      <c r="Y62" s="8"/>
      <c r="Z62" s="8"/>
      <c r="AA62" s="9" t="s">
        <v>462</v>
      </c>
      <c r="AB62" s="9" t="s">
        <v>122</v>
      </c>
      <c r="AC62" s="8"/>
      <c r="AD62" s="8"/>
    </row>
    <row r="63" customFormat="false" ht="72" hidden="false" customHeight="true" outlineLevel="0" collapsed="false">
      <c r="A63" s="9" t="s">
        <v>754</v>
      </c>
      <c r="B63" s="9" t="s">
        <v>54</v>
      </c>
      <c r="C63" s="9" t="s">
        <v>684</v>
      </c>
      <c r="D63" s="9" t="s">
        <v>685</v>
      </c>
      <c r="E63" s="9" t="s">
        <v>686</v>
      </c>
      <c r="F63" s="9" t="s">
        <v>755</v>
      </c>
      <c r="G63" s="8" t="s">
        <v>756</v>
      </c>
      <c r="H63" s="8" t="s">
        <v>757</v>
      </c>
      <c r="I63" s="8" t="s">
        <v>689</v>
      </c>
      <c r="J63" s="8" t="s">
        <v>758</v>
      </c>
      <c r="K63" s="8" t="s">
        <v>759</v>
      </c>
      <c r="L63" s="8" t="s">
        <v>756</v>
      </c>
      <c r="M63" s="8" t="s">
        <v>760</v>
      </c>
      <c r="N63" s="8" t="s">
        <v>761</v>
      </c>
      <c r="O63" s="9" t="s">
        <v>542</v>
      </c>
      <c r="P63" s="9" t="s">
        <v>51</v>
      </c>
      <c r="Q63" s="9" t="s">
        <v>136</v>
      </c>
      <c r="R63" s="9" t="s">
        <v>581</v>
      </c>
      <c r="S63" s="9" t="s">
        <v>544</v>
      </c>
      <c r="T63" s="9" t="s">
        <v>694</v>
      </c>
      <c r="U63" s="9" t="s">
        <v>695</v>
      </c>
      <c r="V63" s="9" t="s">
        <v>696</v>
      </c>
      <c r="W63" s="9" t="s">
        <v>762</v>
      </c>
      <c r="X63" s="9" t="s">
        <v>763</v>
      </c>
      <c r="Y63" s="8"/>
      <c r="Z63" s="8"/>
      <c r="AA63" s="9" t="s">
        <v>462</v>
      </c>
      <c r="AB63" s="9" t="s">
        <v>122</v>
      </c>
      <c r="AC63" s="8"/>
      <c r="AD63" s="8"/>
    </row>
    <row r="64" customFormat="false" ht="72" hidden="false" customHeight="true" outlineLevel="0" collapsed="false">
      <c r="A64" s="9" t="s">
        <v>764</v>
      </c>
      <c r="B64" s="9" t="s">
        <v>54</v>
      </c>
      <c r="C64" s="9" t="s">
        <v>684</v>
      </c>
      <c r="D64" s="9" t="s">
        <v>685</v>
      </c>
      <c r="E64" s="9" t="s">
        <v>686</v>
      </c>
      <c r="F64" s="9" t="s">
        <v>765</v>
      </c>
      <c r="G64" s="8" t="s">
        <v>766</v>
      </c>
      <c r="H64" s="8" t="s">
        <v>767</v>
      </c>
      <c r="I64" s="8" t="s">
        <v>689</v>
      </c>
      <c r="J64" s="8" t="s">
        <v>768</v>
      </c>
      <c r="K64" s="8" t="s">
        <v>769</v>
      </c>
      <c r="L64" s="8" t="s">
        <v>766</v>
      </c>
      <c r="M64" s="9" t="s">
        <v>770</v>
      </c>
      <c r="N64" s="8" t="s">
        <v>771</v>
      </c>
      <c r="O64" s="9" t="s">
        <v>542</v>
      </c>
      <c r="P64" s="9" t="s">
        <v>51</v>
      </c>
      <c r="Q64" s="9" t="s">
        <v>136</v>
      </c>
      <c r="R64" s="9" t="s">
        <v>581</v>
      </c>
      <c r="S64" s="9" t="s">
        <v>544</v>
      </c>
      <c r="T64" s="9" t="s">
        <v>694</v>
      </c>
      <c r="U64" s="9" t="s">
        <v>695</v>
      </c>
      <c r="V64" s="9" t="s">
        <v>696</v>
      </c>
      <c r="W64" s="9" t="s">
        <v>772</v>
      </c>
      <c r="X64" s="9" t="s">
        <v>773</v>
      </c>
      <c r="Y64" s="8"/>
      <c r="Z64" s="8"/>
      <c r="AA64" s="9" t="s">
        <v>462</v>
      </c>
      <c r="AB64" s="9" t="s">
        <v>122</v>
      </c>
      <c r="AC64" s="8"/>
      <c r="AD64" s="8"/>
    </row>
    <row r="65" customFormat="false" ht="72" hidden="false" customHeight="true" outlineLevel="0" collapsed="false">
      <c r="A65" s="9" t="s">
        <v>774</v>
      </c>
      <c r="B65" s="9" t="s">
        <v>54</v>
      </c>
      <c r="C65" s="9" t="s">
        <v>684</v>
      </c>
      <c r="D65" s="9" t="s">
        <v>685</v>
      </c>
      <c r="E65" s="9" t="s">
        <v>686</v>
      </c>
      <c r="F65" s="9" t="s">
        <v>775</v>
      </c>
      <c r="G65" s="8" t="s">
        <v>776</v>
      </c>
      <c r="H65" s="8" t="s">
        <v>777</v>
      </c>
      <c r="I65" s="8" t="s">
        <v>689</v>
      </c>
      <c r="J65" s="8" t="s">
        <v>778</v>
      </c>
      <c r="K65" s="8" t="s">
        <v>779</v>
      </c>
      <c r="L65" s="8" t="s">
        <v>776</v>
      </c>
      <c r="M65" s="8" t="s">
        <v>780</v>
      </c>
      <c r="N65" s="8" t="s">
        <v>781</v>
      </c>
      <c r="O65" s="9" t="s">
        <v>542</v>
      </c>
      <c r="P65" s="9" t="s">
        <v>51</v>
      </c>
      <c r="Q65" s="9" t="s">
        <v>136</v>
      </c>
      <c r="R65" s="9" t="s">
        <v>581</v>
      </c>
      <c r="S65" s="9" t="s">
        <v>544</v>
      </c>
      <c r="T65" s="9" t="s">
        <v>694</v>
      </c>
      <c r="U65" s="9" t="s">
        <v>695</v>
      </c>
      <c r="V65" s="9" t="s">
        <v>696</v>
      </c>
      <c r="W65" s="9" t="s">
        <v>782</v>
      </c>
      <c r="X65" s="9" t="s">
        <v>783</v>
      </c>
      <c r="Y65" s="8"/>
      <c r="Z65" s="8"/>
      <c r="AA65" s="9" t="s">
        <v>462</v>
      </c>
      <c r="AB65" s="9" t="s">
        <v>122</v>
      </c>
      <c r="AC65" s="8"/>
      <c r="AD65" s="8"/>
    </row>
    <row r="66" customFormat="false" ht="72" hidden="false" customHeight="true" outlineLevel="0" collapsed="false">
      <c r="A66" s="9" t="s">
        <v>784</v>
      </c>
      <c r="B66" s="9" t="s">
        <v>54</v>
      </c>
      <c r="C66" s="9" t="s">
        <v>684</v>
      </c>
      <c r="D66" s="9" t="s">
        <v>685</v>
      </c>
      <c r="E66" s="9" t="s">
        <v>686</v>
      </c>
      <c r="F66" s="9" t="s">
        <v>785</v>
      </c>
      <c r="G66" s="8" t="s">
        <v>786</v>
      </c>
      <c r="H66" s="8" t="s">
        <v>787</v>
      </c>
      <c r="I66" s="8" t="s">
        <v>689</v>
      </c>
      <c r="J66" s="8" t="s">
        <v>788</v>
      </c>
      <c r="K66" s="8" t="s">
        <v>789</v>
      </c>
      <c r="L66" s="8" t="s">
        <v>786</v>
      </c>
      <c r="M66" s="8" t="s">
        <v>790</v>
      </c>
      <c r="N66" s="8" t="s">
        <v>791</v>
      </c>
      <c r="O66" s="9" t="s">
        <v>542</v>
      </c>
      <c r="P66" s="9" t="s">
        <v>51</v>
      </c>
      <c r="Q66" s="9" t="s">
        <v>136</v>
      </c>
      <c r="R66" s="9" t="s">
        <v>581</v>
      </c>
      <c r="S66" s="9" t="s">
        <v>544</v>
      </c>
      <c r="T66" s="9" t="s">
        <v>694</v>
      </c>
      <c r="U66" s="9" t="s">
        <v>695</v>
      </c>
      <c r="V66" s="9" t="s">
        <v>696</v>
      </c>
      <c r="W66" s="9" t="s">
        <v>792</v>
      </c>
      <c r="X66" s="9" t="s">
        <v>783</v>
      </c>
      <c r="Y66" s="8"/>
      <c r="Z66" s="8"/>
      <c r="AA66" s="9" t="s">
        <v>462</v>
      </c>
      <c r="AB66" s="9" t="s">
        <v>122</v>
      </c>
      <c r="AC66" s="8"/>
      <c r="AD66" s="8"/>
    </row>
    <row r="67" customFormat="false" ht="72" hidden="false" customHeight="true" outlineLevel="0" collapsed="false">
      <c r="A67" s="9" t="s">
        <v>793</v>
      </c>
      <c r="B67" s="9" t="s">
        <v>54</v>
      </c>
      <c r="C67" s="9" t="s">
        <v>684</v>
      </c>
      <c r="D67" s="9" t="s">
        <v>685</v>
      </c>
      <c r="E67" s="9" t="s">
        <v>686</v>
      </c>
      <c r="F67" s="9" t="s">
        <v>794</v>
      </c>
      <c r="G67" s="8" t="s">
        <v>795</v>
      </c>
      <c r="H67" s="8" t="s">
        <v>796</v>
      </c>
      <c r="I67" s="8" t="s">
        <v>689</v>
      </c>
      <c r="J67" s="9" t="s">
        <v>797</v>
      </c>
      <c r="K67" s="8" t="s">
        <v>798</v>
      </c>
      <c r="L67" s="8" t="s">
        <v>795</v>
      </c>
      <c r="M67" s="8" t="s">
        <v>799</v>
      </c>
      <c r="N67" s="9" t="s">
        <v>800</v>
      </c>
      <c r="O67" s="9" t="s">
        <v>542</v>
      </c>
      <c r="P67" s="9" t="s">
        <v>51</v>
      </c>
      <c r="Q67" s="9" t="s">
        <v>136</v>
      </c>
      <c r="R67" s="9" t="s">
        <v>581</v>
      </c>
      <c r="S67" s="9" t="s">
        <v>544</v>
      </c>
      <c r="T67" s="9" t="s">
        <v>694</v>
      </c>
      <c r="U67" s="9" t="s">
        <v>695</v>
      </c>
      <c r="V67" s="9" t="s">
        <v>696</v>
      </c>
      <c r="W67" s="9" t="s">
        <v>801</v>
      </c>
      <c r="X67" s="9" t="s">
        <v>802</v>
      </c>
      <c r="Y67" s="8"/>
      <c r="Z67" s="8"/>
      <c r="AA67" s="9" t="s">
        <v>462</v>
      </c>
      <c r="AB67" s="9" t="s">
        <v>122</v>
      </c>
      <c r="AC67" s="8"/>
      <c r="AD67" s="8"/>
    </row>
    <row r="68" customFormat="false" ht="72" hidden="false" customHeight="true" outlineLevel="0" collapsed="false">
      <c r="A68" s="9" t="s">
        <v>803</v>
      </c>
      <c r="B68" s="9" t="s">
        <v>54</v>
      </c>
      <c r="C68" s="9" t="s">
        <v>684</v>
      </c>
      <c r="D68" s="9" t="s">
        <v>685</v>
      </c>
      <c r="E68" s="9" t="s">
        <v>686</v>
      </c>
      <c r="F68" s="9" t="s">
        <v>804</v>
      </c>
      <c r="G68" s="8" t="s">
        <v>805</v>
      </c>
      <c r="H68" s="8" t="s">
        <v>806</v>
      </c>
      <c r="I68" s="8" t="s">
        <v>689</v>
      </c>
      <c r="J68" s="8" t="s">
        <v>807</v>
      </c>
      <c r="K68" s="8" t="s">
        <v>808</v>
      </c>
      <c r="L68" s="8" t="s">
        <v>805</v>
      </c>
      <c r="M68" s="8" t="s">
        <v>809</v>
      </c>
      <c r="N68" s="8" t="s">
        <v>810</v>
      </c>
      <c r="O68" s="9" t="s">
        <v>542</v>
      </c>
      <c r="P68" s="9" t="s">
        <v>51</v>
      </c>
      <c r="Q68" s="9" t="s">
        <v>136</v>
      </c>
      <c r="R68" s="9" t="s">
        <v>581</v>
      </c>
      <c r="S68" s="9" t="s">
        <v>544</v>
      </c>
      <c r="T68" s="9" t="s">
        <v>694</v>
      </c>
      <c r="U68" s="9" t="s">
        <v>695</v>
      </c>
      <c r="V68" s="9" t="s">
        <v>696</v>
      </c>
      <c r="W68" s="9" t="s">
        <v>811</v>
      </c>
      <c r="X68" s="9" t="s">
        <v>812</v>
      </c>
      <c r="Y68" s="8"/>
      <c r="Z68" s="8"/>
      <c r="AA68" s="9" t="s">
        <v>462</v>
      </c>
      <c r="AB68" s="9" t="s">
        <v>122</v>
      </c>
      <c r="AC68" s="8"/>
      <c r="AD68" s="8"/>
    </row>
    <row r="69" customFormat="false" ht="72" hidden="false" customHeight="true" outlineLevel="0" collapsed="false">
      <c r="A69" s="9" t="s">
        <v>813</v>
      </c>
      <c r="B69" s="9" t="s">
        <v>54</v>
      </c>
      <c r="C69" s="9" t="s">
        <v>684</v>
      </c>
      <c r="D69" s="9" t="s">
        <v>685</v>
      </c>
      <c r="E69" s="9" t="s">
        <v>686</v>
      </c>
      <c r="F69" s="8" t="s">
        <v>814</v>
      </c>
      <c r="G69" s="8" t="s">
        <v>815</v>
      </c>
      <c r="H69" s="8" t="s">
        <v>816</v>
      </c>
      <c r="I69" s="8" t="s">
        <v>689</v>
      </c>
      <c r="J69" s="8" t="s">
        <v>817</v>
      </c>
      <c r="K69" s="8" t="s">
        <v>818</v>
      </c>
      <c r="L69" s="8" t="s">
        <v>815</v>
      </c>
      <c r="M69" s="9" t="s">
        <v>819</v>
      </c>
      <c r="N69" s="9" t="s">
        <v>820</v>
      </c>
      <c r="O69" s="9" t="s">
        <v>542</v>
      </c>
      <c r="P69" s="9" t="s">
        <v>51</v>
      </c>
      <c r="Q69" s="9" t="s">
        <v>136</v>
      </c>
      <c r="R69" s="9" t="s">
        <v>563</v>
      </c>
      <c r="S69" s="9" t="s">
        <v>544</v>
      </c>
      <c r="T69" s="9" t="s">
        <v>694</v>
      </c>
      <c r="U69" s="9" t="s">
        <v>695</v>
      </c>
      <c r="V69" s="9" t="s">
        <v>696</v>
      </c>
      <c r="W69" s="9" t="s">
        <v>821</v>
      </c>
      <c r="X69" s="9" t="s">
        <v>822</v>
      </c>
      <c r="Y69" s="8"/>
      <c r="Z69" s="8"/>
      <c r="AA69" s="9" t="s">
        <v>462</v>
      </c>
      <c r="AB69" s="9" t="s">
        <v>122</v>
      </c>
      <c r="AC69" s="8"/>
      <c r="AD69" s="8"/>
    </row>
  </sheetData>
  <mergeCells count="1">
    <mergeCell ref="A1:AD1"/>
  </mergeCells>
  <conditionalFormatting sqref="B4:W69">
    <cfRule type="containsText" priority="2" operator="containsText" aboveAverage="0" equalAverage="0" bottom="0" percent="0" rank="0" text="BLOCK" dxfId="12">
      <formula>NOT(ISERROR(SEARCH("BLOCK",B4)))</formula>
    </cfRule>
    <cfRule type="containsText" priority="3" operator="containsText" aboveAverage="0" equalAverage="0" bottom="0" percent="0" rank="0" text="NEEDS" dxfId="13">
      <formula>NOT(ISERROR(SEARCH("NEEDS",B4)))</formula>
    </cfRule>
    <cfRule type="containsText" priority="4" operator="containsText" aboveAverage="0" equalAverage="0" bottom="0" percent="0" rank="0" text="READY" dxfId="14">
      <formula>NOT(ISERROR(SEARCH("READY",B4)))</formula>
    </cfRule>
    <cfRule type="containsText" priority="5" operator="containsText" aboveAverage="0" equalAverage="0" bottom="0" percent="0" rank="0" text="COMPLETED" dxfId="15">
      <formula>NOT(ISERROR(SEARCH("COMPLETED",B4)))</formula>
    </cfRule>
    <cfRule type="containsText" priority="6" operator="containsText" aboveAverage="0" equalAverage="0" bottom="0" percent="0" rank="0" text="SUPERSEDED" dxfId="16">
      <formula>NOT(ISERROR(SEARCH("SUPERSEDED",B4)))</formula>
    </cfRule>
    <cfRule type="containsText" priority="7" operator="containsText" aboveAverage="0" equalAverage="0" bottom="0" percent="0" rank="0" text="N/A" dxfId="17">
      <formula>NOT(ISERROR(SEARCH("N/A",B4)))</formula>
    </cfRule>
  </conditionalFormatting>
  <dataValidations count="2">
    <dataValidation allowBlank="false" operator="between" showDropDown="false" showErrorMessage="false" showInputMessage="false" sqref="T4:T69" type="list">
      <formula1>"待移植,手工执行,自动执行"</formula1>
      <formula2>0</formula2>
    </dataValidation>
    <dataValidation allowBlank="false" operator="between" showDropDown="false" showErrorMessage="false" showInputMessage="false" sqref="U4:U69" type="list">
      <formula1>"已规划,已就绪,阻塞,已实现,已执行"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30.24"/>
    <col collapsed="false" customWidth="true" hidden="false" outlineLevel="0" max="3" min="3" style="0" width="40.33"/>
    <col collapsed="false" customWidth="true" hidden="false" outlineLevel="0" max="8" min="4" style="0" width="42.85"/>
    <col collapsed="false" customWidth="true" hidden="false" outlineLevel="0" max="9" min="9" style="0" width="15.12"/>
    <col collapsed="false" customWidth="true" hidden="false" outlineLevel="0" max="11" min="10" style="0" width="30.24"/>
    <col collapsed="false" customWidth="true" hidden="false" outlineLevel="0" max="14" min="12" style="0" width="20.17"/>
    <col collapsed="false" customWidth="true" hidden="false" outlineLevel="0" max="16" min="15" style="0" width="35.29"/>
  </cols>
  <sheetData>
    <row r="1" customFormat="false" ht="30" hidden="false" customHeight="true" outlineLevel="0" collapsed="false">
      <c r="A1" s="1" t="s">
        <v>823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0" hidden="false" customHeight="true" outlineLevel="0" collapsed="false">
      <c r="A3" s="2" t="s">
        <v>515</v>
      </c>
      <c r="B3" s="11" t="s">
        <v>824</v>
      </c>
      <c r="C3" s="11" t="s">
        <v>825</v>
      </c>
      <c r="D3" s="11" t="s">
        <v>520</v>
      </c>
      <c r="E3" s="11" t="s">
        <v>522</v>
      </c>
      <c r="F3" s="11" t="s">
        <v>523</v>
      </c>
      <c r="G3" s="11" t="s">
        <v>524</v>
      </c>
      <c r="H3" s="11" t="s">
        <v>525</v>
      </c>
      <c r="I3" s="11" t="s">
        <v>527</v>
      </c>
      <c r="J3" s="11" t="s">
        <v>528</v>
      </c>
      <c r="K3" s="11" t="s">
        <v>529</v>
      </c>
      <c r="L3" s="11" t="s">
        <v>530</v>
      </c>
      <c r="M3" s="11" t="s">
        <v>826</v>
      </c>
      <c r="N3" s="11" t="s">
        <v>827</v>
      </c>
      <c r="O3" s="11" t="s">
        <v>532</v>
      </c>
      <c r="P3" s="3" t="s">
        <v>94</v>
      </c>
    </row>
    <row r="4" customFormat="false" ht="66" hidden="false" customHeight="true" outlineLevel="0" collapsed="false">
      <c r="A4" s="7" t="s">
        <v>828</v>
      </c>
      <c r="B4" s="7" t="s">
        <v>829</v>
      </c>
      <c r="C4" s="7" t="s">
        <v>830</v>
      </c>
      <c r="D4" s="5" t="s">
        <v>831</v>
      </c>
      <c r="E4" s="5" t="s">
        <v>832</v>
      </c>
      <c r="F4" s="5" t="s">
        <v>833</v>
      </c>
      <c r="G4" s="7" t="s">
        <v>834</v>
      </c>
      <c r="H4" s="5" t="s">
        <v>835</v>
      </c>
      <c r="I4" s="7" t="s">
        <v>542</v>
      </c>
      <c r="J4" s="7" t="s">
        <v>51</v>
      </c>
      <c r="K4" s="7" t="s">
        <v>543</v>
      </c>
      <c r="L4" s="7" t="s">
        <v>544</v>
      </c>
      <c r="M4" s="5" t="s">
        <v>836</v>
      </c>
      <c r="N4" s="7" t="s">
        <v>695</v>
      </c>
      <c r="O4" s="7" t="s">
        <v>837</v>
      </c>
      <c r="P4" s="7" t="s">
        <v>838</v>
      </c>
    </row>
    <row r="5" customFormat="false" ht="66" hidden="false" customHeight="true" outlineLevel="0" collapsed="false">
      <c r="A5" s="9" t="s">
        <v>839</v>
      </c>
      <c r="B5" s="9" t="s">
        <v>829</v>
      </c>
      <c r="C5" s="9" t="s">
        <v>840</v>
      </c>
      <c r="D5" s="8" t="s">
        <v>841</v>
      </c>
      <c r="E5" s="9" t="s">
        <v>842</v>
      </c>
      <c r="F5" s="8" t="s">
        <v>843</v>
      </c>
      <c r="G5" s="8" t="s">
        <v>844</v>
      </c>
      <c r="H5" s="8" t="s">
        <v>845</v>
      </c>
      <c r="I5" s="9" t="s">
        <v>542</v>
      </c>
      <c r="J5" s="9" t="s">
        <v>51</v>
      </c>
      <c r="K5" s="9" t="s">
        <v>543</v>
      </c>
      <c r="L5" s="9" t="s">
        <v>544</v>
      </c>
      <c r="M5" s="8" t="s">
        <v>836</v>
      </c>
      <c r="N5" s="9" t="s">
        <v>695</v>
      </c>
      <c r="O5" s="9" t="s">
        <v>846</v>
      </c>
      <c r="P5" s="9" t="s">
        <v>847</v>
      </c>
    </row>
    <row r="6" customFormat="false" ht="66" hidden="false" customHeight="true" outlineLevel="0" collapsed="false">
      <c r="A6" s="9" t="s">
        <v>848</v>
      </c>
      <c r="B6" s="9" t="s">
        <v>849</v>
      </c>
      <c r="C6" s="9" t="s">
        <v>850</v>
      </c>
      <c r="D6" s="8" t="s">
        <v>851</v>
      </c>
      <c r="E6" s="8" t="s">
        <v>852</v>
      </c>
      <c r="F6" s="9" t="s">
        <v>853</v>
      </c>
      <c r="G6" s="8" t="s">
        <v>854</v>
      </c>
      <c r="H6" s="9" t="s">
        <v>855</v>
      </c>
      <c r="I6" s="9" t="s">
        <v>542</v>
      </c>
      <c r="J6" s="9" t="s">
        <v>51</v>
      </c>
      <c r="K6" s="9" t="s">
        <v>856</v>
      </c>
      <c r="L6" s="9" t="s">
        <v>544</v>
      </c>
      <c r="M6" s="8" t="s">
        <v>836</v>
      </c>
      <c r="N6" s="9" t="s">
        <v>695</v>
      </c>
      <c r="O6" s="9" t="s">
        <v>857</v>
      </c>
      <c r="P6" s="8" t="s">
        <v>858</v>
      </c>
    </row>
    <row r="7" customFormat="false" ht="66" hidden="false" customHeight="true" outlineLevel="0" collapsed="false">
      <c r="A7" s="9" t="s">
        <v>859</v>
      </c>
      <c r="B7" s="9" t="s">
        <v>849</v>
      </c>
      <c r="C7" s="9" t="s">
        <v>860</v>
      </c>
      <c r="D7" s="8" t="s">
        <v>861</v>
      </c>
      <c r="E7" s="8" t="s">
        <v>862</v>
      </c>
      <c r="F7" s="9" t="s">
        <v>863</v>
      </c>
      <c r="G7" s="8" t="s">
        <v>864</v>
      </c>
      <c r="H7" s="8" t="s">
        <v>865</v>
      </c>
      <c r="I7" s="9" t="s">
        <v>542</v>
      </c>
      <c r="J7" s="9" t="s">
        <v>51</v>
      </c>
      <c r="K7" s="9" t="s">
        <v>856</v>
      </c>
      <c r="L7" s="9" t="s">
        <v>544</v>
      </c>
      <c r="M7" s="8" t="s">
        <v>836</v>
      </c>
      <c r="N7" s="9" t="s">
        <v>695</v>
      </c>
      <c r="O7" s="9" t="s">
        <v>866</v>
      </c>
      <c r="P7" s="9" t="s">
        <v>867</v>
      </c>
    </row>
    <row r="8" customFormat="false" ht="66" hidden="false" customHeight="true" outlineLevel="0" collapsed="false">
      <c r="A8" s="9" t="s">
        <v>868</v>
      </c>
      <c r="B8" s="9" t="s">
        <v>869</v>
      </c>
      <c r="C8" s="9" t="s">
        <v>870</v>
      </c>
      <c r="D8" s="8" t="s">
        <v>871</v>
      </c>
      <c r="E8" s="8" t="s">
        <v>872</v>
      </c>
      <c r="F8" s="8" t="s">
        <v>873</v>
      </c>
      <c r="G8" s="8" t="s">
        <v>874</v>
      </c>
      <c r="H8" s="8" t="s">
        <v>875</v>
      </c>
      <c r="I8" s="9" t="s">
        <v>542</v>
      </c>
      <c r="J8" s="9" t="s">
        <v>51</v>
      </c>
      <c r="K8" s="9" t="s">
        <v>856</v>
      </c>
      <c r="L8" s="9" t="s">
        <v>544</v>
      </c>
      <c r="M8" s="8" t="s">
        <v>836</v>
      </c>
      <c r="N8" s="9" t="s">
        <v>695</v>
      </c>
      <c r="O8" s="9" t="s">
        <v>876</v>
      </c>
      <c r="P8" s="9" t="s">
        <v>877</v>
      </c>
    </row>
    <row r="9" customFormat="false" ht="66" hidden="false" customHeight="true" outlineLevel="0" collapsed="false">
      <c r="A9" s="9" t="s">
        <v>878</v>
      </c>
      <c r="B9" s="9" t="s">
        <v>879</v>
      </c>
      <c r="C9" s="8" t="s">
        <v>880</v>
      </c>
      <c r="D9" s="8" t="s">
        <v>881</v>
      </c>
      <c r="E9" s="8" t="s">
        <v>882</v>
      </c>
      <c r="F9" s="8" t="s">
        <v>883</v>
      </c>
      <c r="G9" s="8" t="s">
        <v>884</v>
      </c>
      <c r="H9" s="9" t="s">
        <v>885</v>
      </c>
      <c r="I9" s="9" t="s">
        <v>542</v>
      </c>
      <c r="J9" s="9" t="s">
        <v>51</v>
      </c>
      <c r="K9" s="9" t="s">
        <v>543</v>
      </c>
      <c r="L9" s="9" t="s">
        <v>544</v>
      </c>
      <c r="M9" s="8" t="s">
        <v>836</v>
      </c>
      <c r="N9" s="9" t="s">
        <v>695</v>
      </c>
      <c r="O9" s="9" t="s">
        <v>886</v>
      </c>
      <c r="P9" s="9" t="s">
        <v>887</v>
      </c>
    </row>
    <row r="10" customFormat="false" ht="66" hidden="false" customHeight="true" outlineLevel="0" collapsed="false">
      <c r="A10" s="9" t="s">
        <v>888</v>
      </c>
      <c r="B10" s="9" t="s">
        <v>889</v>
      </c>
      <c r="C10" s="8" t="s">
        <v>890</v>
      </c>
      <c r="D10" s="8" t="s">
        <v>891</v>
      </c>
      <c r="E10" s="8" t="s">
        <v>892</v>
      </c>
      <c r="F10" s="8" t="s">
        <v>893</v>
      </c>
      <c r="G10" s="9" t="s">
        <v>894</v>
      </c>
      <c r="H10" s="8" t="s">
        <v>895</v>
      </c>
      <c r="I10" s="9" t="s">
        <v>542</v>
      </c>
      <c r="J10" s="9" t="s">
        <v>896</v>
      </c>
      <c r="K10" s="9" t="s">
        <v>543</v>
      </c>
      <c r="L10" s="9" t="s">
        <v>544</v>
      </c>
      <c r="M10" s="8" t="s">
        <v>836</v>
      </c>
      <c r="N10" s="9" t="s">
        <v>695</v>
      </c>
      <c r="O10" s="9" t="s">
        <v>897</v>
      </c>
      <c r="P10" s="9" t="s">
        <v>898</v>
      </c>
    </row>
    <row r="11" customFormat="false" ht="66" hidden="false" customHeight="true" outlineLevel="0" collapsed="false">
      <c r="A11" s="9" t="s">
        <v>899</v>
      </c>
      <c r="B11" s="9" t="s">
        <v>900</v>
      </c>
      <c r="C11" s="9" t="s">
        <v>901</v>
      </c>
      <c r="D11" s="8" t="s">
        <v>902</v>
      </c>
      <c r="E11" s="9" t="s">
        <v>903</v>
      </c>
      <c r="F11" s="8" t="s">
        <v>904</v>
      </c>
      <c r="G11" s="8" t="s">
        <v>905</v>
      </c>
      <c r="H11" s="8" t="s">
        <v>906</v>
      </c>
      <c r="I11" s="9" t="s">
        <v>542</v>
      </c>
      <c r="J11" s="9" t="s">
        <v>51</v>
      </c>
      <c r="K11" s="9" t="s">
        <v>543</v>
      </c>
      <c r="L11" s="9" t="s">
        <v>544</v>
      </c>
      <c r="M11" s="8" t="s">
        <v>836</v>
      </c>
      <c r="N11" s="9" t="s">
        <v>695</v>
      </c>
      <c r="O11" s="9" t="s">
        <v>907</v>
      </c>
      <c r="P11" s="9" t="s">
        <v>908</v>
      </c>
    </row>
  </sheetData>
  <mergeCells count="1">
    <mergeCell ref="A1:P1"/>
  </mergeCells>
  <conditionalFormatting sqref="O4:O11">
    <cfRule type="containsText" priority="2" operator="containsText" aboveAverage="0" equalAverage="0" bottom="0" percent="0" rank="0" text="BLOCK" dxfId="18">
      <formula>NOT(ISERROR(SEARCH("BLOCK",O4)))</formula>
    </cfRule>
    <cfRule type="containsText" priority="3" operator="containsText" aboveAverage="0" equalAverage="0" bottom="0" percent="0" rank="0" text="NEEDS" dxfId="19">
      <formula>NOT(ISERROR(SEARCH("NEEDS",O4)))</formula>
    </cfRule>
    <cfRule type="containsText" priority="4" operator="containsText" aboveAverage="0" equalAverage="0" bottom="0" percent="0" rank="0" text="READY" dxfId="20">
      <formula>NOT(ISERROR(SEARCH("READY",O4)))</formula>
    </cfRule>
    <cfRule type="containsText" priority="5" operator="containsText" aboveAverage="0" equalAverage="0" bottom="0" percent="0" rank="0" text="COMPLETED" dxfId="21">
      <formula>NOT(ISERROR(SEARCH("COMPLETED",O4)))</formula>
    </cfRule>
    <cfRule type="containsText" priority="6" operator="containsText" aboveAverage="0" equalAverage="0" bottom="0" percent="0" rank="0" text="SUPERSEDED" dxfId="22">
      <formula>NOT(ISERROR(SEARCH("SUPERSEDED",O4)))</formula>
    </cfRule>
    <cfRule type="containsText" priority="7" operator="containsText" aboveAverage="0" equalAverage="0" bottom="0" percent="0" rank="0" text="N/A" dxfId="23">
      <formula>NOT(ISERROR(SEARCH("N/A",O4)))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25.21"/>
    <col collapsed="false" customWidth="true" hidden="false" outlineLevel="0" max="3" min="3" style="0" width="42.85"/>
    <col collapsed="false" customWidth="true" hidden="false" outlineLevel="0" max="7" min="4" style="0" width="52.92"/>
    <col collapsed="false" customWidth="true" hidden="false" outlineLevel="0" max="8" min="8" style="0" width="22.69"/>
    <col collapsed="false" customWidth="true" hidden="false" outlineLevel="0" max="9" min="9" style="0" width="47.89"/>
    <col collapsed="false" customWidth="true" hidden="false" outlineLevel="0" max="11" min="10" style="0" width="25.21"/>
    <col collapsed="false" customWidth="true" hidden="false" outlineLevel="0" max="12" min="12" style="0" width="52.92"/>
  </cols>
  <sheetData>
    <row r="1" customFormat="false" ht="30" hidden="false" customHeight="true" outlineLevel="0" collapsed="false">
      <c r="A1" s="1" t="s">
        <v>909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2" t="s">
        <v>910</v>
      </c>
      <c r="B3" s="11" t="s">
        <v>824</v>
      </c>
      <c r="C3" s="11" t="s">
        <v>911</v>
      </c>
      <c r="D3" s="11" t="s">
        <v>912</v>
      </c>
      <c r="E3" s="11" t="s">
        <v>913</v>
      </c>
      <c r="F3" s="11" t="s">
        <v>914</v>
      </c>
      <c r="G3" s="11" t="s">
        <v>915</v>
      </c>
      <c r="H3" s="11" t="s">
        <v>916</v>
      </c>
      <c r="I3" s="11" t="s">
        <v>917</v>
      </c>
      <c r="J3" s="11" t="s">
        <v>918</v>
      </c>
      <c r="K3" s="11" t="s">
        <v>827</v>
      </c>
      <c r="L3" s="3" t="s">
        <v>919</v>
      </c>
    </row>
    <row r="4" customFormat="false" ht="78" hidden="false" customHeight="true" outlineLevel="0" collapsed="false">
      <c r="A4" s="7" t="s">
        <v>920</v>
      </c>
      <c r="B4" s="7" t="s">
        <v>921</v>
      </c>
      <c r="C4" s="7" t="s">
        <v>922</v>
      </c>
      <c r="D4" s="7" t="s">
        <v>828</v>
      </c>
      <c r="E4" s="5" t="s">
        <v>923</v>
      </c>
      <c r="F4" s="5" t="s">
        <v>924</v>
      </c>
      <c r="G4" s="5" t="s">
        <v>925</v>
      </c>
      <c r="H4" s="7" t="s">
        <v>926</v>
      </c>
      <c r="I4" s="7" t="s">
        <v>927</v>
      </c>
      <c r="J4" s="5" t="s">
        <v>928</v>
      </c>
      <c r="K4" s="5" t="s">
        <v>929</v>
      </c>
      <c r="L4" s="5" t="s">
        <v>930</v>
      </c>
    </row>
    <row r="5" customFormat="false" ht="78" hidden="false" customHeight="true" outlineLevel="0" collapsed="false">
      <c r="A5" s="9" t="s">
        <v>931</v>
      </c>
      <c r="B5" s="9" t="s">
        <v>921</v>
      </c>
      <c r="C5" s="9" t="s">
        <v>932</v>
      </c>
      <c r="D5" s="9" t="s">
        <v>839</v>
      </c>
      <c r="E5" s="8" t="s">
        <v>933</v>
      </c>
      <c r="F5" s="8" t="s">
        <v>934</v>
      </c>
      <c r="G5" s="8" t="s">
        <v>935</v>
      </c>
      <c r="H5" s="9" t="s">
        <v>926</v>
      </c>
      <c r="I5" s="9" t="s">
        <v>936</v>
      </c>
      <c r="J5" s="8" t="s">
        <v>928</v>
      </c>
      <c r="K5" s="8" t="s">
        <v>929</v>
      </c>
      <c r="L5" s="8" t="s">
        <v>930</v>
      </c>
    </row>
    <row r="6" customFormat="false" ht="78" hidden="false" customHeight="true" outlineLevel="0" collapsed="false">
      <c r="A6" s="9" t="s">
        <v>937</v>
      </c>
      <c r="B6" s="9" t="s">
        <v>849</v>
      </c>
      <c r="C6" s="9" t="s">
        <v>938</v>
      </c>
      <c r="D6" s="9" t="s">
        <v>848</v>
      </c>
      <c r="E6" s="9" t="s">
        <v>939</v>
      </c>
      <c r="F6" s="9" t="s">
        <v>940</v>
      </c>
      <c r="G6" s="9" t="s">
        <v>941</v>
      </c>
      <c r="H6" s="9" t="s">
        <v>926</v>
      </c>
      <c r="I6" s="8" t="s">
        <v>942</v>
      </c>
      <c r="J6" s="8" t="s">
        <v>928</v>
      </c>
      <c r="K6" s="8" t="s">
        <v>929</v>
      </c>
      <c r="L6" s="8" t="s">
        <v>930</v>
      </c>
    </row>
    <row r="7" customFormat="false" ht="78" hidden="false" customHeight="true" outlineLevel="0" collapsed="false">
      <c r="A7" s="9" t="s">
        <v>943</v>
      </c>
      <c r="B7" s="9" t="s">
        <v>849</v>
      </c>
      <c r="C7" s="9" t="s">
        <v>944</v>
      </c>
      <c r="D7" s="9" t="s">
        <v>859</v>
      </c>
      <c r="E7" s="8" t="s">
        <v>945</v>
      </c>
      <c r="F7" s="8" t="s">
        <v>946</v>
      </c>
      <c r="G7" s="8" t="s">
        <v>947</v>
      </c>
      <c r="H7" s="9" t="s">
        <v>926</v>
      </c>
      <c r="I7" s="9" t="s">
        <v>948</v>
      </c>
      <c r="J7" s="8" t="s">
        <v>928</v>
      </c>
      <c r="K7" s="8" t="s">
        <v>929</v>
      </c>
      <c r="L7" s="8" t="s">
        <v>930</v>
      </c>
    </row>
    <row r="8" customFormat="false" ht="78" hidden="false" customHeight="true" outlineLevel="0" collapsed="false">
      <c r="A8" s="9" t="s">
        <v>949</v>
      </c>
      <c r="B8" s="9" t="s">
        <v>950</v>
      </c>
      <c r="C8" s="8" t="s">
        <v>951</v>
      </c>
      <c r="D8" s="9" t="s">
        <v>952</v>
      </c>
      <c r="E8" s="8" t="s">
        <v>953</v>
      </c>
      <c r="F8" s="8" t="s">
        <v>954</v>
      </c>
      <c r="G8" s="8" t="s">
        <v>955</v>
      </c>
      <c r="H8" s="9" t="s">
        <v>956</v>
      </c>
      <c r="I8" s="9" t="s">
        <v>957</v>
      </c>
      <c r="J8" s="8" t="s">
        <v>928</v>
      </c>
      <c r="K8" s="8" t="s">
        <v>929</v>
      </c>
      <c r="L8" s="8" t="s">
        <v>930</v>
      </c>
    </row>
    <row r="9" customFormat="false" ht="78" hidden="false" customHeight="true" outlineLevel="0" collapsed="false">
      <c r="A9" s="9" t="s">
        <v>958</v>
      </c>
      <c r="B9" s="9" t="s">
        <v>950</v>
      </c>
      <c r="C9" s="8" t="s">
        <v>959</v>
      </c>
      <c r="D9" s="9" t="s">
        <v>878</v>
      </c>
      <c r="E9" s="8" t="s">
        <v>960</v>
      </c>
      <c r="F9" s="8" t="s">
        <v>961</v>
      </c>
      <c r="G9" s="9" t="s">
        <v>962</v>
      </c>
      <c r="H9" s="9" t="s">
        <v>956</v>
      </c>
      <c r="I9" s="8" t="s">
        <v>963</v>
      </c>
      <c r="J9" s="8" t="s">
        <v>928</v>
      </c>
      <c r="K9" s="8" t="s">
        <v>929</v>
      </c>
      <c r="L9" s="8" t="s">
        <v>930</v>
      </c>
    </row>
    <row r="10" customFormat="false" ht="78" hidden="false" customHeight="true" outlineLevel="0" collapsed="false">
      <c r="A10" s="9" t="s">
        <v>964</v>
      </c>
      <c r="B10" s="9" t="s">
        <v>889</v>
      </c>
      <c r="C10" s="8" t="s">
        <v>965</v>
      </c>
      <c r="D10" s="9" t="s">
        <v>888</v>
      </c>
      <c r="E10" s="8" t="s">
        <v>966</v>
      </c>
      <c r="F10" s="8" t="s">
        <v>967</v>
      </c>
      <c r="G10" s="8" t="s">
        <v>968</v>
      </c>
      <c r="H10" s="9" t="s">
        <v>969</v>
      </c>
      <c r="I10" s="9" t="s">
        <v>970</v>
      </c>
      <c r="J10" s="8" t="s">
        <v>928</v>
      </c>
      <c r="K10" s="8" t="s">
        <v>929</v>
      </c>
      <c r="L10" s="8" t="s">
        <v>930</v>
      </c>
    </row>
    <row r="11" customFormat="false" ht="78" hidden="false" customHeight="true" outlineLevel="0" collapsed="false">
      <c r="A11" s="9" t="s">
        <v>971</v>
      </c>
      <c r="B11" s="9" t="s">
        <v>972</v>
      </c>
      <c r="C11" s="9" t="s">
        <v>973</v>
      </c>
      <c r="D11" s="9" t="s">
        <v>899</v>
      </c>
      <c r="E11" s="8" t="s">
        <v>974</v>
      </c>
      <c r="F11" s="8" t="s">
        <v>975</v>
      </c>
      <c r="G11" s="8" t="s">
        <v>976</v>
      </c>
      <c r="H11" s="9" t="s">
        <v>926</v>
      </c>
      <c r="I11" s="9" t="s">
        <v>977</v>
      </c>
      <c r="J11" s="8" t="s">
        <v>928</v>
      </c>
      <c r="K11" s="8" t="s">
        <v>929</v>
      </c>
      <c r="L11" s="8" t="s">
        <v>930</v>
      </c>
    </row>
  </sheetData>
  <mergeCells count="1">
    <mergeCell ref="A1:L1"/>
  </mergeCells>
  <conditionalFormatting sqref="J4:K11">
    <cfRule type="containsText" priority="2" operator="containsText" aboveAverage="0" equalAverage="0" bottom="0" percent="0" rank="0" text="BLOCK" dxfId="24">
      <formula>NOT(ISERROR(SEARCH("BLOCK",J4)))</formula>
    </cfRule>
    <cfRule type="containsText" priority="3" operator="containsText" aboveAverage="0" equalAverage="0" bottom="0" percent="0" rank="0" text="NEEDS" dxfId="25">
      <formula>NOT(ISERROR(SEARCH("NEEDS",J4)))</formula>
    </cfRule>
    <cfRule type="containsText" priority="4" operator="containsText" aboveAverage="0" equalAverage="0" bottom="0" percent="0" rank="0" text="READY" dxfId="26">
      <formula>NOT(ISERROR(SEARCH("READY",J4)))</formula>
    </cfRule>
    <cfRule type="containsText" priority="5" operator="containsText" aboveAverage="0" equalAverage="0" bottom="0" percent="0" rank="0" text="COMPLETED" dxfId="27">
      <formula>NOT(ISERROR(SEARCH("COMPLETED",J4)))</formula>
    </cfRule>
    <cfRule type="containsText" priority="6" operator="containsText" aboveAverage="0" equalAverage="0" bottom="0" percent="0" rank="0" text="SUPERSEDED" dxfId="28">
      <formula>NOT(ISERROR(SEARCH("SUPERSEDED",J4)))</formula>
    </cfRule>
    <cfRule type="containsText" priority="7" operator="containsText" aboveAverage="0" equalAverage="0" bottom="0" percent="0" rank="0" text="N/A" dxfId="29">
      <formula>NOT(ISERROR(SEARCH("N/A",J4)))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27.73"/>
    <col collapsed="false" customWidth="true" hidden="false" outlineLevel="0" max="4" min="2" style="0" width="25.21"/>
    <col collapsed="false" customWidth="true" hidden="false" outlineLevel="0" max="5" min="5" style="0" width="52.92"/>
    <col collapsed="false" customWidth="true" hidden="false" outlineLevel="0" max="6" min="6" style="0" width="12.6"/>
    <col collapsed="false" customWidth="true" hidden="false" outlineLevel="0" max="13" min="7" style="0" width="30.24"/>
    <col collapsed="false" customWidth="true" hidden="false" outlineLevel="0" max="19" min="14" style="0" width="52.92"/>
    <col collapsed="false" customWidth="true" hidden="false" outlineLevel="0" max="20" min="20" style="0" width="35.29"/>
    <col collapsed="false" customWidth="true" hidden="false" outlineLevel="0" max="21" min="21" style="0" width="18.37"/>
    <col collapsed="false" customWidth="true" hidden="false" outlineLevel="0" max="22" min="22" style="0" width="26.53"/>
    <col collapsed="false" customWidth="true" hidden="false" outlineLevel="0" max="23" min="23" style="0" width="30.62"/>
    <col collapsed="false" customWidth="true" hidden="false" outlineLevel="0" max="25" min="24" style="0" width="21.43"/>
    <col collapsed="false" customWidth="true" hidden="false" outlineLevel="0" max="26" min="26" style="0" width="38.78"/>
  </cols>
  <sheetData>
    <row r="1" customFormat="false" ht="30" hidden="false" customHeight="true" outlineLevel="0" collapsed="false">
      <c r="A1" s="10" t="s">
        <v>978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customFormat="false" ht="30" hidden="false" customHeight="true" outlineLevel="0" collapsed="false">
      <c r="A3" s="2" t="s">
        <v>515</v>
      </c>
      <c r="B3" s="11" t="s">
        <v>979</v>
      </c>
      <c r="C3" s="11" t="s">
        <v>980</v>
      </c>
      <c r="D3" s="11" t="s">
        <v>824</v>
      </c>
      <c r="E3" s="11" t="s">
        <v>825</v>
      </c>
      <c r="F3" s="11" t="s">
        <v>527</v>
      </c>
      <c r="G3" s="11" t="s">
        <v>92</v>
      </c>
      <c r="H3" s="11" t="s">
        <v>528</v>
      </c>
      <c r="I3" s="11" t="s">
        <v>529</v>
      </c>
      <c r="J3" s="11" t="s">
        <v>981</v>
      </c>
      <c r="K3" s="11" t="s">
        <v>982</v>
      </c>
      <c r="L3" s="11" t="s">
        <v>93</v>
      </c>
      <c r="M3" s="11" t="s">
        <v>532</v>
      </c>
      <c r="N3" s="11" t="s">
        <v>983</v>
      </c>
      <c r="O3" s="11" t="s">
        <v>984</v>
      </c>
      <c r="P3" s="11" t="s">
        <v>919</v>
      </c>
      <c r="Q3" s="11" t="s">
        <v>985</v>
      </c>
      <c r="R3" s="11" t="s">
        <v>986</v>
      </c>
      <c r="S3" s="12" t="s">
        <v>987</v>
      </c>
      <c r="T3" s="3" t="s">
        <v>95</v>
      </c>
      <c r="U3" s="3" t="s">
        <v>99</v>
      </c>
      <c r="V3" s="3" t="s">
        <v>97</v>
      </c>
      <c r="W3" s="3" t="s">
        <v>98</v>
      </c>
      <c r="X3" s="3" t="s">
        <v>100</v>
      </c>
      <c r="Y3" s="3" t="s">
        <v>101</v>
      </c>
      <c r="Z3" s="13" t="s">
        <v>102</v>
      </c>
    </row>
    <row r="4" customFormat="false" ht="72" hidden="false" customHeight="true" outlineLevel="0" collapsed="false">
      <c r="A4" s="7" t="s">
        <v>206</v>
      </c>
      <c r="B4" s="7" t="s">
        <v>988</v>
      </c>
      <c r="C4" s="7" t="s">
        <v>989</v>
      </c>
      <c r="D4" s="7" t="s">
        <v>89</v>
      </c>
      <c r="E4" s="7" t="s">
        <v>990</v>
      </c>
      <c r="F4" s="7" t="s">
        <v>542</v>
      </c>
      <c r="G4" s="7" t="s">
        <v>204</v>
      </c>
      <c r="H4" s="7" t="s">
        <v>51</v>
      </c>
      <c r="I4" s="7" t="s">
        <v>543</v>
      </c>
      <c r="J4" s="7" t="s">
        <v>991</v>
      </c>
      <c r="K4" s="7" t="s">
        <v>992</v>
      </c>
      <c r="L4" s="7" t="s">
        <v>114</v>
      </c>
      <c r="M4" s="7" t="s">
        <v>546</v>
      </c>
      <c r="N4" s="5" t="s">
        <v>993</v>
      </c>
      <c r="O4" s="7" t="s">
        <v>994</v>
      </c>
      <c r="P4" s="5" t="s">
        <v>995</v>
      </c>
      <c r="Q4" s="5" t="s">
        <v>996</v>
      </c>
      <c r="R4" s="5" t="s">
        <v>997</v>
      </c>
      <c r="S4" s="5" t="s">
        <v>998</v>
      </c>
      <c r="T4" s="5"/>
      <c r="U4" s="7" t="s">
        <v>120</v>
      </c>
      <c r="V4" s="7" t="s">
        <v>207</v>
      </c>
      <c r="W4" s="7" t="s">
        <v>208</v>
      </c>
      <c r="X4" s="7" t="s">
        <v>121</v>
      </c>
      <c r="Y4" s="7" t="s">
        <v>122</v>
      </c>
      <c r="Z4" s="7" t="s">
        <v>123</v>
      </c>
    </row>
    <row r="5" customFormat="false" ht="72" hidden="false" customHeight="true" outlineLevel="0" collapsed="false">
      <c r="A5" s="9" t="s">
        <v>148</v>
      </c>
      <c r="B5" s="9" t="s">
        <v>988</v>
      </c>
      <c r="C5" s="9" t="s">
        <v>989</v>
      </c>
      <c r="D5" s="9" t="s">
        <v>89</v>
      </c>
      <c r="E5" s="9" t="s">
        <v>999</v>
      </c>
      <c r="F5" s="9" t="s">
        <v>542</v>
      </c>
      <c r="G5" s="9" t="s">
        <v>146</v>
      </c>
      <c r="H5" s="9" t="s">
        <v>51</v>
      </c>
      <c r="I5" s="9" t="s">
        <v>552</v>
      </c>
      <c r="J5" s="9" t="s">
        <v>991</v>
      </c>
      <c r="K5" s="9" t="s">
        <v>992</v>
      </c>
      <c r="L5" s="9" t="s">
        <v>114</v>
      </c>
      <c r="M5" s="9" t="s">
        <v>546</v>
      </c>
      <c r="N5" s="8" t="s">
        <v>993</v>
      </c>
      <c r="O5" s="9" t="s">
        <v>994</v>
      </c>
      <c r="P5" s="8" t="s">
        <v>995</v>
      </c>
      <c r="Q5" s="8" t="s">
        <v>996</v>
      </c>
      <c r="R5" s="8" t="s">
        <v>997</v>
      </c>
      <c r="S5" s="8" t="s">
        <v>998</v>
      </c>
      <c r="T5" s="8"/>
      <c r="U5" s="9" t="s">
        <v>120</v>
      </c>
      <c r="V5" s="9" t="s">
        <v>149</v>
      </c>
      <c r="W5" s="9" t="s">
        <v>150</v>
      </c>
      <c r="X5" s="9" t="s">
        <v>121</v>
      </c>
      <c r="Y5" s="9" t="s">
        <v>122</v>
      </c>
      <c r="Z5" s="9" t="s">
        <v>151</v>
      </c>
    </row>
    <row r="6" customFormat="false" ht="72" hidden="false" customHeight="true" outlineLevel="0" collapsed="false">
      <c r="A6" s="9" t="s">
        <v>139</v>
      </c>
      <c r="B6" s="9" t="s">
        <v>988</v>
      </c>
      <c r="C6" s="9" t="s">
        <v>989</v>
      </c>
      <c r="D6" s="9" t="s">
        <v>89</v>
      </c>
      <c r="E6" s="9" t="s">
        <v>1000</v>
      </c>
      <c r="F6" s="9" t="s">
        <v>542</v>
      </c>
      <c r="G6" s="9" t="s">
        <v>136</v>
      </c>
      <c r="H6" s="9" t="s">
        <v>51</v>
      </c>
      <c r="I6" s="9" t="s">
        <v>552</v>
      </c>
      <c r="J6" s="9" t="s">
        <v>991</v>
      </c>
      <c r="K6" s="9" t="s">
        <v>992</v>
      </c>
      <c r="L6" s="9" t="s">
        <v>137</v>
      </c>
      <c r="M6" s="9" t="s">
        <v>558</v>
      </c>
      <c r="N6" s="8" t="s">
        <v>993</v>
      </c>
      <c r="O6" s="9" t="s">
        <v>1001</v>
      </c>
      <c r="P6" s="8" t="s">
        <v>995</v>
      </c>
      <c r="Q6" s="8" t="s">
        <v>996</v>
      </c>
      <c r="R6" s="8" t="s">
        <v>997</v>
      </c>
      <c r="S6" s="8" t="s">
        <v>998</v>
      </c>
      <c r="T6" s="8"/>
      <c r="U6" s="9" t="s">
        <v>120</v>
      </c>
      <c r="V6" s="9" t="s">
        <v>140</v>
      </c>
      <c r="W6" s="9" t="s">
        <v>141</v>
      </c>
      <c r="X6" s="9" t="s">
        <v>121</v>
      </c>
      <c r="Y6" s="9" t="s">
        <v>122</v>
      </c>
      <c r="Z6" s="9" t="s">
        <v>142</v>
      </c>
    </row>
    <row r="7" customFormat="false" ht="72" hidden="false" customHeight="true" outlineLevel="0" collapsed="false">
      <c r="A7" s="9" t="s">
        <v>224</v>
      </c>
      <c r="B7" s="9" t="s">
        <v>988</v>
      </c>
      <c r="C7" s="9" t="s">
        <v>989</v>
      </c>
      <c r="D7" s="9" t="s">
        <v>89</v>
      </c>
      <c r="E7" s="9" t="s">
        <v>1002</v>
      </c>
      <c r="F7" s="9" t="s">
        <v>542</v>
      </c>
      <c r="G7" s="9" t="s">
        <v>146</v>
      </c>
      <c r="H7" s="9" t="s">
        <v>51</v>
      </c>
      <c r="I7" s="9" t="s">
        <v>563</v>
      </c>
      <c r="J7" s="9" t="s">
        <v>991</v>
      </c>
      <c r="K7" s="9" t="s">
        <v>992</v>
      </c>
      <c r="L7" s="9" t="s">
        <v>114</v>
      </c>
      <c r="M7" s="9" t="s">
        <v>546</v>
      </c>
      <c r="N7" s="8" t="s">
        <v>993</v>
      </c>
      <c r="O7" s="9" t="s">
        <v>994</v>
      </c>
      <c r="P7" s="8" t="s">
        <v>995</v>
      </c>
      <c r="Q7" s="8" t="s">
        <v>996</v>
      </c>
      <c r="R7" s="8" t="s">
        <v>997</v>
      </c>
      <c r="S7" s="8" t="s">
        <v>998</v>
      </c>
      <c r="T7" s="8"/>
      <c r="U7" s="9" t="s">
        <v>120</v>
      </c>
      <c r="V7" s="9" t="s">
        <v>225</v>
      </c>
      <c r="W7" s="9" t="s">
        <v>226</v>
      </c>
      <c r="X7" s="9" t="s">
        <v>121</v>
      </c>
      <c r="Y7" s="9" t="s">
        <v>122</v>
      </c>
      <c r="Z7" s="9" t="s">
        <v>174</v>
      </c>
    </row>
    <row r="8" customFormat="false" ht="72" hidden="false" customHeight="true" outlineLevel="0" collapsed="false">
      <c r="A8" s="9" t="s">
        <v>218</v>
      </c>
      <c r="B8" s="9" t="s">
        <v>988</v>
      </c>
      <c r="C8" s="9" t="s">
        <v>989</v>
      </c>
      <c r="D8" s="9" t="s">
        <v>89</v>
      </c>
      <c r="E8" s="9" t="s">
        <v>1003</v>
      </c>
      <c r="F8" s="9" t="s">
        <v>542</v>
      </c>
      <c r="G8" s="9" t="s">
        <v>146</v>
      </c>
      <c r="H8" s="9" t="s">
        <v>51</v>
      </c>
      <c r="I8" s="9" t="s">
        <v>563</v>
      </c>
      <c r="J8" s="9" t="s">
        <v>991</v>
      </c>
      <c r="K8" s="9" t="s">
        <v>992</v>
      </c>
      <c r="L8" s="9" t="s">
        <v>114</v>
      </c>
      <c r="M8" s="9" t="s">
        <v>558</v>
      </c>
      <c r="N8" s="8" t="s">
        <v>993</v>
      </c>
      <c r="O8" s="9" t="s">
        <v>1001</v>
      </c>
      <c r="P8" s="8" t="s">
        <v>995</v>
      </c>
      <c r="Q8" s="8" t="s">
        <v>996</v>
      </c>
      <c r="R8" s="8" t="s">
        <v>997</v>
      </c>
      <c r="S8" s="8" t="s">
        <v>998</v>
      </c>
      <c r="T8" s="8"/>
      <c r="U8" s="9" t="s">
        <v>120</v>
      </c>
      <c r="V8" s="9" t="s">
        <v>219</v>
      </c>
      <c r="W8" s="9" t="s">
        <v>220</v>
      </c>
      <c r="X8" s="9" t="s">
        <v>121</v>
      </c>
      <c r="Y8" s="9" t="s">
        <v>122</v>
      </c>
      <c r="Z8" s="9" t="s">
        <v>174</v>
      </c>
    </row>
    <row r="9" customFormat="false" ht="72" hidden="false" customHeight="true" outlineLevel="0" collapsed="false">
      <c r="A9" s="9" t="s">
        <v>170</v>
      </c>
      <c r="B9" s="9" t="s">
        <v>988</v>
      </c>
      <c r="C9" s="9" t="s">
        <v>989</v>
      </c>
      <c r="D9" s="9" t="s">
        <v>89</v>
      </c>
      <c r="E9" s="9" t="s">
        <v>1004</v>
      </c>
      <c r="F9" s="9" t="s">
        <v>542</v>
      </c>
      <c r="G9" s="9" t="s">
        <v>136</v>
      </c>
      <c r="H9" s="9" t="s">
        <v>51</v>
      </c>
      <c r="I9" s="9" t="s">
        <v>552</v>
      </c>
      <c r="J9" s="9" t="s">
        <v>991</v>
      </c>
      <c r="K9" s="9" t="s">
        <v>992</v>
      </c>
      <c r="L9" s="9" t="s">
        <v>137</v>
      </c>
      <c r="M9" s="9" t="s">
        <v>558</v>
      </c>
      <c r="N9" s="8" t="s">
        <v>993</v>
      </c>
      <c r="O9" s="9" t="s">
        <v>1001</v>
      </c>
      <c r="P9" s="8" t="s">
        <v>995</v>
      </c>
      <c r="Q9" s="8" t="s">
        <v>996</v>
      </c>
      <c r="R9" s="8" t="s">
        <v>997</v>
      </c>
      <c r="S9" s="8" t="s">
        <v>998</v>
      </c>
      <c r="T9" s="8"/>
      <c r="U9" s="9" t="s">
        <v>173</v>
      </c>
      <c r="V9" s="9" t="s">
        <v>171</v>
      </c>
      <c r="W9" s="9" t="s">
        <v>172</v>
      </c>
      <c r="X9" s="9" t="s">
        <v>121</v>
      </c>
      <c r="Y9" s="9" t="s">
        <v>122</v>
      </c>
      <c r="Z9" s="9" t="s">
        <v>174</v>
      </c>
    </row>
    <row r="10" customFormat="false" ht="72" hidden="false" customHeight="true" outlineLevel="0" collapsed="false">
      <c r="A10" s="9" t="s">
        <v>178</v>
      </c>
      <c r="B10" s="9" t="s">
        <v>988</v>
      </c>
      <c r="C10" s="9" t="s">
        <v>989</v>
      </c>
      <c r="D10" s="9" t="s">
        <v>89</v>
      </c>
      <c r="E10" s="9" t="s">
        <v>1005</v>
      </c>
      <c r="F10" s="9" t="s">
        <v>542</v>
      </c>
      <c r="G10" s="9" t="s">
        <v>146</v>
      </c>
      <c r="H10" s="9" t="s">
        <v>51</v>
      </c>
      <c r="I10" s="9" t="s">
        <v>552</v>
      </c>
      <c r="J10" s="9" t="s">
        <v>991</v>
      </c>
      <c r="K10" s="9" t="s">
        <v>992</v>
      </c>
      <c r="L10" s="9" t="s">
        <v>114</v>
      </c>
      <c r="M10" s="9" t="s">
        <v>546</v>
      </c>
      <c r="N10" s="8" t="s">
        <v>993</v>
      </c>
      <c r="O10" s="9" t="s">
        <v>994</v>
      </c>
      <c r="P10" s="8" t="s">
        <v>995</v>
      </c>
      <c r="Q10" s="8" t="s">
        <v>996</v>
      </c>
      <c r="R10" s="8" t="s">
        <v>997</v>
      </c>
      <c r="S10" s="8" t="s">
        <v>998</v>
      </c>
      <c r="T10" s="8"/>
      <c r="U10" s="9" t="s">
        <v>120</v>
      </c>
      <c r="V10" s="9" t="s">
        <v>179</v>
      </c>
      <c r="W10" s="9" t="s">
        <v>180</v>
      </c>
      <c r="X10" s="9" t="s">
        <v>121</v>
      </c>
      <c r="Y10" s="9" t="s">
        <v>122</v>
      </c>
      <c r="Z10" s="9" t="s">
        <v>174</v>
      </c>
    </row>
    <row r="11" customFormat="false" ht="72" hidden="false" customHeight="true" outlineLevel="0" collapsed="false">
      <c r="A11" s="9" t="s">
        <v>185</v>
      </c>
      <c r="B11" s="9" t="s">
        <v>988</v>
      </c>
      <c r="C11" s="9" t="s">
        <v>989</v>
      </c>
      <c r="D11" s="9" t="s">
        <v>89</v>
      </c>
      <c r="E11" s="9" t="s">
        <v>1006</v>
      </c>
      <c r="F11" s="9" t="s">
        <v>542</v>
      </c>
      <c r="G11" s="9" t="s">
        <v>146</v>
      </c>
      <c r="H11" s="9" t="s">
        <v>51</v>
      </c>
      <c r="I11" s="9" t="s">
        <v>581</v>
      </c>
      <c r="J11" s="9" t="s">
        <v>991</v>
      </c>
      <c r="K11" s="9" t="s">
        <v>992</v>
      </c>
      <c r="L11" s="9" t="s">
        <v>114</v>
      </c>
      <c r="M11" s="9" t="s">
        <v>546</v>
      </c>
      <c r="N11" s="8" t="s">
        <v>993</v>
      </c>
      <c r="O11" s="9" t="s">
        <v>994</v>
      </c>
      <c r="P11" s="8" t="s">
        <v>995</v>
      </c>
      <c r="Q11" s="8" t="s">
        <v>996</v>
      </c>
      <c r="R11" s="8" t="s">
        <v>997</v>
      </c>
      <c r="S11" s="8" t="s">
        <v>998</v>
      </c>
      <c r="T11" s="8"/>
      <c r="U11" s="9" t="s">
        <v>120</v>
      </c>
      <c r="V11" s="9" t="s">
        <v>186</v>
      </c>
      <c r="W11" s="9" t="s">
        <v>187</v>
      </c>
      <c r="X11" s="9" t="s">
        <v>121</v>
      </c>
      <c r="Y11" s="9" t="s">
        <v>122</v>
      </c>
      <c r="Z11" s="9" t="s">
        <v>188</v>
      </c>
    </row>
    <row r="12" customFormat="false" ht="72" hidden="false" customHeight="true" outlineLevel="0" collapsed="false">
      <c r="A12" s="9" t="s">
        <v>192</v>
      </c>
      <c r="B12" s="9" t="s">
        <v>988</v>
      </c>
      <c r="C12" s="9" t="s">
        <v>989</v>
      </c>
      <c r="D12" s="9" t="s">
        <v>89</v>
      </c>
      <c r="E12" s="9" t="s">
        <v>1007</v>
      </c>
      <c r="F12" s="9" t="s">
        <v>542</v>
      </c>
      <c r="G12" s="9" t="s">
        <v>146</v>
      </c>
      <c r="H12" s="9" t="s">
        <v>51</v>
      </c>
      <c r="I12" s="9" t="s">
        <v>581</v>
      </c>
      <c r="J12" s="9" t="s">
        <v>991</v>
      </c>
      <c r="K12" s="9" t="s">
        <v>992</v>
      </c>
      <c r="L12" s="9" t="s">
        <v>114</v>
      </c>
      <c r="M12" s="9" t="s">
        <v>546</v>
      </c>
      <c r="N12" s="8" t="s">
        <v>993</v>
      </c>
      <c r="O12" s="9" t="s">
        <v>994</v>
      </c>
      <c r="P12" s="8" t="s">
        <v>995</v>
      </c>
      <c r="Q12" s="8" t="s">
        <v>996</v>
      </c>
      <c r="R12" s="8" t="s">
        <v>997</v>
      </c>
      <c r="S12" s="8" t="s">
        <v>998</v>
      </c>
      <c r="T12" s="8"/>
      <c r="U12" s="9" t="s">
        <v>120</v>
      </c>
      <c r="V12" s="9" t="s">
        <v>193</v>
      </c>
      <c r="W12" s="9" t="s">
        <v>194</v>
      </c>
      <c r="X12" s="9" t="s">
        <v>121</v>
      </c>
      <c r="Y12" s="9" t="s">
        <v>122</v>
      </c>
      <c r="Z12" s="9" t="s">
        <v>188</v>
      </c>
    </row>
    <row r="13" customFormat="false" ht="72" hidden="false" customHeight="true" outlineLevel="0" collapsed="false">
      <c r="A13" s="9" t="s">
        <v>156</v>
      </c>
      <c r="B13" s="9" t="s">
        <v>988</v>
      </c>
      <c r="C13" s="9" t="s">
        <v>989</v>
      </c>
      <c r="D13" s="9" t="s">
        <v>89</v>
      </c>
      <c r="E13" s="9" t="s">
        <v>1008</v>
      </c>
      <c r="F13" s="9" t="s">
        <v>542</v>
      </c>
      <c r="G13" s="9" t="s">
        <v>146</v>
      </c>
      <c r="H13" s="9" t="s">
        <v>51</v>
      </c>
      <c r="I13" s="9" t="s">
        <v>581</v>
      </c>
      <c r="J13" s="9" t="s">
        <v>991</v>
      </c>
      <c r="K13" s="9" t="s">
        <v>992</v>
      </c>
      <c r="L13" s="9" t="s">
        <v>114</v>
      </c>
      <c r="M13" s="9" t="s">
        <v>546</v>
      </c>
      <c r="N13" s="8" t="s">
        <v>993</v>
      </c>
      <c r="O13" s="9" t="s">
        <v>994</v>
      </c>
      <c r="P13" s="8" t="s">
        <v>995</v>
      </c>
      <c r="Q13" s="8" t="s">
        <v>996</v>
      </c>
      <c r="R13" s="8" t="s">
        <v>997</v>
      </c>
      <c r="S13" s="8" t="s">
        <v>998</v>
      </c>
      <c r="T13" s="8"/>
      <c r="U13" s="9" t="s">
        <v>120</v>
      </c>
      <c r="V13" s="9" t="s">
        <v>157</v>
      </c>
      <c r="W13" s="9" t="s">
        <v>158</v>
      </c>
      <c r="X13" s="9" t="s">
        <v>121</v>
      </c>
      <c r="Y13" s="9" t="s">
        <v>122</v>
      </c>
      <c r="Z13" s="9" t="s">
        <v>123</v>
      </c>
    </row>
    <row r="14" customFormat="false" ht="72" hidden="false" customHeight="true" outlineLevel="0" collapsed="false">
      <c r="A14" s="9" t="s">
        <v>162</v>
      </c>
      <c r="B14" s="9" t="s">
        <v>988</v>
      </c>
      <c r="C14" s="9" t="s">
        <v>989</v>
      </c>
      <c r="D14" s="9" t="s">
        <v>89</v>
      </c>
      <c r="E14" s="9" t="s">
        <v>1009</v>
      </c>
      <c r="F14" s="9" t="s">
        <v>542</v>
      </c>
      <c r="G14" s="9" t="s">
        <v>146</v>
      </c>
      <c r="H14" s="9" t="s">
        <v>51</v>
      </c>
      <c r="I14" s="9" t="s">
        <v>581</v>
      </c>
      <c r="J14" s="9" t="s">
        <v>991</v>
      </c>
      <c r="K14" s="9" t="s">
        <v>992</v>
      </c>
      <c r="L14" s="9" t="s">
        <v>114</v>
      </c>
      <c r="M14" s="9" t="s">
        <v>546</v>
      </c>
      <c r="N14" s="8" t="s">
        <v>993</v>
      </c>
      <c r="O14" s="9" t="s">
        <v>994</v>
      </c>
      <c r="P14" s="8" t="s">
        <v>995</v>
      </c>
      <c r="Q14" s="8" t="s">
        <v>996</v>
      </c>
      <c r="R14" s="8" t="s">
        <v>997</v>
      </c>
      <c r="S14" s="8" t="s">
        <v>998</v>
      </c>
      <c r="T14" s="8"/>
      <c r="U14" s="9" t="s">
        <v>120</v>
      </c>
      <c r="V14" s="9" t="s">
        <v>163</v>
      </c>
      <c r="W14" s="9" t="s">
        <v>164</v>
      </c>
      <c r="X14" s="9" t="s">
        <v>121</v>
      </c>
      <c r="Y14" s="9" t="s">
        <v>122</v>
      </c>
      <c r="Z14" s="9" t="s">
        <v>165</v>
      </c>
    </row>
    <row r="15" customFormat="false" ht="72" hidden="false" customHeight="true" outlineLevel="0" collapsed="false">
      <c r="A15" s="9" t="s">
        <v>198</v>
      </c>
      <c r="B15" s="9" t="s">
        <v>988</v>
      </c>
      <c r="C15" s="9" t="s">
        <v>989</v>
      </c>
      <c r="D15" s="9" t="s">
        <v>89</v>
      </c>
      <c r="E15" s="9" t="s">
        <v>1010</v>
      </c>
      <c r="F15" s="9" t="s">
        <v>542</v>
      </c>
      <c r="G15" s="9" t="s">
        <v>146</v>
      </c>
      <c r="H15" s="9" t="s">
        <v>51</v>
      </c>
      <c r="I15" s="9" t="s">
        <v>581</v>
      </c>
      <c r="J15" s="9" t="s">
        <v>991</v>
      </c>
      <c r="K15" s="9" t="s">
        <v>992</v>
      </c>
      <c r="L15" s="9" t="s">
        <v>114</v>
      </c>
      <c r="M15" s="9" t="s">
        <v>546</v>
      </c>
      <c r="N15" s="8" t="s">
        <v>993</v>
      </c>
      <c r="O15" s="9" t="s">
        <v>994</v>
      </c>
      <c r="P15" s="8" t="s">
        <v>995</v>
      </c>
      <c r="Q15" s="8" t="s">
        <v>996</v>
      </c>
      <c r="R15" s="8" t="s">
        <v>997</v>
      </c>
      <c r="S15" s="8" t="s">
        <v>998</v>
      </c>
      <c r="T15" s="8"/>
      <c r="U15" s="9" t="s">
        <v>120</v>
      </c>
      <c r="V15" s="9" t="s">
        <v>199</v>
      </c>
      <c r="W15" s="9" t="s">
        <v>200</v>
      </c>
      <c r="X15" s="9" t="s">
        <v>121</v>
      </c>
      <c r="Y15" s="9" t="s">
        <v>122</v>
      </c>
      <c r="Z15" s="9" t="s">
        <v>188</v>
      </c>
    </row>
    <row r="16" customFormat="false" ht="72" hidden="false" customHeight="true" outlineLevel="0" collapsed="false">
      <c r="A16" s="9" t="s">
        <v>128</v>
      </c>
      <c r="B16" s="9" t="s">
        <v>988</v>
      </c>
      <c r="C16" s="9" t="s">
        <v>989</v>
      </c>
      <c r="D16" s="9" t="s">
        <v>89</v>
      </c>
      <c r="E16" s="9" t="s">
        <v>1011</v>
      </c>
      <c r="F16" s="9" t="s">
        <v>542</v>
      </c>
      <c r="G16" s="9" t="s">
        <v>113</v>
      </c>
      <c r="H16" s="9" t="s">
        <v>51</v>
      </c>
      <c r="I16" s="9" t="s">
        <v>563</v>
      </c>
      <c r="J16" s="9" t="s">
        <v>991</v>
      </c>
      <c r="K16" s="9" t="s">
        <v>992</v>
      </c>
      <c r="L16" s="9" t="s">
        <v>114</v>
      </c>
      <c r="M16" s="9" t="s">
        <v>546</v>
      </c>
      <c r="N16" s="8" t="s">
        <v>993</v>
      </c>
      <c r="O16" s="9" t="s">
        <v>994</v>
      </c>
      <c r="P16" s="8" t="s">
        <v>995</v>
      </c>
      <c r="Q16" s="8" t="s">
        <v>996</v>
      </c>
      <c r="R16" s="8" t="s">
        <v>997</v>
      </c>
      <c r="S16" s="8" t="s">
        <v>998</v>
      </c>
      <c r="T16" s="8"/>
      <c r="U16" s="9" t="s">
        <v>120</v>
      </c>
      <c r="V16" s="9" t="s">
        <v>129</v>
      </c>
      <c r="W16" s="9" t="s">
        <v>130</v>
      </c>
      <c r="X16" s="9" t="s">
        <v>121</v>
      </c>
      <c r="Y16" s="9" t="s">
        <v>122</v>
      </c>
      <c r="Z16" s="9" t="s">
        <v>123</v>
      </c>
    </row>
    <row r="17" customFormat="false" ht="72" hidden="false" customHeight="true" outlineLevel="0" collapsed="false">
      <c r="A17" s="9" t="s">
        <v>117</v>
      </c>
      <c r="B17" s="9" t="s">
        <v>988</v>
      </c>
      <c r="C17" s="9" t="s">
        <v>989</v>
      </c>
      <c r="D17" s="9" t="s">
        <v>89</v>
      </c>
      <c r="E17" s="9" t="s">
        <v>1012</v>
      </c>
      <c r="F17" s="9" t="s">
        <v>542</v>
      </c>
      <c r="G17" s="9" t="s">
        <v>113</v>
      </c>
      <c r="H17" s="9" t="s">
        <v>51</v>
      </c>
      <c r="I17" s="9" t="s">
        <v>543</v>
      </c>
      <c r="J17" s="9" t="s">
        <v>991</v>
      </c>
      <c r="K17" s="9" t="s">
        <v>992</v>
      </c>
      <c r="L17" s="9" t="s">
        <v>114</v>
      </c>
      <c r="M17" s="9" t="s">
        <v>546</v>
      </c>
      <c r="N17" s="8" t="s">
        <v>993</v>
      </c>
      <c r="O17" s="9" t="s">
        <v>994</v>
      </c>
      <c r="P17" s="8" t="s">
        <v>995</v>
      </c>
      <c r="Q17" s="8" t="s">
        <v>996</v>
      </c>
      <c r="R17" s="8" t="s">
        <v>997</v>
      </c>
      <c r="S17" s="8" t="s">
        <v>998</v>
      </c>
      <c r="T17" s="8"/>
      <c r="U17" s="9" t="s">
        <v>120</v>
      </c>
      <c r="V17" s="9" t="s">
        <v>118</v>
      </c>
      <c r="W17" s="9" t="s">
        <v>119</v>
      </c>
      <c r="X17" s="9" t="s">
        <v>121</v>
      </c>
      <c r="Y17" s="9" t="s">
        <v>122</v>
      </c>
      <c r="Z17" s="9" t="s">
        <v>123</v>
      </c>
    </row>
    <row r="18" customFormat="false" ht="72" hidden="false" customHeight="true" outlineLevel="0" collapsed="false">
      <c r="A18" s="9" t="s">
        <v>212</v>
      </c>
      <c r="B18" s="9" t="s">
        <v>988</v>
      </c>
      <c r="C18" s="9" t="s">
        <v>989</v>
      </c>
      <c r="D18" s="9" t="s">
        <v>89</v>
      </c>
      <c r="E18" s="9" t="s">
        <v>1013</v>
      </c>
      <c r="F18" s="9" t="s">
        <v>542</v>
      </c>
      <c r="G18" s="9" t="s">
        <v>113</v>
      </c>
      <c r="H18" s="9" t="s">
        <v>51</v>
      </c>
      <c r="I18" s="9" t="s">
        <v>543</v>
      </c>
      <c r="J18" s="9" t="s">
        <v>991</v>
      </c>
      <c r="K18" s="9" t="s">
        <v>992</v>
      </c>
      <c r="L18" s="9" t="s">
        <v>114</v>
      </c>
      <c r="M18" s="9" t="s">
        <v>546</v>
      </c>
      <c r="N18" s="8" t="s">
        <v>993</v>
      </c>
      <c r="O18" s="9" t="s">
        <v>994</v>
      </c>
      <c r="P18" s="8" t="s">
        <v>995</v>
      </c>
      <c r="Q18" s="8" t="s">
        <v>996</v>
      </c>
      <c r="R18" s="8" t="s">
        <v>997</v>
      </c>
      <c r="S18" s="8" t="s">
        <v>998</v>
      </c>
      <c r="T18" s="8"/>
      <c r="U18" s="9" t="s">
        <v>120</v>
      </c>
      <c r="V18" s="9" t="s">
        <v>213</v>
      </c>
      <c r="W18" s="9" t="s">
        <v>214</v>
      </c>
      <c r="X18" s="9" t="s">
        <v>121</v>
      </c>
      <c r="Y18" s="9" t="s">
        <v>122</v>
      </c>
      <c r="Z18" s="9" t="s">
        <v>123</v>
      </c>
    </row>
    <row r="19" customFormat="false" ht="72" hidden="false" customHeight="true" outlineLevel="0" collapsed="false">
      <c r="A19" s="9" t="s">
        <v>239</v>
      </c>
      <c r="B19" s="9" t="s">
        <v>988</v>
      </c>
      <c r="C19" s="9" t="s">
        <v>989</v>
      </c>
      <c r="D19" s="9" t="s">
        <v>89</v>
      </c>
      <c r="E19" s="9" t="s">
        <v>1014</v>
      </c>
      <c r="F19" s="9" t="s">
        <v>542</v>
      </c>
      <c r="G19" s="9" t="s">
        <v>113</v>
      </c>
      <c r="H19" s="9" t="s">
        <v>51</v>
      </c>
      <c r="I19" s="9" t="s">
        <v>563</v>
      </c>
      <c r="J19" s="9" t="s">
        <v>991</v>
      </c>
      <c r="K19" s="9" t="s">
        <v>992</v>
      </c>
      <c r="L19" s="9" t="s">
        <v>114</v>
      </c>
      <c r="M19" s="9" t="s">
        <v>546</v>
      </c>
      <c r="N19" s="8" t="s">
        <v>993</v>
      </c>
      <c r="O19" s="9" t="s">
        <v>994</v>
      </c>
      <c r="P19" s="8" t="s">
        <v>995</v>
      </c>
      <c r="Q19" s="8" t="s">
        <v>996</v>
      </c>
      <c r="R19" s="8" t="s">
        <v>997</v>
      </c>
      <c r="S19" s="8" t="s">
        <v>998</v>
      </c>
      <c r="T19" s="8"/>
      <c r="U19" s="9" t="s">
        <v>120</v>
      </c>
      <c r="V19" s="9" t="s">
        <v>240</v>
      </c>
      <c r="W19" s="9" t="s">
        <v>241</v>
      </c>
      <c r="X19" s="9" t="s">
        <v>121</v>
      </c>
      <c r="Y19" s="9" t="s">
        <v>122</v>
      </c>
      <c r="Z19" s="9" t="s">
        <v>242</v>
      </c>
    </row>
    <row r="20" customFormat="false" ht="72" hidden="false" customHeight="true" outlineLevel="0" collapsed="false">
      <c r="A20" s="9" t="s">
        <v>246</v>
      </c>
      <c r="B20" s="9" t="s">
        <v>988</v>
      </c>
      <c r="C20" s="9" t="s">
        <v>989</v>
      </c>
      <c r="D20" s="9" t="s">
        <v>89</v>
      </c>
      <c r="E20" s="9" t="s">
        <v>1015</v>
      </c>
      <c r="F20" s="9" t="s">
        <v>542</v>
      </c>
      <c r="G20" s="9" t="s">
        <v>113</v>
      </c>
      <c r="H20" s="9" t="s">
        <v>51</v>
      </c>
      <c r="I20" s="9" t="s">
        <v>563</v>
      </c>
      <c r="J20" s="9" t="s">
        <v>991</v>
      </c>
      <c r="K20" s="9" t="s">
        <v>992</v>
      </c>
      <c r="L20" s="9" t="s">
        <v>114</v>
      </c>
      <c r="M20" s="9" t="s">
        <v>546</v>
      </c>
      <c r="N20" s="8" t="s">
        <v>993</v>
      </c>
      <c r="O20" s="9" t="s">
        <v>994</v>
      </c>
      <c r="P20" s="8" t="s">
        <v>995</v>
      </c>
      <c r="Q20" s="8" t="s">
        <v>996</v>
      </c>
      <c r="R20" s="8" t="s">
        <v>997</v>
      </c>
      <c r="S20" s="8" t="s">
        <v>998</v>
      </c>
      <c r="T20" s="8"/>
      <c r="U20" s="9" t="s">
        <v>120</v>
      </c>
      <c r="V20" s="9" t="s">
        <v>247</v>
      </c>
      <c r="W20" s="9" t="s">
        <v>248</v>
      </c>
      <c r="X20" s="9" t="s">
        <v>121</v>
      </c>
      <c r="Y20" s="9" t="s">
        <v>122</v>
      </c>
      <c r="Z20" s="9" t="s">
        <v>249</v>
      </c>
    </row>
    <row r="21" customFormat="false" ht="72" hidden="false" customHeight="true" outlineLevel="0" collapsed="false">
      <c r="A21" s="9" t="s">
        <v>253</v>
      </c>
      <c r="B21" s="9" t="s">
        <v>988</v>
      </c>
      <c r="C21" s="9" t="s">
        <v>989</v>
      </c>
      <c r="D21" s="9" t="s">
        <v>89</v>
      </c>
      <c r="E21" s="9" t="s">
        <v>1016</v>
      </c>
      <c r="F21" s="9" t="s">
        <v>542</v>
      </c>
      <c r="G21" s="9" t="s">
        <v>113</v>
      </c>
      <c r="H21" s="9" t="s">
        <v>51</v>
      </c>
      <c r="I21" s="9" t="s">
        <v>563</v>
      </c>
      <c r="J21" s="9" t="s">
        <v>991</v>
      </c>
      <c r="K21" s="9" t="s">
        <v>992</v>
      </c>
      <c r="L21" s="9" t="s">
        <v>114</v>
      </c>
      <c r="M21" s="9" t="s">
        <v>546</v>
      </c>
      <c r="N21" s="8" t="s">
        <v>993</v>
      </c>
      <c r="O21" s="9" t="s">
        <v>994</v>
      </c>
      <c r="P21" s="8" t="s">
        <v>995</v>
      </c>
      <c r="Q21" s="8" t="s">
        <v>996</v>
      </c>
      <c r="R21" s="8" t="s">
        <v>997</v>
      </c>
      <c r="S21" s="8" t="s">
        <v>998</v>
      </c>
      <c r="T21" s="8"/>
      <c r="U21" s="9" t="s">
        <v>120</v>
      </c>
      <c r="V21" s="9" t="s">
        <v>254</v>
      </c>
      <c r="W21" s="9" t="s">
        <v>255</v>
      </c>
      <c r="X21" s="9" t="s">
        <v>121</v>
      </c>
      <c r="Y21" s="9" t="s">
        <v>122</v>
      </c>
      <c r="Z21" s="9" t="s">
        <v>249</v>
      </c>
    </row>
    <row r="22" customFormat="false" ht="72" hidden="false" customHeight="true" outlineLevel="0" collapsed="false">
      <c r="A22" s="9" t="s">
        <v>266</v>
      </c>
      <c r="B22" s="9" t="s">
        <v>988</v>
      </c>
      <c r="C22" s="9" t="s">
        <v>989</v>
      </c>
      <c r="D22" s="9" t="s">
        <v>89</v>
      </c>
      <c r="E22" s="9" t="s">
        <v>1017</v>
      </c>
      <c r="F22" s="9" t="s">
        <v>542</v>
      </c>
      <c r="G22" s="9" t="s">
        <v>113</v>
      </c>
      <c r="H22" s="9" t="s">
        <v>51</v>
      </c>
      <c r="I22" s="9" t="s">
        <v>563</v>
      </c>
      <c r="J22" s="9" t="s">
        <v>991</v>
      </c>
      <c r="K22" s="9" t="s">
        <v>992</v>
      </c>
      <c r="L22" s="9" t="s">
        <v>114</v>
      </c>
      <c r="M22" s="9" t="s">
        <v>546</v>
      </c>
      <c r="N22" s="8" t="s">
        <v>993</v>
      </c>
      <c r="O22" s="9" t="s">
        <v>994</v>
      </c>
      <c r="P22" s="8" t="s">
        <v>995</v>
      </c>
      <c r="Q22" s="8" t="s">
        <v>996</v>
      </c>
      <c r="R22" s="8" t="s">
        <v>997</v>
      </c>
      <c r="S22" s="8" t="s">
        <v>998</v>
      </c>
      <c r="T22" s="8"/>
      <c r="U22" s="9" t="s">
        <v>120</v>
      </c>
      <c r="V22" s="9" t="s">
        <v>267</v>
      </c>
      <c r="W22" s="9" t="s">
        <v>268</v>
      </c>
      <c r="X22" s="9" t="s">
        <v>121</v>
      </c>
      <c r="Y22" s="9" t="s">
        <v>122</v>
      </c>
      <c r="Z22" s="9" t="s">
        <v>249</v>
      </c>
    </row>
    <row r="23" customFormat="false" ht="72" hidden="false" customHeight="true" outlineLevel="0" collapsed="false">
      <c r="A23" s="9" t="s">
        <v>272</v>
      </c>
      <c r="B23" s="9" t="s">
        <v>988</v>
      </c>
      <c r="C23" s="9" t="s">
        <v>989</v>
      </c>
      <c r="D23" s="9" t="s">
        <v>89</v>
      </c>
      <c r="E23" s="9" t="s">
        <v>1018</v>
      </c>
      <c r="F23" s="9" t="s">
        <v>542</v>
      </c>
      <c r="G23" s="9" t="s">
        <v>113</v>
      </c>
      <c r="H23" s="9" t="s">
        <v>51</v>
      </c>
      <c r="I23" s="9" t="s">
        <v>563</v>
      </c>
      <c r="J23" s="9" t="s">
        <v>991</v>
      </c>
      <c r="K23" s="9" t="s">
        <v>992</v>
      </c>
      <c r="L23" s="9" t="s">
        <v>114</v>
      </c>
      <c r="M23" s="9" t="s">
        <v>546</v>
      </c>
      <c r="N23" s="8" t="s">
        <v>993</v>
      </c>
      <c r="O23" s="9" t="s">
        <v>994</v>
      </c>
      <c r="P23" s="8" t="s">
        <v>995</v>
      </c>
      <c r="Q23" s="8" t="s">
        <v>996</v>
      </c>
      <c r="R23" s="8" t="s">
        <v>997</v>
      </c>
      <c r="S23" s="8" t="s">
        <v>998</v>
      </c>
      <c r="T23" s="8"/>
      <c r="U23" s="9" t="s">
        <v>120</v>
      </c>
      <c r="V23" s="9" t="s">
        <v>273</v>
      </c>
      <c r="W23" s="9" t="s">
        <v>274</v>
      </c>
      <c r="X23" s="9" t="s">
        <v>121</v>
      </c>
      <c r="Y23" s="9" t="s">
        <v>122</v>
      </c>
      <c r="Z23" s="9" t="s">
        <v>249</v>
      </c>
    </row>
    <row r="24" customFormat="false" ht="72" hidden="false" customHeight="true" outlineLevel="0" collapsed="false">
      <c r="A24" s="9" t="s">
        <v>259</v>
      </c>
      <c r="B24" s="9" t="s">
        <v>988</v>
      </c>
      <c r="C24" s="9" t="s">
        <v>989</v>
      </c>
      <c r="D24" s="9" t="s">
        <v>89</v>
      </c>
      <c r="E24" s="9" t="s">
        <v>1019</v>
      </c>
      <c r="F24" s="9" t="s">
        <v>542</v>
      </c>
      <c r="G24" s="9" t="s">
        <v>113</v>
      </c>
      <c r="H24" s="9" t="s">
        <v>51</v>
      </c>
      <c r="I24" s="9" t="s">
        <v>563</v>
      </c>
      <c r="J24" s="9" t="s">
        <v>991</v>
      </c>
      <c r="K24" s="9" t="s">
        <v>992</v>
      </c>
      <c r="L24" s="9" t="s">
        <v>114</v>
      </c>
      <c r="M24" s="9" t="s">
        <v>546</v>
      </c>
      <c r="N24" s="8" t="s">
        <v>993</v>
      </c>
      <c r="O24" s="9" t="s">
        <v>994</v>
      </c>
      <c r="P24" s="8" t="s">
        <v>995</v>
      </c>
      <c r="Q24" s="8" t="s">
        <v>996</v>
      </c>
      <c r="R24" s="8" t="s">
        <v>997</v>
      </c>
      <c r="S24" s="8" t="s">
        <v>998</v>
      </c>
      <c r="T24" s="8"/>
      <c r="U24" s="9" t="s">
        <v>120</v>
      </c>
      <c r="V24" s="9" t="s">
        <v>260</v>
      </c>
      <c r="W24" s="9" t="s">
        <v>261</v>
      </c>
      <c r="X24" s="9" t="s">
        <v>121</v>
      </c>
      <c r="Y24" s="9" t="s">
        <v>122</v>
      </c>
      <c r="Z24" s="9" t="s">
        <v>249</v>
      </c>
    </row>
    <row r="25" customFormat="false" ht="72" hidden="false" customHeight="true" outlineLevel="0" collapsed="false">
      <c r="A25" s="9" t="s">
        <v>279</v>
      </c>
      <c r="B25" s="9" t="s">
        <v>988</v>
      </c>
      <c r="C25" s="9" t="s">
        <v>989</v>
      </c>
      <c r="D25" s="9" t="s">
        <v>89</v>
      </c>
      <c r="E25" s="9" t="s">
        <v>1020</v>
      </c>
      <c r="F25" s="9" t="s">
        <v>542</v>
      </c>
      <c r="G25" s="9" t="s">
        <v>113</v>
      </c>
      <c r="H25" s="9" t="s">
        <v>51</v>
      </c>
      <c r="I25" s="9" t="s">
        <v>563</v>
      </c>
      <c r="J25" s="9" t="s">
        <v>991</v>
      </c>
      <c r="K25" s="9" t="s">
        <v>992</v>
      </c>
      <c r="L25" s="9" t="s">
        <v>114</v>
      </c>
      <c r="M25" s="9" t="s">
        <v>546</v>
      </c>
      <c r="N25" s="8" t="s">
        <v>993</v>
      </c>
      <c r="O25" s="9" t="s">
        <v>994</v>
      </c>
      <c r="P25" s="8" t="s">
        <v>995</v>
      </c>
      <c r="Q25" s="8" t="s">
        <v>996</v>
      </c>
      <c r="R25" s="8" t="s">
        <v>997</v>
      </c>
      <c r="S25" s="8" t="s">
        <v>998</v>
      </c>
      <c r="T25" s="8"/>
      <c r="U25" s="9" t="s">
        <v>120</v>
      </c>
      <c r="V25" s="9" t="s">
        <v>280</v>
      </c>
      <c r="W25" s="9" t="s">
        <v>281</v>
      </c>
      <c r="X25" s="9" t="s">
        <v>121</v>
      </c>
      <c r="Y25" s="9" t="s">
        <v>122</v>
      </c>
      <c r="Z25" s="9" t="s">
        <v>249</v>
      </c>
    </row>
    <row r="26" customFormat="false" ht="72" hidden="false" customHeight="true" outlineLevel="0" collapsed="false">
      <c r="A26" s="9" t="s">
        <v>285</v>
      </c>
      <c r="B26" s="9" t="s">
        <v>988</v>
      </c>
      <c r="C26" s="9" t="s">
        <v>989</v>
      </c>
      <c r="D26" s="9" t="s">
        <v>89</v>
      </c>
      <c r="E26" s="9" t="s">
        <v>1021</v>
      </c>
      <c r="F26" s="9" t="s">
        <v>542</v>
      </c>
      <c r="G26" s="9" t="s">
        <v>113</v>
      </c>
      <c r="H26" s="9" t="s">
        <v>51</v>
      </c>
      <c r="I26" s="9" t="s">
        <v>563</v>
      </c>
      <c r="J26" s="9" t="s">
        <v>991</v>
      </c>
      <c r="K26" s="9" t="s">
        <v>992</v>
      </c>
      <c r="L26" s="9" t="s">
        <v>114</v>
      </c>
      <c r="M26" s="9" t="s">
        <v>546</v>
      </c>
      <c r="N26" s="8" t="s">
        <v>993</v>
      </c>
      <c r="O26" s="9" t="s">
        <v>994</v>
      </c>
      <c r="P26" s="8" t="s">
        <v>995</v>
      </c>
      <c r="Q26" s="8" t="s">
        <v>996</v>
      </c>
      <c r="R26" s="8" t="s">
        <v>997</v>
      </c>
      <c r="S26" s="8" t="s">
        <v>998</v>
      </c>
      <c r="T26" s="8"/>
      <c r="U26" s="9" t="s">
        <v>120</v>
      </c>
      <c r="V26" s="9" t="s">
        <v>286</v>
      </c>
      <c r="W26" s="9" t="s">
        <v>287</v>
      </c>
      <c r="X26" s="9" t="s">
        <v>121</v>
      </c>
      <c r="Y26" s="9" t="s">
        <v>122</v>
      </c>
      <c r="Z26" s="9" t="s">
        <v>288</v>
      </c>
    </row>
    <row r="27" customFormat="false" ht="72" hidden="false" customHeight="true" outlineLevel="0" collapsed="false">
      <c r="A27" s="9" t="s">
        <v>292</v>
      </c>
      <c r="B27" s="9" t="s">
        <v>988</v>
      </c>
      <c r="C27" s="9" t="s">
        <v>989</v>
      </c>
      <c r="D27" s="9" t="s">
        <v>89</v>
      </c>
      <c r="E27" s="9" t="s">
        <v>1022</v>
      </c>
      <c r="F27" s="9" t="s">
        <v>542</v>
      </c>
      <c r="G27" s="9" t="s">
        <v>113</v>
      </c>
      <c r="H27" s="9" t="s">
        <v>51</v>
      </c>
      <c r="I27" s="9" t="s">
        <v>563</v>
      </c>
      <c r="J27" s="9" t="s">
        <v>991</v>
      </c>
      <c r="K27" s="9" t="s">
        <v>992</v>
      </c>
      <c r="L27" s="9" t="s">
        <v>114</v>
      </c>
      <c r="M27" s="9" t="s">
        <v>546</v>
      </c>
      <c r="N27" s="8" t="s">
        <v>993</v>
      </c>
      <c r="O27" s="9" t="s">
        <v>994</v>
      </c>
      <c r="P27" s="8" t="s">
        <v>995</v>
      </c>
      <c r="Q27" s="8" t="s">
        <v>996</v>
      </c>
      <c r="R27" s="8" t="s">
        <v>997</v>
      </c>
      <c r="S27" s="8" t="s">
        <v>998</v>
      </c>
      <c r="T27" s="8"/>
      <c r="U27" s="9" t="s">
        <v>120</v>
      </c>
      <c r="V27" s="9" t="s">
        <v>293</v>
      </c>
      <c r="W27" s="9" t="s">
        <v>294</v>
      </c>
      <c r="X27" s="9" t="s">
        <v>121</v>
      </c>
      <c r="Y27" s="9" t="s">
        <v>122</v>
      </c>
      <c r="Z27" s="9" t="s">
        <v>249</v>
      </c>
    </row>
    <row r="28" customFormat="false" ht="72" hidden="false" customHeight="true" outlineLevel="0" collapsed="false">
      <c r="A28" s="9" t="s">
        <v>298</v>
      </c>
      <c r="B28" s="9" t="s">
        <v>988</v>
      </c>
      <c r="C28" s="9" t="s">
        <v>989</v>
      </c>
      <c r="D28" s="9" t="s">
        <v>89</v>
      </c>
      <c r="E28" s="9" t="s">
        <v>1023</v>
      </c>
      <c r="F28" s="9" t="s">
        <v>542</v>
      </c>
      <c r="G28" s="9" t="s">
        <v>113</v>
      </c>
      <c r="H28" s="9" t="s">
        <v>51</v>
      </c>
      <c r="I28" s="9" t="s">
        <v>563</v>
      </c>
      <c r="J28" s="9" t="s">
        <v>991</v>
      </c>
      <c r="K28" s="9" t="s">
        <v>992</v>
      </c>
      <c r="L28" s="9" t="s">
        <v>114</v>
      </c>
      <c r="M28" s="9" t="s">
        <v>546</v>
      </c>
      <c r="N28" s="8" t="s">
        <v>993</v>
      </c>
      <c r="O28" s="9" t="s">
        <v>994</v>
      </c>
      <c r="P28" s="8" t="s">
        <v>995</v>
      </c>
      <c r="Q28" s="8" t="s">
        <v>996</v>
      </c>
      <c r="R28" s="8" t="s">
        <v>997</v>
      </c>
      <c r="S28" s="8" t="s">
        <v>998</v>
      </c>
      <c r="T28" s="8"/>
      <c r="U28" s="9" t="s">
        <v>120</v>
      </c>
      <c r="V28" s="9" t="s">
        <v>299</v>
      </c>
      <c r="W28" s="9" t="s">
        <v>300</v>
      </c>
      <c r="X28" s="9" t="s">
        <v>121</v>
      </c>
      <c r="Y28" s="9" t="s">
        <v>122</v>
      </c>
      <c r="Z28" s="9" t="s">
        <v>288</v>
      </c>
    </row>
    <row r="29" customFormat="false" ht="72" hidden="false" customHeight="true" outlineLevel="0" collapsed="false">
      <c r="A29" s="9" t="s">
        <v>304</v>
      </c>
      <c r="B29" s="9" t="s">
        <v>988</v>
      </c>
      <c r="C29" s="9" t="s">
        <v>989</v>
      </c>
      <c r="D29" s="9" t="s">
        <v>89</v>
      </c>
      <c r="E29" s="9" t="s">
        <v>1024</v>
      </c>
      <c r="F29" s="9" t="s">
        <v>542</v>
      </c>
      <c r="G29" s="9" t="s">
        <v>113</v>
      </c>
      <c r="H29" s="9" t="s">
        <v>51</v>
      </c>
      <c r="I29" s="9" t="s">
        <v>563</v>
      </c>
      <c r="J29" s="9" t="s">
        <v>991</v>
      </c>
      <c r="K29" s="9" t="s">
        <v>992</v>
      </c>
      <c r="L29" s="9" t="s">
        <v>114</v>
      </c>
      <c r="M29" s="9" t="s">
        <v>546</v>
      </c>
      <c r="N29" s="8" t="s">
        <v>993</v>
      </c>
      <c r="O29" s="9" t="s">
        <v>994</v>
      </c>
      <c r="P29" s="8" t="s">
        <v>995</v>
      </c>
      <c r="Q29" s="8" t="s">
        <v>996</v>
      </c>
      <c r="R29" s="8" t="s">
        <v>997</v>
      </c>
      <c r="S29" s="8" t="s">
        <v>998</v>
      </c>
      <c r="T29" s="8"/>
      <c r="U29" s="9" t="s">
        <v>120</v>
      </c>
      <c r="V29" s="9" t="s">
        <v>305</v>
      </c>
      <c r="W29" s="9" t="s">
        <v>306</v>
      </c>
      <c r="X29" s="9" t="s">
        <v>121</v>
      </c>
      <c r="Y29" s="9" t="s">
        <v>122</v>
      </c>
      <c r="Z29" s="9" t="s">
        <v>288</v>
      </c>
    </row>
    <row r="30" customFormat="false" ht="72" hidden="false" customHeight="true" outlineLevel="0" collapsed="false">
      <c r="A30" s="9" t="s">
        <v>354</v>
      </c>
      <c r="B30" s="9" t="s">
        <v>988</v>
      </c>
      <c r="C30" s="9" t="s">
        <v>989</v>
      </c>
      <c r="D30" s="9" t="s">
        <v>89</v>
      </c>
      <c r="E30" s="9" t="s">
        <v>1025</v>
      </c>
      <c r="F30" s="9" t="s">
        <v>542</v>
      </c>
      <c r="G30" s="9" t="s">
        <v>113</v>
      </c>
      <c r="H30" s="9" t="s">
        <v>51</v>
      </c>
      <c r="I30" s="9" t="s">
        <v>543</v>
      </c>
      <c r="J30" s="9" t="s">
        <v>991</v>
      </c>
      <c r="K30" s="9" t="s">
        <v>992</v>
      </c>
      <c r="L30" s="9" t="s">
        <v>114</v>
      </c>
      <c r="M30" s="9" t="s">
        <v>546</v>
      </c>
      <c r="N30" s="8" t="s">
        <v>993</v>
      </c>
      <c r="O30" s="9" t="s">
        <v>994</v>
      </c>
      <c r="P30" s="8" t="s">
        <v>995</v>
      </c>
      <c r="Q30" s="8" t="s">
        <v>996</v>
      </c>
      <c r="R30" s="8" t="s">
        <v>997</v>
      </c>
      <c r="S30" s="8" t="s">
        <v>998</v>
      </c>
      <c r="T30" s="8"/>
      <c r="U30" s="9" t="s">
        <v>120</v>
      </c>
      <c r="V30" s="9" t="s">
        <v>355</v>
      </c>
      <c r="W30" s="9" t="s">
        <v>356</v>
      </c>
      <c r="X30" s="9" t="s">
        <v>121</v>
      </c>
      <c r="Y30" s="9" t="s">
        <v>122</v>
      </c>
      <c r="Z30" s="9" t="s">
        <v>249</v>
      </c>
    </row>
    <row r="31" customFormat="false" ht="72" hidden="false" customHeight="true" outlineLevel="0" collapsed="false">
      <c r="A31" s="9" t="s">
        <v>377</v>
      </c>
      <c r="B31" s="9" t="s">
        <v>988</v>
      </c>
      <c r="C31" s="9" t="s">
        <v>989</v>
      </c>
      <c r="D31" s="9" t="s">
        <v>89</v>
      </c>
      <c r="E31" s="9" t="s">
        <v>1026</v>
      </c>
      <c r="F31" s="9" t="s">
        <v>542</v>
      </c>
      <c r="G31" s="9" t="s">
        <v>136</v>
      </c>
      <c r="H31" s="9" t="s">
        <v>51</v>
      </c>
      <c r="I31" s="9" t="s">
        <v>552</v>
      </c>
      <c r="J31" s="9" t="s">
        <v>991</v>
      </c>
      <c r="K31" s="9" t="s">
        <v>992</v>
      </c>
      <c r="L31" s="9" t="s">
        <v>137</v>
      </c>
      <c r="M31" s="9" t="s">
        <v>558</v>
      </c>
      <c r="N31" s="8" t="s">
        <v>993</v>
      </c>
      <c r="O31" s="9" t="s">
        <v>1001</v>
      </c>
      <c r="P31" s="8" t="s">
        <v>995</v>
      </c>
      <c r="Q31" s="8" t="s">
        <v>996</v>
      </c>
      <c r="R31" s="8" t="s">
        <v>997</v>
      </c>
      <c r="S31" s="8" t="s">
        <v>998</v>
      </c>
      <c r="T31" s="8"/>
      <c r="U31" s="9" t="s">
        <v>120</v>
      </c>
      <c r="V31" s="9" t="s">
        <v>378</v>
      </c>
      <c r="W31" s="9" t="s">
        <v>379</v>
      </c>
      <c r="X31" s="9" t="s">
        <v>121</v>
      </c>
      <c r="Y31" s="9" t="s">
        <v>122</v>
      </c>
      <c r="Z31" s="9" t="s">
        <v>188</v>
      </c>
    </row>
    <row r="32" customFormat="false" ht="72" hidden="false" customHeight="true" outlineLevel="0" collapsed="false">
      <c r="A32" s="9" t="s">
        <v>382</v>
      </c>
      <c r="B32" s="9" t="s">
        <v>988</v>
      </c>
      <c r="C32" s="9" t="s">
        <v>989</v>
      </c>
      <c r="D32" s="9" t="s">
        <v>89</v>
      </c>
      <c r="E32" s="9" t="s">
        <v>1027</v>
      </c>
      <c r="F32" s="9" t="s">
        <v>542</v>
      </c>
      <c r="G32" s="9" t="s">
        <v>146</v>
      </c>
      <c r="H32" s="9" t="s">
        <v>51</v>
      </c>
      <c r="I32" s="9" t="s">
        <v>552</v>
      </c>
      <c r="J32" s="9" t="s">
        <v>991</v>
      </c>
      <c r="K32" s="9" t="s">
        <v>992</v>
      </c>
      <c r="L32" s="9" t="s">
        <v>114</v>
      </c>
      <c r="M32" s="9" t="s">
        <v>546</v>
      </c>
      <c r="N32" s="8" t="s">
        <v>993</v>
      </c>
      <c r="O32" s="9" t="s">
        <v>994</v>
      </c>
      <c r="P32" s="8" t="s">
        <v>995</v>
      </c>
      <c r="Q32" s="8" t="s">
        <v>996</v>
      </c>
      <c r="R32" s="8" t="s">
        <v>997</v>
      </c>
      <c r="S32" s="8" t="s">
        <v>998</v>
      </c>
      <c r="T32" s="8"/>
      <c r="U32" s="9" t="s">
        <v>120</v>
      </c>
      <c r="V32" s="9" t="s">
        <v>383</v>
      </c>
      <c r="W32" s="9" t="s">
        <v>384</v>
      </c>
      <c r="X32" s="9" t="s">
        <v>121</v>
      </c>
      <c r="Y32" s="9" t="s">
        <v>122</v>
      </c>
      <c r="Z32" s="9" t="s">
        <v>151</v>
      </c>
    </row>
    <row r="33" customFormat="false" ht="72" hidden="false" customHeight="true" outlineLevel="0" collapsed="false">
      <c r="A33" s="9" t="s">
        <v>387</v>
      </c>
      <c r="B33" s="9" t="s">
        <v>988</v>
      </c>
      <c r="C33" s="9" t="s">
        <v>989</v>
      </c>
      <c r="D33" s="9" t="s">
        <v>89</v>
      </c>
      <c r="E33" s="9" t="s">
        <v>1028</v>
      </c>
      <c r="F33" s="9" t="s">
        <v>542</v>
      </c>
      <c r="G33" s="9" t="s">
        <v>146</v>
      </c>
      <c r="H33" s="9" t="s">
        <v>51</v>
      </c>
      <c r="I33" s="9" t="s">
        <v>581</v>
      </c>
      <c r="J33" s="9" t="s">
        <v>991</v>
      </c>
      <c r="K33" s="9" t="s">
        <v>992</v>
      </c>
      <c r="L33" s="9" t="s">
        <v>114</v>
      </c>
      <c r="M33" s="9" t="s">
        <v>546</v>
      </c>
      <c r="N33" s="8" t="s">
        <v>993</v>
      </c>
      <c r="O33" s="9" t="s">
        <v>994</v>
      </c>
      <c r="P33" s="8" t="s">
        <v>995</v>
      </c>
      <c r="Q33" s="8" t="s">
        <v>996</v>
      </c>
      <c r="R33" s="8" t="s">
        <v>997</v>
      </c>
      <c r="S33" s="8" t="s">
        <v>998</v>
      </c>
      <c r="T33" s="8"/>
      <c r="U33" s="9" t="s">
        <v>120</v>
      </c>
      <c r="V33" s="9" t="s">
        <v>388</v>
      </c>
      <c r="W33" s="9" t="s">
        <v>389</v>
      </c>
      <c r="X33" s="9" t="s">
        <v>121</v>
      </c>
      <c r="Y33" s="9" t="s">
        <v>122</v>
      </c>
      <c r="Z33" s="9" t="s">
        <v>123</v>
      </c>
    </row>
    <row r="34" customFormat="false" ht="72" hidden="false" customHeight="true" outlineLevel="0" collapsed="false">
      <c r="A34" s="9" t="s">
        <v>392</v>
      </c>
      <c r="B34" s="9" t="s">
        <v>988</v>
      </c>
      <c r="C34" s="9" t="s">
        <v>989</v>
      </c>
      <c r="D34" s="9" t="s">
        <v>89</v>
      </c>
      <c r="E34" s="9" t="s">
        <v>1029</v>
      </c>
      <c r="F34" s="9" t="s">
        <v>542</v>
      </c>
      <c r="G34" s="9" t="s">
        <v>146</v>
      </c>
      <c r="H34" s="9" t="s">
        <v>51</v>
      </c>
      <c r="I34" s="9" t="s">
        <v>581</v>
      </c>
      <c r="J34" s="9" t="s">
        <v>991</v>
      </c>
      <c r="K34" s="9" t="s">
        <v>992</v>
      </c>
      <c r="L34" s="9" t="s">
        <v>114</v>
      </c>
      <c r="M34" s="9" t="s">
        <v>546</v>
      </c>
      <c r="N34" s="8" t="s">
        <v>993</v>
      </c>
      <c r="O34" s="9" t="s">
        <v>994</v>
      </c>
      <c r="P34" s="8" t="s">
        <v>995</v>
      </c>
      <c r="Q34" s="8" t="s">
        <v>996</v>
      </c>
      <c r="R34" s="8" t="s">
        <v>997</v>
      </c>
      <c r="S34" s="8" t="s">
        <v>998</v>
      </c>
      <c r="T34" s="8"/>
      <c r="U34" s="9" t="s">
        <v>120</v>
      </c>
      <c r="V34" s="9" t="s">
        <v>393</v>
      </c>
      <c r="W34" s="9" t="s">
        <v>394</v>
      </c>
      <c r="X34" s="9" t="s">
        <v>121</v>
      </c>
      <c r="Y34" s="9" t="s">
        <v>122</v>
      </c>
      <c r="Z34" s="9" t="s">
        <v>165</v>
      </c>
    </row>
    <row r="35" customFormat="false" ht="72" hidden="false" customHeight="true" outlineLevel="0" collapsed="false">
      <c r="A35" s="9" t="s">
        <v>417</v>
      </c>
      <c r="B35" s="9" t="s">
        <v>988</v>
      </c>
      <c r="C35" s="9" t="s">
        <v>989</v>
      </c>
      <c r="D35" s="9" t="s">
        <v>89</v>
      </c>
      <c r="E35" s="9" t="s">
        <v>1030</v>
      </c>
      <c r="F35" s="9" t="s">
        <v>542</v>
      </c>
      <c r="G35" s="9" t="s">
        <v>146</v>
      </c>
      <c r="H35" s="9" t="s">
        <v>51</v>
      </c>
      <c r="I35" s="9" t="s">
        <v>581</v>
      </c>
      <c r="J35" s="9" t="s">
        <v>991</v>
      </c>
      <c r="K35" s="9" t="s">
        <v>992</v>
      </c>
      <c r="L35" s="9" t="s">
        <v>114</v>
      </c>
      <c r="M35" s="9" t="s">
        <v>546</v>
      </c>
      <c r="N35" s="8" t="s">
        <v>993</v>
      </c>
      <c r="O35" s="9" t="s">
        <v>994</v>
      </c>
      <c r="P35" s="8" t="s">
        <v>995</v>
      </c>
      <c r="Q35" s="8" t="s">
        <v>996</v>
      </c>
      <c r="R35" s="8" t="s">
        <v>997</v>
      </c>
      <c r="S35" s="8" t="s">
        <v>998</v>
      </c>
      <c r="T35" s="8"/>
      <c r="U35" s="9" t="s">
        <v>120</v>
      </c>
      <c r="V35" s="9" t="s">
        <v>418</v>
      </c>
      <c r="W35" s="9" t="s">
        <v>419</v>
      </c>
      <c r="X35" s="9" t="s">
        <v>121</v>
      </c>
      <c r="Y35" s="9" t="s">
        <v>122</v>
      </c>
      <c r="Z35" s="9" t="s">
        <v>188</v>
      </c>
    </row>
    <row r="36" customFormat="false" ht="72" hidden="false" customHeight="true" outlineLevel="0" collapsed="false">
      <c r="A36" s="9" t="s">
        <v>397</v>
      </c>
      <c r="B36" s="9" t="s">
        <v>988</v>
      </c>
      <c r="C36" s="9" t="s">
        <v>989</v>
      </c>
      <c r="D36" s="9" t="s">
        <v>89</v>
      </c>
      <c r="E36" s="9" t="s">
        <v>1031</v>
      </c>
      <c r="F36" s="9" t="s">
        <v>542</v>
      </c>
      <c r="G36" s="9" t="s">
        <v>136</v>
      </c>
      <c r="H36" s="9" t="s">
        <v>51</v>
      </c>
      <c r="I36" s="9" t="s">
        <v>552</v>
      </c>
      <c r="J36" s="9" t="s">
        <v>991</v>
      </c>
      <c r="K36" s="9" t="s">
        <v>992</v>
      </c>
      <c r="L36" s="9" t="s">
        <v>137</v>
      </c>
      <c r="M36" s="9" t="s">
        <v>558</v>
      </c>
      <c r="N36" s="8" t="s">
        <v>993</v>
      </c>
      <c r="O36" s="9" t="s">
        <v>1001</v>
      </c>
      <c r="P36" s="8" t="s">
        <v>995</v>
      </c>
      <c r="Q36" s="8" t="s">
        <v>996</v>
      </c>
      <c r="R36" s="8" t="s">
        <v>997</v>
      </c>
      <c r="S36" s="8" t="s">
        <v>998</v>
      </c>
      <c r="T36" s="8"/>
      <c r="U36" s="9" t="s">
        <v>120</v>
      </c>
      <c r="V36" s="9" t="s">
        <v>398</v>
      </c>
      <c r="W36" s="9" t="s">
        <v>399</v>
      </c>
      <c r="X36" s="9" t="s">
        <v>121</v>
      </c>
      <c r="Y36" s="9" t="s">
        <v>122</v>
      </c>
      <c r="Z36" s="9" t="s">
        <v>188</v>
      </c>
    </row>
    <row r="37" customFormat="false" ht="72" hidden="false" customHeight="true" outlineLevel="0" collapsed="false">
      <c r="A37" s="9" t="s">
        <v>402</v>
      </c>
      <c r="B37" s="9" t="s">
        <v>988</v>
      </c>
      <c r="C37" s="9" t="s">
        <v>989</v>
      </c>
      <c r="D37" s="9" t="s">
        <v>89</v>
      </c>
      <c r="E37" s="9" t="s">
        <v>1032</v>
      </c>
      <c r="F37" s="9" t="s">
        <v>542</v>
      </c>
      <c r="G37" s="9" t="s">
        <v>146</v>
      </c>
      <c r="H37" s="9" t="s">
        <v>51</v>
      </c>
      <c r="I37" s="9" t="s">
        <v>552</v>
      </c>
      <c r="J37" s="9" t="s">
        <v>991</v>
      </c>
      <c r="K37" s="9" t="s">
        <v>992</v>
      </c>
      <c r="L37" s="9" t="s">
        <v>114</v>
      </c>
      <c r="M37" s="9" t="s">
        <v>546</v>
      </c>
      <c r="N37" s="8" t="s">
        <v>993</v>
      </c>
      <c r="O37" s="9" t="s">
        <v>994</v>
      </c>
      <c r="P37" s="8" t="s">
        <v>995</v>
      </c>
      <c r="Q37" s="8" t="s">
        <v>996</v>
      </c>
      <c r="R37" s="8" t="s">
        <v>997</v>
      </c>
      <c r="S37" s="8" t="s">
        <v>998</v>
      </c>
      <c r="T37" s="8"/>
      <c r="U37" s="9" t="s">
        <v>120</v>
      </c>
      <c r="V37" s="9" t="s">
        <v>403</v>
      </c>
      <c r="W37" s="9" t="s">
        <v>404</v>
      </c>
      <c r="X37" s="9" t="s">
        <v>121</v>
      </c>
      <c r="Y37" s="9" t="s">
        <v>122</v>
      </c>
      <c r="Z37" s="9" t="s">
        <v>123</v>
      </c>
    </row>
    <row r="38" customFormat="false" ht="72" hidden="false" customHeight="true" outlineLevel="0" collapsed="false">
      <c r="A38" s="9" t="s">
        <v>407</v>
      </c>
      <c r="B38" s="9" t="s">
        <v>988</v>
      </c>
      <c r="C38" s="9" t="s">
        <v>989</v>
      </c>
      <c r="D38" s="9" t="s">
        <v>89</v>
      </c>
      <c r="E38" s="9" t="s">
        <v>1033</v>
      </c>
      <c r="F38" s="9" t="s">
        <v>542</v>
      </c>
      <c r="G38" s="9" t="s">
        <v>146</v>
      </c>
      <c r="H38" s="9" t="s">
        <v>51</v>
      </c>
      <c r="I38" s="9" t="s">
        <v>581</v>
      </c>
      <c r="J38" s="9" t="s">
        <v>991</v>
      </c>
      <c r="K38" s="9" t="s">
        <v>992</v>
      </c>
      <c r="L38" s="9" t="s">
        <v>114</v>
      </c>
      <c r="M38" s="9" t="s">
        <v>558</v>
      </c>
      <c r="N38" s="8" t="s">
        <v>993</v>
      </c>
      <c r="O38" s="9" t="s">
        <v>1001</v>
      </c>
      <c r="P38" s="8" t="s">
        <v>995</v>
      </c>
      <c r="Q38" s="8" t="s">
        <v>996</v>
      </c>
      <c r="R38" s="8" t="s">
        <v>997</v>
      </c>
      <c r="S38" s="8" t="s">
        <v>998</v>
      </c>
      <c r="T38" s="8"/>
      <c r="U38" s="9" t="s">
        <v>120</v>
      </c>
      <c r="V38" s="9" t="s">
        <v>408</v>
      </c>
      <c r="W38" s="9" t="s">
        <v>409</v>
      </c>
      <c r="X38" s="9" t="s">
        <v>121</v>
      </c>
      <c r="Y38" s="9" t="s">
        <v>122</v>
      </c>
      <c r="Z38" s="9" t="s">
        <v>188</v>
      </c>
    </row>
    <row r="39" customFormat="false" ht="72" hidden="false" customHeight="true" outlineLevel="0" collapsed="false">
      <c r="A39" s="9" t="s">
        <v>412</v>
      </c>
      <c r="B39" s="9" t="s">
        <v>988</v>
      </c>
      <c r="C39" s="9" t="s">
        <v>989</v>
      </c>
      <c r="D39" s="9" t="s">
        <v>89</v>
      </c>
      <c r="E39" s="9" t="s">
        <v>1034</v>
      </c>
      <c r="F39" s="9" t="s">
        <v>542</v>
      </c>
      <c r="G39" s="9" t="s">
        <v>146</v>
      </c>
      <c r="H39" s="9" t="s">
        <v>51</v>
      </c>
      <c r="I39" s="9" t="s">
        <v>581</v>
      </c>
      <c r="J39" s="9" t="s">
        <v>991</v>
      </c>
      <c r="K39" s="9" t="s">
        <v>992</v>
      </c>
      <c r="L39" s="9" t="s">
        <v>114</v>
      </c>
      <c r="M39" s="9" t="s">
        <v>558</v>
      </c>
      <c r="N39" s="8" t="s">
        <v>993</v>
      </c>
      <c r="O39" s="9" t="s">
        <v>1001</v>
      </c>
      <c r="P39" s="8" t="s">
        <v>995</v>
      </c>
      <c r="Q39" s="8" t="s">
        <v>996</v>
      </c>
      <c r="R39" s="8" t="s">
        <v>997</v>
      </c>
      <c r="S39" s="8" t="s">
        <v>998</v>
      </c>
      <c r="T39" s="8"/>
      <c r="U39" s="9" t="s">
        <v>120</v>
      </c>
      <c r="V39" s="9" t="s">
        <v>413</v>
      </c>
      <c r="W39" s="9" t="s">
        <v>414</v>
      </c>
      <c r="X39" s="9" t="s">
        <v>121</v>
      </c>
      <c r="Y39" s="9" t="s">
        <v>122</v>
      </c>
      <c r="Z39" s="9" t="s">
        <v>188</v>
      </c>
    </row>
    <row r="40" customFormat="false" ht="72" hidden="false" customHeight="true" outlineLevel="0" collapsed="false">
      <c r="A40" s="9" t="s">
        <v>232</v>
      </c>
      <c r="B40" s="9" t="s">
        <v>988</v>
      </c>
      <c r="C40" s="9" t="s">
        <v>989</v>
      </c>
      <c r="D40" s="9" t="s">
        <v>89</v>
      </c>
      <c r="E40" s="9" t="s">
        <v>1035</v>
      </c>
      <c r="F40" s="9" t="s">
        <v>542</v>
      </c>
      <c r="G40" s="9" t="s">
        <v>204</v>
      </c>
      <c r="H40" s="9" t="s">
        <v>51</v>
      </c>
      <c r="I40" s="9" t="s">
        <v>543</v>
      </c>
      <c r="J40" s="9" t="s">
        <v>991</v>
      </c>
      <c r="K40" s="9" t="s">
        <v>992</v>
      </c>
      <c r="L40" s="9" t="s">
        <v>114</v>
      </c>
      <c r="M40" s="9" t="s">
        <v>546</v>
      </c>
      <c r="N40" s="8" t="s">
        <v>993</v>
      </c>
      <c r="O40" s="9" t="s">
        <v>994</v>
      </c>
      <c r="P40" s="8" t="s">
        <v>995</v>
      </c>
      <c r="Q40" s="8" t="s">
        <v>996</v>
      </c>
      <c r="R40" s="8" t="s">
        <v>997</v>
      </c>
      <c r="S40" s="8" t="s">
        <v>998</v>
      </c>
      <c r="T40" s="8"/>
      <c r="U40" s="9" t="s">
        <v>120</v>
      </c>
      <c r="V40" s="9" t="s">
        <v>233</v>
      </c>
      <c r="W40" s="9" t="s">
        <v>234</v>
      </c>
      <c r="X40" s="9" t="s">
        <v>121</v>
      </c>
      <c r="Y40" s="9" t="s">
        <v>122</v>
      </c>
      <c r="Z40" s="9" t="s">
        <v>123</v>
      </c>
    </row>
    <row r="41" customFormat="false" ht="72" hidden="false" customHeight="true" outlineLevel="0" collapsed="false">
      <c r="A41" s="9" t="s">
        <v>361</v>
      </c>
      <c r="B41" s="9" t="s">
        <v>988</v>
      </c>
      <c r="C41" s="9" t="s">
        <v>989</v>
      </c>
      <c r="D41" s="9" t="s">
        <v>89</v>
      </c>
      <c r="E41" s="9" t="s">
        <v>1036</v>
      </c>
      <c r="F41" s="9" t="s">
        <v>542</v>
      </c>
      <c r="G41" s="9" t="s">
        <v>136</v>
      </c>
      <c r="H41" s="9" t="s">
        <v>51</v>
      </c>
      <c r="I41" s="9" t="s">
        <v>581</v>
      </c>
      <c r="J41" s="9" t="s">
        <v>991</v>
      </c>
      <c r="K41" s="9" t="s">
        <v>992</v>
      </c>
      <c r="L41" s="9" t="s">
        <v>137</v>
      </c>
      <c r="M41" s="9" t="s">
        <v>558</v>
      </c>
      <c r="N41" s="8" t="s">
        <v>993</v>
      </c>
      <c r="O41" s="9" t="s">
        <v>1001</v>
      </c>
      <c r="P41" s="8" t="s">
        <v>995</v>
      </c>
      <c r="Q41" s="8" t="s">
        <v>996</v>
      </c>
      <c r="R41" s="8" t="s">
        <v>997</v>
      </c>
      <c r="S41" s="8" t="s">
        <v>998</v>
      </c>
      <c r="T41" s="8"/>
      <c r="U41" s="9" t="s">
        <v>120</v>
      </c>
      <c r="V41" s="9" t="s">
        <v>362</v>
      </c>
      <c r="W41" s="9" t="s">
        <v>363</v>
      </c>
      <c r="X41" s="9" t="s">
        <v>121</v>
      </c>
      <c r="Y41" s="9" t="s">
        <v>122</v>
      </c>
      <c r="Z41" s="9" t="s">
        <v>188</v>
      </c>
    </row>
    <row r="42" customFormat="false" ht="72" hidden="false" customHeight="true" outlineLevel="0" collapsed="false">
      <c r="A42" s="9" t="s">
        <v>367</v>
      </c>
      <c r="B42" s="9" t="s">
        <v>988</v>
      </c>
      <c r="C42" s="9" t="s">
        <v>989</v>
      </c>
      <c r="D42" s="9" t="s">
        <v>89</v>
      </c>
      <c r="E42" s="9" t="s">
        <v>1037</v>
      </c>
      <c r="F42" s="9" t="s">
        <v>542</v>
      </c>
      <c r="G42" s="9" t="s">
        <v>136</v>
      </c>
      <c r="H42" s="9" t="s">
        <v>51</v>
      </c>
      <c r="I42" s="9" t="s">
        <v>581</v>
      </c>
      <c r="J42" s="9" t="s">
        <v>991</v>
      </c>
      <c r="K42" s="9" t="s">
        <v>992</v>
      </c>
      <c r="L42" s="9" t="s">
        <v>137</v>
      </c>
      <c r="M42" s="9" t="s">
        <v>558</v>
      </c>
      <c r="N42" s="8" t="s">
        <v>993</v>
      </c>
      <c r="O42" s="9" t="s">
        <v>1001</v>
      </c>
      <c r="P42" s="8" t="s">
        <v>995</v>
      </c>
      <c r="Q42" s="8" t="s">
        <v>996</v>
      </c>
      <c r="R42" s="8" t="s">
        <v>997</v>
      </c>
      <c r="S42" s="8" t="s">
        <v>998</v>
      </c>
      <c r="T42" s="8"/>
      <c r="U42" s="9" t="s">
        <v>120</v>
      </c>
      <c r="V42" s="9" t="s">
        <v>368</v>
      </c>
      <c r="W42" s="9" t="s">
        <v>369</v>
      </c>
      <c r="X42" s="9" t="s">
        <v>121</v>
      </c>
      <c r="Y42" s="9" t="s">
        <v>122</v>
      </c>
      <c r="Z42" s="9" t="s">
        <v>188</v>
      </c>
    </row>
    <row r="43" customFormat="false" ht="72" hidden="false" customHeight="true" outlineLevel="0" collapsed="false">
      <c r="A43" s="9" t="s">
        <v>372</v>
      </c>
      <c r="B43" s="9" t="s">
        <v>988</v>
      </c>
      <c r="C43" s="9" t="s">
        <v>989</v>
      </c>
      <c r="D43" s="9" t="s">
        <v>89</v>
      </c>
      <c r="E43" s="9" t="s">
        <v>1038</v>
      </c>
      <c r="F43" s="9" t="s">
        <v>542</v>
      </c>
      <c r="G43" s="9" t="s">
        <v>113</v>
      </c>
      <c r="H43" s="9" t="s">
        <v>51</v>
      </c>
      <c r="I43" s="9" t="s">
        <v>563</v>
      </c>
      <c r="J43" s="9" t="s">
        <v>991</v>
      </c>
      <c r="K43" s="9" t="s">
        <v>992</v>
      </c>
      <c r="L43" s="9" t="s">
        <v>114</v>
      </c>
      <c r="M43" s="9" t="s">
        <v>546</v>
      </c>
      <c r="N43" s="8" t="s">
        <v>993</v>
      </c>
      <c r="O43" s="9" t="s">
        <v>994</v>
      </c>
      <c r="P43" s="8" t="s">
        <v>995</v>
      </c>
      <c r="Q43" s="8" t="s">
        <v>996</v>
      </c>
      <c r="R43" s="8" t="s">
        <v>997</v>
      </c>
      <c r="S43" s="8" t="s">
        <v>998</v>
      </c>
      <c r="T43" s="8"/>
      <c r="U43" s="9" t="s">
        <v>120</v>
      </c>
      <c r="V43" s="9" t="s">
        <v>373</v>
      </c>
      <c r="W43" s="9" t="s">
        <v>374</v>
      </c>
      <c r="X43" s="9" t="s">
        <v>121</v>
      </c>
      <c r="Y43" s="9" t="s">
        <v>122</v>
      </c>
      <c r="Z43" s="9" t="s">
        <v>123</v>
      </c>
    </row>
    <row r="44" customFormat="false" ht="72" hidden="false" customHeight="true" outlineLevel="0" collapsed="false">
      <c r="A44" s="9" t="s">
        <v>427</v>
      </c>
      <c r="B44" s="9" t="s">
        <v>988</v>
      </c>
      <c r="C44" s="9" t="s">
        <v>989</v>
      </c>
      <c r="D44" s="9" t="s">
        <v>89</v>
      </c>
      <c r="E44" s="9" t="s">
        <v>1039</v>
      </c>
      <c r="F44" s="9" t="s">
        <v>542</v>
      </c>
      <c r="G44" s="9" t="s">
        <v>146</v>
      </c>
      <c r="H44" s="9" t="s">
        <v>51</v>
      </c>
      <c r="I44" s="9" t="s">
        <v>563</v>
      </c>
      <c r="J44" s="9" t="s">
        <v>991</v>
      </c>
      <c r="K44" s="9" t="s">
        <v>992</v>
      </c>
      <c r="L44" s="9" t="s">
        <v>114</v>
      </c>
      <c r="M44" s="9" t="s">
        <v>558</v>
      </c>
      <c r="N44" s="8" t="s">
        <v>993</v>
      </c>
      <c r="O44" s="9" t="s">
        <v>1001</v>
      </c>
      <c r="P44" s="8" t="s">
        <v>995</v>
      </c>
      <c r="Q44" s="8" t="s">
        <v>996</v>
      </c>
      <c r="R44" s="8" t="s">
        <v>997</v>
      </c>
      <c r="S44" s="8" t="s">
        <v>998</v>
      </c>
      <c r="T44" s="8"/>
      <c r="U44" s="9" t="s">
        <v>120</v>
      </c>
      <c r="V44" s="9" t="s">
        <v>428</v>
      </c>
      <c r="W44" s="9" t="s">
        <v>429</v>
      </c>
      <c r="X44" s="9" t="s">
        <v>121</v>
      </c>
      <c r="Y44" s="9" t="s">
        <v>122</v>
      </c>
      <c r="Z44" s="9" t="s">
        <v>123</v>
      </c>
    </row>
    <row r="45" customFormat="false" ht="72" hidden="false" customHeight="true" outlineLevel="0" collapsed="false">
      <c r="A45" s="9" t="s">
        <v>432</v>
      </c>
      <c r="B45" s="9" t="s">
        <v>988</v>
      </c>
      <c r="C45" s="9" t="s">
        <v>989</v>
      </c>
      <c r="D45" s="9" t="s">
        <v>89</v>
      </c>
      <c r="E45" s="9" t="s">
        <v>1040</v>
      </c>
      <c r="F45" s="9" t="s">
        <v>542</v>
      </c>
      <c r="G45" s="9" t="s">
        <v>146</v>
      </c>
      <c r="H45" s="9" t="s">
        <v>51</v>
      </c>
      <c r="I45" s="9" t="s">
        <v>563</v>
      </c>
      <c r="J45" s="9" t="s">
        <v>991</v>
      </c>
      <c r="K45" s="9" t="s">
        <v>992</v>
      </c>
      <c r="L45" s="9" t="s">
        <v>114</v>
      </c>
      <c r="M45" s="9" t="s">
        <v>546</v>
      </c>
      <c r="N45" s="8" t="s">
        <v>993</v>
      </c>
      <c r="O45" s="9" t="s">
        <v>994</v>
      </c>
      <c r="P45" s="8" t="s">
        <v>995</v>
      </c>
      <c r="Q45" s="8" t="s">
        <v>996</v>
      </c>
      <c r="R45" s="8" t="s">
        <v>997</v>
      </c>
      <c r="S45" s="8" t="s">
        <v>998</v>
      </c>
      <c r="T45" s="8"/>
      <c r="U45" s="9" t="s">
        <v>120</v>
      </c>
      <c r="V45" s="9" t="s">
        <v>433</v>
      </c>
      <c r="W45" s="9" t="s">
        <v>434</v>
      </c>
      <c r="X45" s="9" t="s">
        <v>121</v>
      </c>
      <c r="Y45" s="9" t="s">
        <v>122</v>
      </c>
      <c r="Z45" s="9" t="s">
        <v>123</v>
      </c>
    </row>
    <row r="46" customFormat="false" ht="72" hidden="false" customHeight="true" outlineLevel="0" collapsed="false">
      <c r="A46" s="9" t="s">
        <v>422</v>
      </c>
      <c r="B46" s="9" t="s">
        <v>988</v>
      </c>
      <c r="C46" s="9" t="s">
        <v>989</v>
      </c>
      <c r="D46" s="9" t="s">
        <v>89</v>
      </c>
      <c r="E46" s="9" t="s">
        <v>1041</v>
      </c>
      <c r="F46" s="9" t="s">
        <v>542</v>
      </c>
      <c r="G46" s="9" t="s">
        <v>204</v>
      </c>
      <c r="H46" s="9" t="s">
        <v>51</v>
      </c>
      <c r="I46" s="9" t="s">
        <v>543</v>
      </c>
      <c r="J46" s="9" t="s">
        <v>991</v>
      </c>
      <c r="K46" s="9" t="s">
        <v>992</v>
      </c>
      <c r="L46" s="9" t="s">
        <v>114</v>
      </c>
      <c r="M46" s="9" t="s">
        <v>546</v>
      </c>
      <c r="N46" s="8" t="s">
        <v>993</v>
      </c>
      <c r="O46" s="9" t="s">
        <v>994</v>
      </c>
      <c r="P46" s="8" t="s">
        <v>995</v>
      </c>
      <c r="Q46" s="8" t="s">
        <v>996</v>
      </c>
      <c r="R46" s="8" t="s">
        <v>997</v>
      </c>
      <c r="S46" s="8" t="s">
        <v>998</v>
      </c>
      <c r="T46" s="8"/>
      <c r="U46" s="9" t="s">
        <v>120</v>
      </c>
      <c r="V46" s="9" t="s">
        <v>423</v>
      </c>
      <c r="W46" s="9" t="s">
        <v>424</v>
      </c>
      <c r="X46" s="9" t="s">
        <v>121</v>
      </c>
      <c r="Y46" s="9" t="s">
        <v>122</v>
      </c>
      <c r="Z46" s="9" t="s">
        <v>123</v>
      </c>
    </row>
    <row r="47" customFormat="false" ht="72" hidden="false" customHeight="true" outlineLevel="0" collapsed="false">
      <c r="A47" s="9" t="s">
        <v>438</v>
      </c>
      <c r="B47" s="9" t="s">
        <v>988</v>
      </c>
      <c r="C47" s="9" t="s">
        <v>989</v>
      </c>
      <c r="D47" s="9" t="s">
        <v>89</v>
      </c>
      <c r="E47" s="9" t="s">
        <v>1042</v>
      </c>
      <c r="F47" s="9" t="s">
        <v>542</v>
      </c>
      <c r="G47" s="9" t="s">
        <v>146</v>
      </c>
      <c r="H47" s="9" t="s">
        <v>51</v>
      </c>
      <c r="I47" s="9" t="s">
        <v>563</v>
      </c>
      <c r="J47" s="9" t="s">
        <v>991</v>
      </c>
      <c r="K47" s="9" t="s">
        <v>992</v>
      </c>
      <c r="L47" s="9" t="s">
        <v>114</v>
      </c>
      <c r="M47" s="9" t="s">
        <v>546</v>
      </c>
      <c r="N47" s="8" t="s">
        <v>993</v>
      </c>
      <c r="O47" s="9" t="s">
        <v>994</v>
      </c>
      <c r="P47" s="8" t="s">
        <v>995</v>
      </c>
      <c r="Q47" s="8" t="s">
        <v>996</v>
      </c>
      <c r="R47" s="8" t="s">
        <v>997</v>
      </c>
      <c r="S47" s="8" t="s">
        <v>998</v>
      </c>
      <c r="T47" s="8"/>
      <c r="U47" s="9" t="s">
        <v>120</v>
      </c>
      <c r="V47" s="9" t="s">
        <v>439</v>
      </c>
      <c r="W47" s="9" t="s">
        <v>440</v>
      </c>
      <c r="X47" s="9" t="s">
        <v>121</v>
      </c>
      <c r="Y47" s="9" t="s">
        <v>122</v>
      </c>
      <c r="Z47" s="9" t="s">
        <v>123</v>
      </c>
    </row>
    <row r="48" customFormat="false" ht="72" hidden="false" customHeight="true" outlineLevel="0" collapsed="false">
      <c r="A48" s="9" t="s">
        <v>335</v>
      </c>
      <c r="B48" s="9" t="s">
        <v>988</v>
      </c>
      <c r="C48" s="9" t="s">
        <v>989</v>
      </c>
      <c r="D48" s="9" t="s">
        <v>89</v>
      </c>
      <c r="E48" s="9" t="s">
        <v>1043</v>
      </c>
      <c r="F48" s="9" t="s">
        <v>542</v>
      </c>
      <c r="G48" s="9" t="s">
        <v>146</v>
      </c>
      <c r="H48" s="9" t="s">
        <v>51</v>
      </c>
      <c r="I48" s="9" t="s">
        <v>581</v>
      </c>
      <c r="J48" s="9" t="s">
        <v>991</v>
      </c>
      <c r="K48" s="9" t="s">
        <v>992</v>
      </c>
      <c r="L48" s="9" t="s">
        <v>114</v>
      </c>
      <c r="M48" s="9" t="s">
        <v>546</v>
      </c>
      <c r="N48" s="8" t="s">
        <v>993</v>
      </c>
      <c r="O48" s="9" t="s">
        <v>994</v>
      </c>
      <c r="P48" s="8" t="s">
        <v>995</v>
      </c>
      <c r="Q48" s="8" t="s">
        <v>996</v>
      </c>
      <c r="R48" s="8" t="s">
        <v>997</v>
      </c>
      <c r="S48" s="8" t="s">
        <v>998</v>
      </c>
      <c r="T48" s="8"/>
      <c r="U48" s="9" t="s">
        <v>120</v>
      </c>
      <c r="V48" s="9" t="s">
        <v>336</v>
      </c>
      <c r="W48" s="9" t="s">
        <v>337</v>
      </c>
      <c r="X48" s="9" t="s">
        <v>121</v>
      </c>
      <c r="Y48" s="9" t="s">
        <v>122</v>
      </c>
      <c r="Z48" s="9" t="s">
        <v>249</v>
      </c>
    </row>
    <row r="49" customFormat="false" ht="72" hidden="false" customHeight="true" outlineLevel="0" collapsed="false">
      <c r="A49" s="9" t="s">
        <v>341</v>
      </c>
      <c r="B49" s="9" t="s">
        <v>988</v>
      </c>
      <c r="C49" s="9" t="s">
        <v>989</v>
      </c>
      <c r="D49" s="9" t="s">
        <v>89</v>
      </c>
      <c r="E49" s="9" t="s">
        <v>1044</v>
      </c>
      <c r="F49" s="9" t="s">
        <v>542</v>
      </c>
      <c r="G49" s="9" t="s">
        <v>146</v>
      </c>
      <c r="H49" s="9" t="s">
        <v>51</v>
      </c>
      <c r="I49" s="9" t="s">
        <v>581</v>
      </c>
      <c r="J49" s="9" t="s">
        <v>991</v>
      </c>
      <c r="K49" s="9" t="s">
        <v>992</v>
      </c>
      <c r="L49" s="9" t="s">
        <v>114</v>
      </c>
      <c r="M49" s="9" t="s">
        <v>546</v>
      </c>
      <c r="N49" s="8" t="s">
        <v>993</v>
      </c>
      <c r="O49" s="9" t="s">
        <v>994</v>
      </c>
      <c r="P49" s="8" t="s">
        <v>995</v>
      </c>
      <c r="Q49" s="8" t="s">
        <v>996</v>
      </c>
      <c r="R49" s="8" t="s">
        <v>997</v>
      </c>
      <c r="S49" s="8" t="s">
        <v>998</v>
      </c>
      <c r="T49" s="8"/>
      <c r="U49" s="9" t="s">
        <v>120</v>
      </c>
      <c r="V49" s="9" t="s">
        <v>342</v>
      </c>
      <c r="W49" s="9" t="s">
        <v>343</v>
      </c>
      <c r="X49" s="9" t="s">
        <v>121</v>
      </c>
      <c r="Y49" s="9" t="s">
        <v>122</v>
      </c>
      <c r="Z49" s="9" t="s">
        <v>249</v>
      </c>
    </row>
    <row r="50" customFormat="false" ht="72" hidden="false" customHeight="true" outlineLevel="0" collapsed="false">
      <c r="A50" s="9" t="s">
        <v>347</v>
      </c>
      <c r="B50" s="9" t="s">
        <v>988</v>
      </c>
      <c r="C50" s="9" t="s">
        <v>989</v>
      </c>
      <c r="D50" s="9" t="s">
        <v>89</v>
      </c>
      <c r="E50" s="9" t="s">
        <v>1045</v>
      </c>
      <c r="F50" s="9" t="s">
        <v>542</v>
      </c>
      <c r="G50" s="9" t="s">
        <v>146</v>
      </c>
      <c r="H50" s="9" t="s">
        <v>51</v>
      </c>
      <c r="I50" s="9" t="s">
        <v>581</v>
      </c>
      <c r="J50" s="9" t="s">
        <v>991</v>
      </c>
      <c r="K50" s="9" t="s">
        <v>992</v>
      </c>
      <c r="L50" s="9" t="s">
        <v>114</v>
      </c>
      <c r="M50" s="9" t="s">
        <v>546</v>
      </c>
      <c r="N50" s="8" t="s">
        <v>993</v>
      </c>
      <c r="O50" s="9" t="s">
        <v>994</v>
      </c>
      <c r="P50" s="8" t="s">
        <v>995</v>
      </c>
      <c r="Q50" s="8" t="s">
        <v>996</v>
      </c>
      <c r="R50" s="8" t="s">
        <v>997</v>
      </c>
      <c r="S50" s="8" t="s">
        <v>998</v>
      </c>
      <c r="T50" s="8"/>
      <c r="U50" s="9" t="s">
        <v>120</v>
      </c>
      <c r="V50" s="9" t="s">
        <v>348</v>
      </c>
      <c r="W50" s="9" t="s">
        <v>349</v>
      </c>
      <c r="X50" s="9" t="s">
        <v>121</v>
      </c>
      <c r="Y50" s="9" t="s">
        <v>122</v>
      </c>
      <c r="Z50" s="9" t="s">
        <v>249</v>
      </c>
    </row>
    <row r="51" customFormat="false" ht="72" hidden="false" customHeight="true" outlineLevel="0" collapsed="false">
      <c r="A51" s="9" t="s">
        <v>310</v>
      </c>
      <c r="B51" s="9" t="s">
        <v>988</v>
      </c>
      <c r="C51" s="9" t="s">
        <v>989</v>
      </c>
      <c r="D51" s="9" t="s">
        <v>89</v>
      </c>
      <c r="E51" s="9" t="s">
        <v>1046</v>
      </c>
      <c r="F51" s="9" t="s">
        <v>542</v>
      </c>
      <c r="G51" s="9" t="s">
        <v>146</v>
      </c>
      <c r="H51" s="9" t="s">
        <v>51</v>
      </c>
      <c r="I51" s="9" t="s">
        <v>581</v>
      </c>
      <c r="J51" s="9" t="s">
        <v>991</v>
      </c>
      <c r="K51" s="9" t="s">
        <v>992</v>
      </c>
      <c r="L51" s="9" t="s">
        <v>114</v>
      </c>
      <c r="M51" s="9" t="s">
        <v>546</v>
      </c>
      <c r="N51" s="8" t="s">
        <v>993</v>
      </c>
      <c r="O51" s="9" t="s">
        <v>994</v>
      </c>
      <c r="P51" s="8" t="s">
        <v>995</v>
      </c>
      <c r="Q51" s="8" t="s">
        <v>996</v>
      </c>
      <c r="R51" s="8" t="s">
        <v>997</v>
      </c>
      <c r="S51" s="8" t="s">
        <v>998</v>
      </c>
      <c r="T51" s="8"/>
      <c r="U51" s="9" t="s">
        <v>120</v>
      </c>
      <c r="V51" s="9" t="s">
        <v>311</v>
      </c>
      <c r="W51" s="9" t="s">
        <v>312</v>
      </c>
      <c r="X51" s="9" t="s">
        <v>121</v>
      </c>
      <c r="Y51" s="9" t="s">
        <v>122</v>
      </c>
      <c r="Z51" s="9" t="s">
        <v>249</v>
      </c>
    </row>
    <row r="52" customFormat="false" ht="72" hidden="false" customHeight="true" outlineLevel="0" collapsed="false">
      <c r="A52" s="9" t="s">
        <v>316</v>
      </c>
      <c r="B52" s="9" t="s">
        <v>988</v>
      </c>
      <c r="C52" s="9" t="s">
        <v>989</v>
      </c>
      <c r="D52" s="9" t="s">
        <v>89</v>
      </c>
      <c r="E52" s="9" t="s">
        <v>1047</v>
      </c>
      <c r="F52" s="9" t="s">
        <v>542</v>
      </c>
      <c r="G52" s="9" t="s">
        <v>146</v>
      </c>
      <c r="H52" s="9" t="s">
        <v>51</v>
      </c>
      <c r="I52" s="9" t="s">
        <v>581</v>
      </c>
      <c r="J52" s="9" t="s">
        <v>991</v>
      </c>
      <c r="K52" s="9" t="s">
        <v>992</v>
      </c>
      <c r="L52" s="9" t="s">
        <v>114</v>
      </c>
      <c r="M52" s="9" t="s">
        <v>546</v>
      </c>
      <c r="N52" s="8" t="s">
        <v>993</v>
      </c>
      <c r="O52" s="9" t="s">
        <v>994</v>
      </c>
      <c r="P52" s="8" t="s">
        <v>995</v>
      </c>
      <c r="Q52" s="8" t="s">
        <v>996</v>
      </c>
      <c r="R52" s="8" t="s">
        <v>997</v>
      </c>
      <c r="S52" s="8" t="s">
        <v>998</v>
      </c>
      <c r="T52" s="8"/>
      <c r="U52" s="9" t="s">
        <v>120</v>
      </c>
      <c r="V52" s="9" t="s">
        <v>317</v>
      </c>
      <c r="W52" s="9" t="s">
        <v>318</v>
      </c>
      <c r="X52" s="9" t="s">
        <v>121</v>
      </c>
      <c r="Y52" s="9" t="s">
        <v>122</v>
      </c>
      <c r="Z52" s="9" t="s">
        <v>249</v>
      </c>
    </row>
    <row r="53" customFormat="false" ht="72" hidden="false" customHeight="true" outlineLevel="0" collapsed="false">
      <c r="A53" s="9" t="s">
        <v>329</v>
      </c>
      <c r="B53" s="9" t="s">
        <v>988</v>
      </c>
      <c r="C53" s="9" t="s">
        <v>989</v>
      </c>
      <c r="D53" s="9" t="s">
        <v>89</v>
      </c>
      <c r="E53" s="9" t="s">
        <v>1048</v>
      </c>
      <c r="F53" s="9" t="s">
        <v>542</v>
      </c>
      <c r="G53" s="9" t="s">
        <v>146</v>
      </c>
      <c r="H53" s="9" t="s">
        <v>51</v>
      </c>
      <c r="I53" s="9" t="s">
        <v>581</v>
      </c>
      <c r="J53" s="9" t="s">
        <v>991</v>
      </c>
      <c r="K53" s="9" t="s">
        <v>992</v>
      </c>
      <c r="L53" s="9" t="s">
        <v>114</v>
      </c>
      <c r="M53" s="9" t="s">
        <v>558</v>
      </c>
      <c r="N53" s="8" t="s">
        <v>993</v>
      </c>
      <c r="O53" s="9" t="s">
        <v>1001</v>
      </c>
      <c r="P53" s="8" t="s">
        <v>995</v>
      </c>
      <c r="Q53" s="8" t="s">
        <v>996</v>
      </c>
      <c r="R53" s="8" t="s">
        <v>997</v>
      </c>
      <c r="S53" s="8" t="s">
        <v>998</v>
      </c>
      <c r="T53" s="8"/>
      <c r="U53" s="9" t="s">
        <v>120</v>
      </c>
      <c r="V53" s="9" t="s">
        <v>330</v>
      </c>
      <c r="W53" s="9" t="s">
        <v>331</v>
      </c>
      <c r="X53" s="9" t="s">
        <v>121</v>
      </c>
      <c r="Y53" s="9" t="s">
        <v>122</v>
      </c>
      <c r="Z53" s="9" t="s">
        <v>123</v>
      </c>
    </row>
    <row r="54" customFormat="false" ht="72" hidden="false" customHeight="true" outlineLevel="0" collapsed="false">
      <c r="A54" s="9" t="s">
        <v>323</v>
      </c>
      <c r="B54" s="9" t="s">
        <v>988</v>
      </c>
      <c r="C54" s="9" t="s">
        <v>989</v>
      </c>
      <c r="D54" s="9" t="s">
        <v>89</v>
      </c>
      <c r="E54" s="9" t="s">
        <v>1049</v>
      </c>
      <c r="F54" s="9" t="s">
        <v>542</v>
      </c>
      <c r="G54" s="9" t="s">
        <v>204</v>
      </c>
      <c r="H54" s="9" t="s">
        <v>51</v>
      </c>
      <c r="I54" s="9" t="s">
        <v>563</v>
      </c>
      <c r="J54" s="9" t="s">
        <v>991</v>
      </c>
      <c r="K54" s="9" t="s">
        <v>992</v>
      </c>
      <c r="L54" s="9" t="s">
        <v>114</v>
      </c>
      <c r="M54" s="9" t="s">
        <v>546</v>
      </c>
      <c r="N54" s="8" t="s">
        <v>993</v>
      </c>
      <c r="O54" s="9" t="s">
        <v>994</v>
      </c>
      <c r="P54" s="8" t="s">
        <v>995</v>
      </c>
      <c r="Q54" s="8" t="s">
        <v>996</v>
      </c>
      <c r="R54" s="8" t="s">
        <v>997</v>
      </c>
      <c r="S54" s="8" t="s">
        <v>998</v>
      </c>
      <c r="T54" s="8"/>
      <c r="U54" s="9" t="s">
        <v>120</v>
      </c>
      <c r="V54" s="9" t="s">
        <v>324</v>
      </c>
      <c r="W54" s="9" t="s">
        <v>325</v>
      </c>
      <c r="X54" s="9" t="s">
        <v>121</v>
      </c>
      <c r="Y54" s="9" t="s">
        <v>122</v>
      </c>
      <c r="Z54" s="9" t="s">
        <v>249</v>
      </c>
    </row>
    <row r="55" customFormat="false" ht="72" hidden="false" customHeight="true" outlineLevel="0" collapsed="false">
      <c r="A55" s="9" t="s">
        <v>445</v>
      </c>
      <c r="B55" s="9" t="s">
        <v>988</v>
      </c>
      <c r="C55" s="9" t="s">
        <v>989</v>
      </c>
      <c r="D55" s="9" t="s">
        <v>89</v>
      </c>
      <c r="E55" s="9" t="s">
        <v>1050</v>
      </c>
      <c r="F55" s="9" t="s">
        <v>542</v>
      </c>
      <c r="G55" s="9" t="s">
        <v>136</v>
      </c>
      <c r="H55" s="9" t="s">
        <v>51</v>
      </c>
      <c r="I55" s="9" t="s">
        <v>552</v>
      </c>
      <c r="J55" s="9" t="s">
        <v>991</v>
      </c>
      <c r="K55" s="9" t="s">
        <v>992</v>
      </c>
      <c r="L55" s="9" t="s">
        <v>137</v>
      </c>
      <c r="M55" s="9" t="s">
        <v>558</v>
      </c>
      <c r="N55" s="8" t="s">
        <v>993</v>
      </c>
      <c r="O55" s="9" t="s">
        <v>1001</v>
      </c>
      <c r="P55" s="8" t="s">
        <v>995</v>
      </c>
      <c r="Q55" s="8" t="s">
        <v>996</v>
      </c>
      <c r="R55" s="8" t="s">
        <v>997</v>
      </c>
      <c r="S55" s="8" t="s">
        <v>998</v>
      </c>
      <c r="T55" s="8"/>
      <c r="U55" s="9" t="s">
        <v>120</v>
      </c>
      <c r="V55" s="9" t="s">
        <v>446</v>
      </c>
      <c r="W55" s="9" t="s">
        <v>447</v>
      </c>
      <c r="X55" s="9" t="s">
        <v>121</v>
      </c>
      <c r="Y55" s="9" t="s">
        <v>122</v>
      </c>
      <c r="Z55" s="9" t="s">
        <v>188</v>
      </c>
    </row>
    <row r="56" customFormat="false" ht="72" hidden="false" customHeight="true" outlineLevel="0" collapsed="false">
      <c r="A56" s="9" t="s">
        <v>683</v>
      </c>
      <c r="B56" s="9" t="s">
        <v>988</v>
      </c>
      <c r="C56" s="9" t="s">
        <v>989</v>
      </c>
      <c r="D56" s="9" t="s">
        <v>54</v>
      </c>
      <c r="E56" s="9" t="s">
        <v>1051</v>
      </c>
      <c r="F56" s="9" t="s">
        <v>542</v>
      </c>
      <c r="G56" s="9" t="s">
        <v>136</v>
      </c>
      <c r="H56" s="9" t="s">
        <v>51</v>
      </c>
      <c r="I56" s="9" t="s">
        <v>552</v>
      </c>
      <c r="J56" s="9" t="s">
        <v>991</v>
      </c>
      <c r="K56" s="9" t="s">
        <v>992</v>
      </c>
      <c r="L56" s="9" t="s">
        <v>696</v>
      </c>
      <c r="M56" s="9" t="s">
        <v>697</v>
      </c>
      <c r="N56" s="9" t="s">
        <v>1052</v>
      </c>
      <c r="O56" s="9" t="s">
        <v>1053</v>
      </c>
      <c r="P56" s="8" t="s">
        <v>995</v>
      </c>
      <c r="Q56" s="8" t="s">
        <v>1054</v>
      </c>
      <c r="R56" s="8" t="s">
        <v>997</v>
      </c>
      <c r="S56" s="8" t="s">
        <v>1055</v>
      </c>
      <c r="T56" s="8"/>
      <c r="U56" s="9" t="s">
        <v>695</v>
      </c>
      <c r="V56" s="8"/>
      <c r="W56" s="8"/>
      <c r="X56" s="9" t="s">
        <v>462</v>
      </c>
      <c r="Y56" s="9" t="s">
        <v>122</v>
      </c>
      <c r="Z56" s="8"/>
    </row>
    <row r="57" customFormat="false" ht="72" hidden="false" customHeight="true" outlineLevel="0" collapsed="false">
      <c r="A57" s="9" t="s">
        <v>699</v>
      </c>
      <c r="B57" s="9" t="s">
        <v>988</v>
      </c>
      <c r="C57" s="9" t="s">
        <v>989</v>
      </c>
      <c r="D57" s="9" t="s">
        <v>54</v>
      </c>
      <c r="E57" s="9" t="s">
        <v>1056</v>
      </c>
      <c r="F57" s="9" t="s">
        <v>542</v>
      </c>
      <c r="G57" s="9" t="s">
        <v>136</v>
      </c>
      <c r="H57" s="9" t="s">
        <v>51</v>
      </c>
      <c r="I57" s="9" t="s">
        <v>552</v>
      </c>
      <c r="J57" s="9" t="s">
        <v>991</v>
      </c>
      <c r="K57" s="9" t="s">
        <v>992</v>
      </c>
      <c r="L57" s="9" t="s">
        <v>696</v>
      </c>
      <c r="M57" s="9" t="s">
        <v>706</v>
      </c>
      <c r="N57" s="9" t="s">
        <v>1052</v>
      </c>
      <c r="O57" s="9" t="s">
        <v>1057</v>
      </c>
      <c r="P57" s="8" t="s">
        <v>995</v>
      </c>
      <c r="Q57" s="8" t="s">
        <v>1054</v>
      </c>
      <c r="R57" s="8" t="s">
        <v>997</v>
      </c>
      <c r="S57" s="8" t="s">
        <v>1055</v>
      </c>
      <c r="T57" s="8"/>
      <c r="U57" s="9" t="s">
        <v>695</v>
      </c>
      <c r="V57" s="8"/>
      <c r="W57" s="8"/>
      <c r="X57" s="9" t="s">
        <v>462</v>
      </c>
      <c r="Y57" s="9" t="s">
        <v>122</v>
      </c>
      <c r="Z57" s="8"/>
    </row>
    <row r="58" customFormat="false" ht="72" hidden="false" customHeight="true" outlineLevel="0" collapsed="false">
      <c r="A58" s="9" t="s">
        <v>708</v>
      </c>
      <c r="B58" s="9" t="s">
        <v>988</v>
      </c>
      <c r="C58" s="9" t="s">
        <v>989</v>
      </c>
      <c r="D58" s="9" t="s">
        <v>54</v>
      </c>
      <c r="E58" s="9" t="s">
        <v>1058</v>
      </c>
      <c r="F58" s="9" t="s">
        <v>542</v>
      </c>
      <c r="G58" s="9" t="s">
        <v>136</v>
      </c>
      <c r="H58" s="9" t="s">
        <v>51</v>
      </c>
      <c r="I58" s="9" t="s">
        <v>552</v>
      </c>
      <c r="J58" s="9" t="s">
        <v>991</v>
      </c>
      <c r="K58" s="9" t="s">
        <v>992</v>
      </c>
      <c r="L58" s="9" t="s">
        <v>696</v>
      </c>
      <c r="M58" s="9" t="s">
        <v>715</v>
      </c>
      <c r="N58" s="9" t="s">
        <v>1052</v>
      </c>
      <c r="O58" s="9" t="s">
        <v>1059</v>
      </c>
      <c r="P58" s="8" t="s">
        <v>995</v>
      </c>
      <c r="Q58" s="8" t="s">
        <v>1054</v>
      </c>
      <c r="R58" s="8" t="s">
        <v>997</v>
      </c>
      <c r="S58" s="8" t="s">
        <v>1055</v>
      </c>
      <c r="T58" s="8"/>
      <c r="U58" s="9" t="s">
        <v>695</v>
      </c>
      <c r="V58" s="8"/>
      <c r="W58" s="8"/>
      <c r="X58" s="9" t="s">
        <v>462</v>
      </c>
      <c r="Y58" s="9" t="s">
        <v>122</v>
      </c>
      <c r="Z58" s="8"/>
    </row>
    <row r="59" customFormat="false" ht="72" hidden="false" customHeight="true" outlineLevel="0" collapsed="false">
      <c r="A59" s="9" t="s">
        <v>717</v>
      </c>
      <c r="B59" s="9" t="s">
        <v>988</v>
      </c>
      <c r="C59" s="9" t="s">
        <v>989</v>
      </c>
      <c r="D59" s="9" t="s">
        <v>54</v>
      </c>
      <c r="E59" s="9" t="s">
        <v>1060</v>
      </c>
      <c r="F59" s="9" t="s">
        <v>542</v>
      </c>
      <c r="G59" s="9" t="s">
        <v>136</v>
      </c>
      <c r="H59" s="9" t="s">
        <v>51</v>
      </c>
      <c r="I59" s="9" t="s">
        <v>552</v>
      </c>
      <c r="J59" s="9" t="s">
        <v>991</v>
      </c>
      <c r="K59" s="9" t="s">
        <v>992</v>
      </c>
      <c r="L59" s="9" t="s">
        <v>696</v>
      </c>
      <c r="M59" s="9" t="s">
        <v>715</v>
      </c>
      <c r="N59" s="9" t="s">
        <v>1052</v>
      </c>
      <c r="O59" s="9" t="s">
        <v>1059</v>
      </c>
      <c r="P59" s="8" t="s">
        <v>995</v>
      </c>
      <c r="Q59" s="8" t="s">
        <v>1054</v>
      </c>
      <c r="R59" s="8" t="s">
        <v>997</v>
      </c>
      <c r="S59" s="8" t="s">
        <v>1055</v>
      </c>
      <c r="T59" s="8"/>
      <c r="U59" s="9" t="s">
        <v>695</v>
      </c>
      <c r="V59" s="8"/>
      <c r="W59" s="8"/>
      <c r="X59" s="9" t="s">
        <v>462</v>
      </c>
      <c r="Y59" s="9" t="s">
        <v>122</v>
      </c>
      <c r="Z59" s="8"/>
    </row>
    <row r="60" customFormat="false" ht="72" hidden="false" customHeight="true" outlineLevel="0" collapsed="false">
      <c r="A60" s="9" t="s">
        <v>725</v>
      </c>
      <c r="B60" s="9" t="s">
        <v>988</v>
      </c>
      <c r="C60" s="9" t="s">
        <v>989</v>
      </c>
      <c r="D60" s="9" t="s">
        <v>54</v>
      </c>
      <c r="E60" s="9" t="s">
        <v>1061</v>
      </c>
      <c r="F60" s="9" t="s">
        <v>542</v>
      </c>
      <c r="G60" s="9" t="s">
        <v>146</v>
      </c>
      <c r="H60" s="9" t="s">
        <v>51</v>
      </c>
      <c r="I60" s="9" t="s">
        <v>563</v>
      </c>
      <c r="J60" s="9" t="s">
        <v>991</v>
      </c>
      <c r="K60" s="9" t="s">
        <v>992</v>
      </c>
      <c r="L60" s="9" t="s">
        <v>696</v>
      </c>
      <c r="M60" s="9" t="s">
        <v>733</v>
      </c>
      <c r="N60" s="9" t="s">
        <v>1052</v>
      </c>
      <c r="O60" s="9" t="s">
        <v>1062</v>
      </c>
      <c r="P60" s="8" t="s">
        <v>995</v>
      </c>
      <c r="Q60" s="8" t="s">
        <v>1054</v>
      </c>
      <c r="R60" s="8" t="s">
        <v>997</v>
      </c>
      <c r="S60" s="8" t="s">
        <v>1055</v>
      </c>
      <c r="T60" s="8"/>
      <c r="U60" s="9" t="s">
        <v>695</v>
      </c>
      <c r="V60" s="8"/>
      <c r="W60" s="8"/>
      <c r="X60" s="9" t="s">
        <v>462</v>
      </c>
      <c r="Y60" s="9" t="s">
        <v>122</v>
      </c>
      <c r="Z60" s="8"/>
    </row>
    <row r="61" customFormat="false" ht="72" hidden="false" customHeight="true" outlineLevel="0" collapsed="false">
      <c r="A61" s="9" t="s">
        <v>735</v>
      </c>
      <c r="B61" s="9" t="s">
        <v>988</v>
      </c>
      <c r="C61" s="9" t="s">
        <v>989</v>
      </c>
      <c r="D61" s="9" t="s">
        <v>54</v>
      </c>
      <c r="E61" s="9" t="s">
        <v>1063</v>
      </c>
      <c r="F61" s="9" t="s">
        <v>542</v>
      </c>
      <c r="G61" s="9" t="s">
        <v>146</v>
      </c>
      <c r="H61" s="9" t="s">
        <v>51</v>
      </c>
      <c r="I61" s="9" t="s">
        <v>563</v>
      </c>
      <c r="J61" s="9" t="s">
        <v>991</v>
      </c>
      <c r="K61" s="9" t="s">
        <v>992</v>
      </c>
      <c r="L61" s="9" t="s">
        <v>696</v>
      </c>
      <c r="M61" s="9" t="s">
        <v>733</v>
      </c>
      <c r="N61" s="9" t="s">
        <v>1052</v>
      </c>
      <c r="O61" s="9" t="s">
        <v>1062</v>
      </c>
      <c r="P61" s="8" t="s">
        <v>995</v>
      </c>
      <c r="Q61" s="8" t="s">
        <v>1054</v>
      </c>
      <c r="R61" s="8" t="s">
        <v>997</v>
      </c>
      <c r="S61" s="8" t="s">
        <v>1055</v>
      </c>
      <c r="T61" s="8"/>
      <c r="U61" s="9" t="s">
        <v>695</v>
      </c>
      <c r="V61" s="8"/>
      <c r="W61" s="8"/>
      <c r="X61" s="9" t="s">
        <v>462</v>
      </c>
      <c r="Y61" s="9" t="s">
        <v>122</v>
      </c>
      <c r="Z61" s="8"/>
    </row>
    <row r="62" customFormat="false" ht="72" hidden="false" customHeight="true" outlineLevel="0" collapsed="false">
      <c r="A62" s="9" t="s">
        <v>744</v>
      </c>
      <c r="B62" s="9" t="s">
        <v>988</v>
      </c>
      <c r="C62" s="9" t="s">
        <v>989</v>
      </c>
      <c r="D62" s="9" t="s">
        <v>54</v>
      </c>
      <c r="E62" s="9" t="s">
        <v>1064</v>
      </c>
      <c r="F62" s="9" t="s">
        <v>542</v>
      </c>
      <c r="G62" s="9" t="s">
        <v>146</v>
      </c>
      <c r="H62" s="9" t="s">
        <v>51</v>
      </c>
      <c r="I62" s="9" t="s">
        <v>563</v>
      </c>
      <c r="J62" s="9" t="s">
        <v>991</v>
      </c>
      <c r="K62" s="9" t="s">
        <v>992</v>
      </c>
      <c r="L62" s="9" t="s">
        <v>696</v>
      </c>
      <c r="M62" s="9" t="s">
        <v>752</v>
      </c>
      <c r="N62" s="9" t="s">
        <v>1052</v>
      </c>
      <c r="O62" s="9" t="s">
        <v>1065</v>
      </c>
      <c r="P62" s="8" t="s">
        <v>995</v>
      </c>
      <c r="Q62" s="8" t="s">
        <v>1054</v>
      </c>
      <c r="R62" s="8" t="s">
        <v>997</v>
      </c>
      <c r="S62" s="8" t="s">
        <v>1055</v>
      </c>
      <c r="T62" s="8"/>
      <c r="U62" s="9" t="s">
        <v>695</v>
      </c>
      <c r="V62" s="8"/>
      <c r="W62" s="8"/>
      <c r="X62" s="9" t="s">
        <v>462</v>
      </c>
      <c r="Y62" s="9" t="s">
        <v>122</v>
      </c>
      <c r="Z62" s="8"/>
    </row>
    <row r="63" customFormat="false" ht="72" hidden="false" customHeight="true" outlineLevel="0" collapsed="false">
      <c r="A63" s="9" t="s">
        <v>754</v>
      </c>
      <c r="B63" s="9" t="s">
        <v>988</v>
      </c>
      <c r="C63" s="9" t="s">
        <v>989</v>
      </c>
      <c r="D63" s="9" t="s">
        <v>54</v>
      </c>
      <c r="E63" s="9" t="s">
        <v>1066</v>
      </c>
      <c r="F63" s="9" t="s">
        <v>542</v>
      </c>
      <c r="G63" s="9" t="s">
        <v>136</v>
      </c>
      <c r="H63" s="9" t="s">
        <v>51</v>
      </c>
      <c r="I63" s="9" t="s">
        <v>581</v>
      </c>
      <c r="J63" s="9" t="s">
        <v>991</v>
      </c>
      <c r="K63" s="9" t="s">
        <v>992</v>
      </c>
      <c r="L63" s="9" t="s">
        <v>696</v>
      </c>
      <c r="M63" s="9" t="s">
        <v>762</v>
      </c>
      <c r="N63" s="9" t="s">
        <v>1052</v>
      </c>
      <c r="O63" s="9" t="s">
        <v>1067</v>
      </c>
      <c r="P63" s="8" t="s">
        <v>995</v>
      </c>
      <c r="Q63" s="8" t="s">
        <v>1054</v>
      </c>
      <c r="R63" s="8" t="s">
        <v>997</v>
      </c>
      <c r="S63" s="8" t="s">
        <v>1055</v>
      </c>
      <c r="T63" s="8"/>
      <c r="U63" s="9" t="s">
        <v>695</v>
      </c>
      <c r="V63" s="8"/>
      <c r="W63" s="8"/>
      <c r="X63" s="9" t="s">
        <v>462</v>
      </c>
      <c r="Y63" s="9" t="s">
        <v>122</v>
      </c>
      <c r="Z63" s="8"/>
    </row>
    <row r="64" customFormat="false" ht="72" hidden="false" customHeight="true" outlineLevel="0" collapsed="false">
      <c r="A64" s="9" t="s">
        <v>764</v>
      </c>
      <c r="B64" s="9" t="s">
        <v>988</v>
      </c>
      <c r="C64" s="9" t="s">
        <v>989</v>
      </c>
      <c r="D64" s="9" t="s">
        <v>54</v>
      </c>
      <c r="E64" s="9" t="s">
        <v>1068</v>
      </c>
      <c r="F64" s="9" t="s">
        <v>542</v>
      </c>
      <c r="G64" s="9" t="s">
        <v>136</v>
      </c>
      <c r="H64" s="9" t="s">
        <v>51</v>
      </c>
      <c r="I64" s="9" t="s">
        <v>581</v>
      </c>
      <c r="J64" s="9" t="s">
        <v>991</v>
      </c>
      <c r="K64" s="9" t="s">
        <v>992</v>
      </c>
      <c r="L64" s="9" t="s">
        <v>696</v>
      </c>
      <c r="M64" s="9" t="s">
        <v>772</v>
      </c>
      <c r="N64" s="9" t="s">
        <v>1052</v>
      </c>
      <c r="O64" s="9" t="s">
        <v>1069</v>
      </c>
      <c r="P64" s="8" t="s">
        <v>995</v>
      </c>
      <c r="Q64" s="8" t="s">
        <v>1054</v>
      </c>
      <c r="R64" s="8" t="s">
        <v>997</v>
      </c>
      <c r="S64" s="8" t="s">
        <v>1055</v>
      </c>
      <c r="T64" s="8"/>
      <c r="U64" s="9" t="s">
        <v>695</v>
      </c>
      <c r="V64" s="8"/>
      <c r="W64" s="8"/>
      <c r="X64" s="9" t="s">
        <v>462</v>
      </c>
      <c r="Y64" s="9" t="s">
        <v>122</v>
      </c>
      <c r="Z64" s="8"/>
    </row>
    <row r="65" customFormat="false" ht="72" hidden="false" customHeight="true" outlineLevel="0" collapsed="false">
      <c r="A65" s="9" t="s">
        <v>774</v>
      </c>
      <c r="B65" s="9" t="s">
        <v>988</v>
      </c>
      <c r="C65" s="9" t="s">
        <v>989</v>
      </c>
      <c r="D65" s="9" t="s">
        <v>54</v>
      </c>
      <c r="E65" s="9" t="s">
        <v>1070</v>
      </c>
      <c r="F65" s="9" t="s">
        <v>542</v>
      </c>
      <c r="G65" s="9" t="s">
        <v>136</v>
      </c>
      <c r="H65" s="9" t="s">
        <v>51</v>
      </c>
      <c r="I65" s="9" t="s">
        <v>581</v>
      </c>
      <c r="J65" s="9" t="s">
        <v>991</v>
      </c>
      <c r="K65" s="9" t="s">
        <v>992</v>
      </c>
      <c r="L65" s="9" t="s">
        <v>696</v>
      </c>
      <c r="M65" s="9" t="s">
        <v>782</v>
      </c>
      <c r="N65" s="9" t="s">
        <v>1052</v>
      </c>
      <c r="O65" s="9" t="s">
        <v>1071</v>
      </c>
      <c r="P65" s="8" t="s">
        <v>995</v>
      </c>
      <c r="Q65" s="8" t="s">
        <v>1054</v>
      </c>
      <c r="R65" s="8" t="s">
        <v>997</v>
      </c>
      <c r="S65" s="8" t="s">
        <v>1055</v>
      </c>
      <c r="T65" s="8"/>
      <c r="U65" s="9" t="s">
        <v>695</v>
      </c>
      <c r="V65" s="8"/>
      <c r="W65" s="8"/>
      <c r="X65" s="9" t="s">
        <v>462</v>
      </c>
      <c r="Y65" s="9" t="s">
        <v>122</v>
      </c>
      <c r="Z65" s="8"/>
    </row>
    <row r="66" customFormat="false" ht="72" hidden="false" customHeight="true" outlineLevel="0" collapsed="false">
      <c r="A66" s="9" t="s">
        <v>784</v>
      </c>
      <c r="B66" s="9" t="s">
        <v>988</v>
      </c>
      <c r="C66" s="9" t="s">
        <v>989</v>
      </c>
      <c r="D66" s="9" t="s">
        <v>54</v>
      </c>
      <c r="E66" s="8" t="s">
        <v>1072</v>
      </c>
      <c r="F66" s="9" t="s">
        <v>542</v>
      </c>
      <c r="G66" s="9" t="s">
        <v>136</v>
      </c>
      <c r="H66" s="9" t="s">
        <v>51</v>
      </c>
      <c r="I66" s="9" t="s">
        <v>581</v>
      </c>
      <c r="J66" s="9" t="s">
        <v>991</v>
      </c>
      <c r="K66" s="9" t="s">
        <v>992</v>
      </c>
      <c r="L66" s="9" t="s">
        <v>696</v>
      </c>
      <c r="M66" s="9" t="s">
        <v>792</v>
      </c>
      <c r="N66" s="9" t="s">
        <v>1052</v>
      </c>
      <c r="O66" s="9" t="s">
        <v>1073</v>
      </c>
      <c r="P66" s="8" t="s">
        <v>995</v>
      </c>
      <c r="Q66" s="8" t="s">
        <v>1054</v>
      </c>
      <c r="R66" s="8" t="s">
        <v>997</v>
      </c>
      <c r="S66" s="8" t="s">
        <v>1055</v>
      </c>
      <c r="T66" s="8"/>
      <c r="U66" s="9" t="s">
        <v>695</v>
      </c>
      <c r="V66" s="8"/>
      <c r="W66" s="8"/>
      <c r="X66" s="9" t="s">
        <v>462</v>
      </c>
      <c r="Y66" s="9" t="s">
        <v>122</v>
      </c>
      <c r="Z66" s="8"/>
    </row>
    <row r="67" customFormat="false" ht="72" hidden="false" customHeight="true" outlineLevel="0" collapsed="false">
      <c r="A67" s="9" t="s">
        <v>793</v>
      </c>
      <c r="B67" s="9" t="s">
        <v>988</v>
      </c>
      <c r="C67" s="9" t="s">
        <v>989</v>
      </c>
      <c r="D67" s="9" t="s">
        <v>54</v>
      </c>
      <c r="E67" s="9" t="s">
        <v>1074</v>
      </c>
      <c r="F67" s="9" t="s">
        <v>542</v>
      </c>
      <c r="G67" s="9" t="s">
        <v>136</v>
      </c>
      <c r="H67" s="9" t="s">
        <v>51</v>
      </c>
      <c r="I67" s="9" t="s">
        <v>581</v>
      </c>
      <c r="J67" s="9" t="s">
        <v>991</v>
      </c>
      <c r="K67" s="9" t="s">
        <v>992</v>
      </c>
      <c r="L67" s="9" t="s">
        <v>696</v>
      </c>
      <c r="M67" s="9" t="s">
        <v>801</v>
      </c>
      <c r="N67" s="9" t="s">
        <v>1052</v>
      </c>
      <c r="O67" s="9" t="s">
        <v>1075</v>
      </c>
      <c r="P67" s="8" t="s">
        <v>995</v>
      </c>
      <c r="Q67" s="8" t="s">
        <v>1054</v>
      </c>
      <c r="R67" s="8" t="s">
        <v>997</v>
      </c>
      <c r="S67" s="8" t="s">
        <v>1055</v>
      </c>
      <c r="T67" s="8"/>
      <c r="U67" s="9" t="s">
        <v>695</v>
      </c>
      <c r="V67" s="8"/>
      <c r="W67" s="8"/>
      <c r="X67" s="9" t="s">
        <v>462</v>
      </c>
      <c r="Y67" s="9" t="s">
        <v>122</v>
      </c>
      <c r="Z67" s="8"/>
    </row>
    <row r="68" customFormat="false" ht="72" hidden="false" customHeight="true" outlineLevel="0" collapsed="false">
      <c r="A68" s="9" t="s">
        <v>803</v>
      </c>
      <c r="B68" s="9" t="s">
        <v>988</v>
      </c>
      <c r="C68" s="9" t="s">
        <v>989</v>
      </c>
      <c r="D68" s="9" t="s">
        <v>54</v>
      </c>
      <c r="E68" s="9" t="s">
        <v>1076</v>
      </c>
      <c r="F68" s="9" t="s">
        <v>542</v>
      </c>
      <c r="G68" s="9" t="s">
        <v>136</v>
      </c>
      <c r="H68" s="9" t="s">
        <v>51</v>
      </c>
      <c r="I68" s="9" t="s">
        <v>581</v>
      </c>
      <c r="J68" s="9" t="s">
        <v>991</v>
      </c>
      <c r="K68" s="9" t="s">
        <v>992</v>
      </c>
      <c r="L68" s="9" t="s">
        <v>696</v>
      </c>
      <c r="M68" s="9" t="s">
        <v>811</v>
      </c>
      <c r="N68" s="9" t="s">
        <v>1052</v>
      </c>
      <c r="O68" s="9" t="s">
        <v>1077</v>
      </c>
      <c r="P68" s="8" t="s">
        <v>995</v>
      </c>
      <c r="Q68" s="8" t="s">
        <v>1054</v>
      </c>
      <c r="R68" s="8" t="s">
        <v>997</v>
      </c>
      <c r="S68" s="8" t="s">
        <v>1055</v>
      </c>
      <c r="T68" s="8"/>
      <c r="U68" s="9" t="s">
        <v>695</v>
      </c>
      <c r="V68" s="8"/>
      <c r="W68" s="8"/>
      <c r="X68" s="9" t="s">
        <v>462</v>
      </c>
      <c r="Y68" s="9" t="s">
        <v>122</v>
      </c>
      <c r="Z68" s="8"/>
    </row>
    <row r="69" customFormat="false" ht="72" hidden="false" customHeight="true" outlineLevel="0" collapsed="false">
      <c r="A69" s="9" t="s">
        <v>813</v>
      </c>
      <c r="B69" s="9" t="s">
        <v>988</v>
      </c>
      <c r="C69" s="9" t="s">
        <v>989</v>
      </c>
      <c r="D69" s="9" t="s">
        <v>54</v>
      </c>
      <c r="E69" s="8" t="s">
        <v>1078</v>
      </c>
      <c r="F69" s="9" t="s">
        <v>542</v>
      </c>
      <c r="G69" s="9" t="s">
        <v>136</v>
      </c>
      <c r="H69" s="9" t="s">
        <v>51</v>
      </c>
      <c r="I69" s="9" t="s">
        <v>563</v>
      </c>
      <c r="J69" s="9" t="s">
        <v>991</v>
      </c>
      <c r="K69" s="9" t="s">
        <v>992</v>
      </c>
      <c r="L69" s="9" t="s">
        <v>696</v>
      </c>
      <c r="M69" s="9" t="s">
        <v>821</v>
      </c>
      <c r="N69" s="9" t="s">
        <v>1052</v>
      </c>
      <c r="O69" s="9" t="s">
        <v>1079</v>
      </c>
      <c r="P69" s="8" t="s">
        <v>995</v>
      </c>
      <c r="Q69" s="8" t="s">
        <v>1054</v>
      </c>
      <c r="R69" s="8" t="s">
        <v>997</v>
      </c>
      <c r="S69" s="8" t="s">
        <v>1055</v>
      </c>
      <c r="T69" s="8"/>
      <c r="U69" s="9" t="s">
        <v>695</v>
      </c>
      <c r="V69" s="8"/>
      <c r="W69" s="8"/>
      <c r="X69" s="9" t="s">
        <v>462</v>
      </c>
      <c r="Y69" s="9" t="s">
        <v>122</v>
      </c>
      <c r="Z69" s="8"/>
    </row>
    <row r="70" customFormat="false" ht="72" hidden="false" customHeight="true" outlineLevel="0" collapsed="false">
      <c r="A70" s="9" t="s">
        <v>828</v>
      </c>
      <c r="B70" s="9" t="s">
        <v>1080</v>
      </c>
      <c r="C70" s="9" t="s">
        <v>1081</v>
      </c>
      <c r="D70" s="9" t="s">
        <v>829</v>
      </c>
      <c r="E70" s="9" t="s">
        <v>830</v>
      </c>
      <c r="F70" s="9" t="s">
        <v>542</v>
      </c>
      <c r="G70" s="9" t="s">
        <v>113</v>
      </c>
      <c r="H70" s="9" t="s">
        <v>51</v>
      </c>
      <c r="I70" s="9" t="s">
        <v>543</v>
      </c>
      <c r="J70" s="9" t="s">
        <v>991</v>
      </c>
      <c r="K70" s="9" t="s">
        <v>992</v>
      </c>
      <c r="L70" s="9" t="s">
        <v>1082</v>
      </c>
      <c r="M70" s="9" t="s">
        <v>837</v>
      </c>
      <c r="N70" s="8" t="s">
        <v>1083</v>
      </c>
      <c r="O70" s="9" t="s">
        <v>1084</v>
      </c>
      <c r="P70" s="8" t="s">
        <v>995</v>
      </c>
      <c r="Q70" s="8" t="s">
        <v>1054</v>
      </c>
      <c r="R70" s="8" t="s">
        <v>997</v>
      </c>
      <c r="S70" s="8" t="s">
        <v>1055</v>
      </c>
      <c r="T70" s="8"/>
      <c r="U70" s="9" t="s">
        <v>695</v>
      </c>
      <c r="V70" s="8"/>
      <c r="W70" s="8"/>
      <c r="X70" s="9" t="s">
        <v>462</v>
      </c>
      <c r="Y70" s="9" t="s">
        <v>122</v>
      </c>
      <c r="Z70" s="8"/>
    </row>
    <row r="71" customFormat="false" ht="72" hidden="false" customHeight="true" outlineLevel="0" collapsed="false">
      <c r="A71" s="9" t="s">
        <v>839</v>
      </c>
      <c r="B71" s="9" t="s">
        <v>1080</v>
      </c>
      <c r="C71" s="9" t="s">
        <v>1081</v>
      </c>
      <c r="D71" s="9" t="s">
        <v>829</v>
      </c>
      <c r="E71" s="9" t="s">
        <v>840</v>
      </c>
      <c r="F71" s="9" t="s">
        <v>542</v>
      </c>
      <c r="G71" s="9" t="s">
        <v>113</v>
      </c>
      <c r="H71" s="9" t="s">
        <v>51</v>
      </c>
      <c r="I71" s="9" t="s">
        <v>543</v>
      </c>
      <c r="J71" s="9" t="s">
        <v>991</v>
      </c>
      <c r="K71" s="9" t="s">
        <v>992</v>
      </c>
      <c r="L71" s="9" t="s">
        <v>1082</v>
      </c>
      <c r="M71" s="9" t="s">
        <v>846</v>
      </c>
      <c r="N71" s="8" t="s">
        <v>1083</v>
      </c>
      <c r="O71" s="9" t="s">
        <v>1085</v>
      </c>
      <c r="P71" s="8" t="s">
        <v>995</v>
      </c>
      <c r="Q71" s="8" t="s">
        <v>1054</v>
      </c>
      <c r="R71" s="8" t="s">
        <v>997</v>
      </c>
      <c r="S71" s="8" t="s">
        <v>1055</v>
      </c>
      <c r="T71" s="8"/>
      <c r="U71" s="9" t="s">
        <v>695</v>
      </c>
      <c r="V71" s="8"/>
      <c r="W71" s="8"/>
      <c r="X71" s="9" t="s">
        <v>462</v>
      </c>
      <c r="Y71" s="9" t="s">
        <v>122</v>
      </c>
      <c r="Z71" s="8"/>
    </row>
    <row r="72" customFormat="false" ht="72" hidden="false" customHeight="true" outlineLevel="0" collapsed="false">
      <c r="A72" s="9" t="s">
        <v>848</v>
      </c>
      <c r="B72" s="9" t="s">
        <v>1080</v>
      </c>
      <c r="C72" s="9" t="s">
        <v>1081</v>
      </c>
      <c r="D72" s="9" t="s">
        <v>849</v>
      </c>
      <c r="E72" s="9" t="s">
        <v>850</v>
      </c>
      <c r="F72" s="9" t="s">
        <v>542</v>
      </c>
      <c r="G72" s="9" t="s">
        <v>113</v>
      </c>
      <c r="H72" s="9" t="s">
        <v>51</v>
      </c>
      <c r="I72" s="9" t="s">
        <v>856</v>
      </c>
      <c r="J72" s="9" t="s">
        <v>991</v>
      </c>
      <c r="K72" s="9" t="s">
        <v>992</v>
      </c>
      <c r="L72" s="9" t="s">
        <v>1082</v>
      </c>
      <c r="M72" s="9" t="s">
        <v>857</v>
      </c>
      <c r="N72" s="8" t="s">
        <v>1083</v>
      </c>
      <c r="O72" s="9" t="s">
        <v>1086</v>
      </c>
      <c r="P72" s="8" t="s">
        <v>995</v>
      </c>
      <c r="Q72" s="8" t="s">
        <v>1054</v>
      </c>
      <c r="R72" s="8" t="s">
        <v>997</v>
      </c>
      <c r="S72" s="8" t="s">
        <v>1055</v>
      </c>
      <c r="T72" s="8"/>
      <c r="U72" s="9" t="s">
        <v>695</v>
      </c>
      <c r="V72" s="8"/>
      <c r="W72" s="8"/>
      <c r="X72" s="9" t="s">
        <v>462</v>
      </c>
      <c r="Y72" s="9" t="s">
        <v>122</v>
      </c>
      <c r="Z72" s="8"/>
    </row>
    <row r="73" customFormat="false" ht="72" hidden="false" customHeight="true" outlineLevel="0" collapsed="false">
      <c r="A73" s="9" t="s">
        <v>859</v>
      </c>
      <c r="B73" s="9" t="s">
        <v>1080</v>
      </c>
      <c r="C73" s="9" t="s">
        <v>1081</v>
      </c>
      <c r="D73" s="9" t="s">
        <v>849</v>
      </c>
      <c r="E73" s="9" t="s">
        <v>860</v>
      </c>
      <c r="F73" s="9" t="s">
        <v>542</v>
      </c>
      <c r="G73" s="9" t="s">
        <v>113</v>
      </c>
      <c r="H73" s="9" t="s">
        <v>51</v>
      </c>
      <c r="I73" s="9" t="s">
        <v>856</v>
      </c>
      <c r="J73" s="9" t="s">
        <v>991</v>
      </c>
      <c r="K73" s="9" t="s">
        <v>992</v>
      </c>
      <c r="L73" s="9" t="s">
        <v>1082</v>
      </c>
      <c r="M73" s="9" t="s">
        <v>866</v>
      </c>
      <c r="N73" s="8" t="s">
        <v>1083</v>
      </c>
      <c r="O73" s="9" t="s">
        <v>1087</v>
      </c>
      <c r="P73" s="8" t="s">
        <v>995</v>
      </c>
      <c r="Q73" s="8" t="s">
        <v>1054</v>
      </c>
      <c r="R73" s="8" t="s">
        <v>997</v>
      </c>
      <c r="S73" s="8" t="s">
        <v>1055</v>
      </c>
      <c r="T73" s="8"/>
      <c r="U73" s="9" t="s">
        <v>695</v>
      </c>
      <c r="V73" s="8"/>
      <c r="W73" s="8"/>
      <c r="X73" s="9" t="s">
        <v>462</v>
      </c>
      <c r="Y73" s="9" t="s">
        <v>122</v>
      </c>
      <c r="Z73" s="8"/>
    </row>
    <row r="74" customFormat="false" ht="72" hidden="false" customHeight="true" outlineLevel="0" collapsed="false">
      <c r="A74" s="9" t="s">
        <v>868</v>
      </c>
      <c r="B74" s="9" t="s">
        <v>1080</v>
      </c>
      <c r="C74" s="9" t="s">
        <v>1081</v>
      </c>
      <c r="D74" s="9" t="s">
        <v>869</v>
      </c>
      <c r="E74" s="9" t="s">
        <v>870</v>
      </c>
      <c r="F74" s="9" t="s">
        <v>542</v>
      </c>
      <c r="G74" s="9" t="s">
        <v>113</v>
      </c>
      <c r="H74" s="9" t="s">
        <v>51</v>
      </c>
      <c r="I74" s="9" t="s">
        <v>856</v>
      </c>
      <c r="J74" s="9" t="s">
        <v>991</v>
      </c>
      <c r="K74" s="9" t="s">
        <v>992</v>
      </c>
      <c r="L74" s="9" t="s">
        <v>1082</v>
      </c>
      <c r="M74" s="9" t="s">
        <v>876</v>
      </c>
      <c r="N74" s="8" t="s">
        <v>1083</v>
      </c>
      <c r="O74" s="9" t="s">
        <v>1088</v>
      </c>
      <c r="P74" s="8" t="s">
        <v>995</v>
      </c>
      <c r="Q74" s="8" t="s">
        <v>1054</v>
      </c>
      <c r="R74" s="8" t="s">
        <v>997</v>
      </c>
      <c r="S74" s="8" t="s">
        <v>1055</v>
      </c>
      <c r="T74" s="8"/>
      <c r="U74" s="9" t="s">
        <v>695</v>
      </c>
      <c r="V74" s="8"/>
      <c r="W74" s="8"/>
      <c r="X74" s="9" t="s">
        <v>462</v>
      </c>
      <c r="Y74" s="9" t="s">
        <v>122</v>
      </c>
      <c r="Z74" s="8"/>
    </row>
    <row r="75" customFormat="false" ht="72" hidden="false" customHeight="true" outlineLevel="0" collapsed="false">
      <c r="A75" s="9" t="s">
        <v>878</v>
      </c>
      <c r="B75" s="9" t="s">
        <v>1080</v>
      </c>
      <c r="C75" s="9" t="s">
        <v>1081</v>
      </c>
      <c r="D75" s="9" t="s">
        <v>879</v>
      </c>
      <c r="E75" s="8" t="s">
        <v>880</v>
      </c>
      <c r="F75" s="9" t="s">
        <v>542</v>
      </c>
      <c r="G75" s="9" t="s">
        <v>113</v>
      </c>
      <c r="H75" s="9" t="s">
        <v>51</v>
      </c>
      <c r="I75" s="9" t="s">
        <v>543</v>
      </c>
      <c r="J75" s="9" t="s">
        <v>991</v>
      </c>
      <c r="K75" s="9" t="s">
        <v>992</v>
      </c>
      <c r="L75" s="9" t="s">
        <v>1082</v>
      </c>
      <c r="M75" s="9" t="s">
        <v>886</v>
      </c>
      <c r="N75" s="8" t="s">
        <v>1083</v>
      </c>
      <c r="O75" s="9" t="s">
        <v>1089</v>
      </c>
      <c r="P75" s="8" t="s">
        <v>995</v>
      </c>
      <c r="Q75" s="8" t="s">
        <v>1054</v>
      </c>
      <c r="R75" s="8" t="s">
        <v>997</v>
      </c>
      <c r="S75" s="8" t="s">
        <v>1055</v>
      </c>
      <c r="T75" s="8"/>
      <c r="U75" s="9" t="s">
        <v>695</v>
      </c>
      <c r="V75" s="8"/>
      <c r="W75" s="8"/>
      <c r="X75" s="9" t="s">
        <v>462</v>
      </c>
      <c r="Y75" s="9" t="s">
        <v>122</v>
      </c>
      <c r="Z75" s="8"/>
    </row>
    <row r="76" customFormat="false" ht="72" hidden="false" customHeight="true" outlineLevel="0" collapsed="false">
      <c r="A76" s="9" t="s">
        <v>888</v>
      </c>
      <c r="B76" s="9" t="s">
        <v>1080</v>
      </c>
      <c r="C76" s="9" t="s">
        <v>1081</v>
      </c>
      <c r="D76" s="9" t="s">
        <v>889</v>
      </c>
      <c r="E76" s="8" t="s">
        <v>890</v>
      </c>
      <c r="F76" s="9" t="s">
        <v>542</v>
      </c>
      <c r="G76" s="9" t="s">
        <v>136</v>
      </c>
      <c r="H76" s="9" t="s">
        <v>896</v>
      </c>
      <c r="I76" s="9" t="s">
        <v>543</v>
      </c>
      <c r="J76" s="9" t="s">
        <v>991</v>
      </c>
      <c r="K76" s="9" t="s">
        <v>992</v>
      </c>
      <c r="L76" s="9" t="s">
        <v>1082</v>
      </c>
      <c r="M76" s="9" t="s">
        <v>897</v>
      </c>
      <c r="N76" s="8" t="s">
        <v>1083</v>
      </c>
      <c r="O76" s="9" t="s">
        <v>1090</v>
      </c>
      <c r="P76" s="8" t="s">
        <v>995</v>
      </c>
      <c r="Q76" s="8" t="s">
        <v>1054</v>
      </c>
      <c r="R76" s="8" t="s">
        <v>997</v>
      </c>
      <c r="S76" s="8" t="s">
        <v>1055</v>
      </c>
      <c r="T76" s="8"/>
      <c r="U76" s="9" t="s">
        <v>695</v>
      </c>
      <c r="V76" s="8"/>
      <c r="W76" s="8"/>
      <c r="X76" s="9" t="s">
        <v>462</v>
      </c>
      <c r="Y76" s="9" t="s">
        <v>122</v>
      </c>
      <c r="Z76" s="8"/>
    </row>
    <row r="77" customFormat="false" ht="72" hidden="false" customHeight="true" outlineLevel="0" collapsed="false">
      <c r="A77" s="9" t="s">
        <v>899</v>
      </c>
      <c r="B77" s="9" t="s">
        <v>1080</v>
      </c>
      <c r="C77" s="9" t="s">
        <v>1081</v>
      </c>
      <c r="D77" s="9" t="s">
        <v>900</v>
      </c>
      <c r="E77" s="9" t="s">
        <v>901</v>
      </c>
      <c r="F77" s="9" t="s">
        <v>542</v>
      </c>
      <c r="G77" s="9" t="s">
        <v>113</v>
      </c>
      <c r="H77" s="9" t="s">
        <v>51</v>
      </c>
      <c r="I77" s="9" t="s">
        <v>543</v>
      </c>
      <c r="J77" s="9" t="s">
        <v>991</v>
      </c>
      <c r="K77" s="9" t="s">
        <v>992</v>
      </c>
      <c r="L77" s="9" t="s">
        <v>1082</v>
      </c>
      <c r="M77" s="9" t="s">
        <v>907</v>
      </c>
      <c r="N77" s="8" t="s">
        <v>1083</v>
      </c>
      <c r="O77" s="9" t="s">
        <v>1091</v>
      </c>
      <c r="P77" s="8" t="s">
        <v>995</v>
      </c>
      <c r="Q77" s="8" t="s">
        <v>1054</v>
      </c>
      <c r="R77" s="8" t="s">
        <v>997</v>
      </c>
      <c r="S77" s="8" t="s">
        <v>1055</v>
      </c>
      <c r="T77" s="8"/>
      <c r="U77" s="9" t="s">
        <v>695</v>
      </c>
      <c r="V77" s="8"/>
      <c r="W77" s="8"/>
      <c r="X77" s="9" t="s">
        <v>462</v>
      </c>
      <c r="Y77" s="9" t="s">
        <v>122</v>
      </c>
      <c r="Z77" s="8"/>
    </row>
  </sheetData>
  <mergeCells count="1">
    <mergeCell ref="A1:Z1"/>
  </mergeCells>
  <conditionalFormatting sqref="G4:M77">
    <cfRule type="containsText" priority="2" operator="containsText" aboveAverage="0" equalAverage="0" bottom="0" percent="0" rank="0" text="BLOCK" dxfId="30">
      <formula>NOT(ISERROR(SEARCH("BLOCK",G4)))</formula>
    </cfRule>
    <cfRule type="containsText" priority="3" operator="containsText" aboveAverage="0" equalAverage="0" bottom="0" percent="0" rank="0" text="NEEDS" dxfId="31">
      <formula>NOT(ISERROR(SEARCH("NEEDS",G4)))</formula>
    </cfRule>
    <cfRule type="containsText" priority="4" operator="containsText" aboveAverage="0" equalAverage="0" bottom="0" percent="0" rank="0" text="READY" dxfId="32">
      <formula>NOT(ISERROR(SEARCH("READY",G4)))</formula>
    </cfRule>
    <cfRule type="containsText" priority="5" operator="containsText" aboveAverage="0" equalAverage="0" bottom="0" percent="0" rank="0" text="COMPLETED" dxfId="33">
      <formula>NOT(ISERROR(SEARCH("COMPLETED",G4)))</formula>
    </cfRule>
    <cfRule type="containsText" priority="6" operator="containsText" aboveAverage="0" equalAverage="0" bottom="0" percent="0" rank="0" text="SUPERSEDED" dxfId="34">
      <formula>NOT(ISERROR(SEARCH("SUPERSEDED",G4)))</formula>
    </cfRule>
    <cfRule type="containsText" priority="7" operator="containsText" aboveAverage="0" equalAverage="0" bottom="0" percent="0" rank="0" text="N/A" dxfId="35">
      <formula>NOT(ISERROR(SEARCH("N/A",G4)))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17.64"/>
    <col collapsed="false" customWidth="true" hidden="false" outlineLevel="0" max="5" min="3" style="0" width="42.85"/>
    <col collapsed="false" customWidth="true" hidden="false" outlineLevel="0" max="6" min="6" style="0" width="30.24"/>
    <col collapsed="false" customWidth="true" hidden="false" outlineLevel="0" max="7" min="7" style="0" width="37.81"/>
  </cols>
  <sheetData>
    <row r="1" customFormat="false" ht="30" hidden="false" customHeight="true" outlineLevel="0" collapsed="false">
      <c r="A1" s="10" t="s">
        <v>1092</v>
      </c>
      <c r="B1" s="10"/>
      <c r="C1" s="10"/>
      <c r="D1" s="10"/>
      <c r="E1" s="10"/>
      <c r="F1" s="10"/>
      <c r="G1" s="10"/>
    </row>
    <row r="3" customFormat="false" ht="30" hidden="false" customHeight="true" outlineLevel="0" collapsed="false">
      <c r="A3" s="2" t="s">
        <v>1093</v>
      </c>
      <c r="B3" s="11" t="s">
        <v>82</v>
      </c>
      <c r="C3" s="11" t="s">
        <v>1094</v>
      </c>
      <c r="D3" s="11" t="s">
        <v>1095</v>
      </c>
      <c r="E3" s="11" t="s">
        <v>1096</v>
      </c>
      <c r="F3" s="11" t="s">
        <v>827</v>
      </c>
      <c r="G3" s="3" t="s">
        <v>1097</v>
      </c>
    </row>
    <row r="4" customFormat="false" ht="15" hidden="false" customHeight="false" outlineLevel="0" collapsed="false">
      <c r="A4" s="6" t="n">
        <v>46232</v>
      </c>
      <c r="B4" s="7" t="s">
        <v>1098</v>
      </c>
      <c r="C4" s="5" t="s">
        <v>1099</v>
      </c>
      <c r="D4" s="7" t="s">
        <v>1100</v>
      </c>
      <c r="E4" s="5" t="s">
        <v>1101</v>
      </c>
      <c r="F4" s="7" t="s">
        <v>1102</v>
      </c>
      <c r="G4" s="7" t="s">
        <v>1103</v>
      </c>
    </row>
    <row r="5" customFormat="false" ht="15" hidden="false" customHeight="false" outlineLevel="0" collapsed="false">
      <c r="A5" s="14" t="n">
        <v>46232</v>
      </c>
      <c r="B5" s="9" t="s">
        <v>1104</v>
      </c>
      <c r="C5" s="8" t="s">
        <v>1105</v>
      </c>
      <c r="D5" s="9" t="s">
        <v>1106</v>
      </c>
      <c r="E5" s="9" t="s">
        <v>1107</v>
      </c>
      <c r="F5" s="9" t="s">
        <v>1108</v>
      </c>
      <c r="G5" s="9" t="s">
        <v>1109</v>
      </c>
    </row>
    <row r="6" customFormat="false" ht="15" hidden="false" customHeight="false" outlineLevel="0" collapsed="false">
      <c r="A6" s="14" t="n">
        <v>46232</v>
      </c>
      <c r="B6" s="9" t="s">
        <v>1110</v>
      </c>
      <c r="C6" s="8" t="s">
        <v>1111</v>
      </c>
      <c r="D6" s="9" t="s">
        <v>1112</v>
      </c>
      <c r="E6" s="8" t="s">
        <v>1113</v>
      </c>
      <c r="F6" s="9" t="s">
        <v>1102</v>
      </c>
      <c r="G6" s="9" t="s">
        <v>1114</v>
      </c>
    </row>
    <row r="7" customFormat="false" ht="15" hidden="false" customHeight="false" outlineLevel="0" collapsed="false">
      <c r="A7" s="14" t="n">
        <v>46232</v>
      </c>
      <c r="B7" s="9" t="s">
        <v>1115</v>
      </c>
      <c r="C7" s="8" t="s">
        <v>1116</v>
      </c>
      <c r="D7" s="8" t="s">
        <v>1117</v>
      </c>
      <c r="E7" s="8" t="s">
        <v>1118</v>
      </c>
      <c r="F7" s="9" t="s">
        <v>1119</v>
      </c>
      <c r="G7" s="9" t="s">
        <v>1120</v>
      </c>
    </row>
    <row r="8" customFormat="false" ht="15" hidden="false" customHeight="false" outlineLevel="0" collapsed="false">
      <c r="A8" s="14" t="n">
        <v>46232</v>
      </c>
      <c r="B8" s="9" t="s">
        <v>1121</v>
      </c>
      <c r="C8" s="8" t="s">
        <v>1122</v>
      </c>
      <c r="D8" s="8" t="s">
        <v>1123</v>
      </c>
      <c r="E8" s="8" t="s">
        <v>1124</v>
      </c>
      <c r="F8" s="9" t="s">
        <v>1119</v>
      </c>
      <c r="G8" s="9" t="s">
        <v>1125</v>
      </c>
    </row>
    <row r="9" customFormat="false" ht="15" hidden="false" customHeight="false" outlineLevel="0" collapsed="false">
      <c r="A9" s="14" t="n">
        <v>46232</v>
      </c>
      <c r="B9" s="9" t="s">
        <v>1126</v>
      </c>
      <c r="C9" s="8" t="s">
        <v>1127</v>
      </c>
      <c r="D9" s="9" t="s">
        <v>1128</v>
      </c>
      <c r="E9" s="8" t="s">
        <v>1129</v>
      </c>
      <c r="F9" s="9" t="s">
        <v>1119</v>
      </c>
      <c r="G9" s="9" t="s">
        <v>1130</v>
      </c>
    </row>
    <row r="10" customFormat="false" ht="15" hidden="false" customHeight="false" outlineLevel="0" collapsed="false">
      <c r="A10" s="14" t="n">
        <v>46232</v>
      </c>
      <c r="B10" s="9" t="s">
        <v>1131</v>
      </c>
      <c r="C10" s="8" t="s">
        <v>1132</v>
      </c>
      <c r="D10" s="8" t="s">
        <v>1133</v>
      </c>
      <c r="E10" s="8" t="s">
        <v>1134</v>
      </c>
      <c r="F10" s="9" t="s">
        <v>1135</v>
      </c>
      <c r="G10" s="8" t="s">
        <v>1136</v>
      </c>
    </row>
    <row r="11" customFormat="false" ht="15" hidden="false" customHeight="false" outlineLevel="0" collapsed="false">
      <c r="A11" s="14" t="n">
        <v>46237</v>
      </c>
      <c r="B11" s="9" t="s">
        <v>1137</v>
      </c>
      <c r="C11" s="8" t="s">
        <v>1138</v>
      </c>
      <c r="D11" s="8" t="s">
        <v>1139</v>
      </c>
      <c r="E11" s="8" t="s">
        <v>1140</v>
      </c>
      <c r="F11" s="9" t="s">
        <v>1119</v>
      </c>
      <c r="G11" s="9" t="s">
        <v>1141</v>
      </c>
    </row>
    <row r="12" customFormat="false" ht="15" hidden="false" customHeight="false" outlineLevel="0" collapsed="false">
      <c r="A12" s="14" t="n">
        <v>46237</v>
      </c>
      <c r="B12" s="9" t="s">
        <v>1142</v>
      </c>
      <c r="C12" s="8" t="s">
        <v>1143</v>
      </c>
      <c r="D12" s="8" t="s">
        <v>1144</v>
      </c>
      <c r="E12" s="8" t="s">
        <v>1145</v>
      </c>
      <c r="F12" s="9" t="s">
        <v>1119</v>
      </c>
      <c r="G12" s="9" t="s">
        <v>1146</v>
      </c>
    </row>
    <row r="13" customFormat="false" ht="15" hidden="false" customHeight="false" outlineLevel="0" collapsed="false">
      <c r="A13" s="14" t="n">
        <v>46237</v>
      </c>
      <c r="B13" s="9" t="s">
        <v>1147</v>
      </c>
      <c r="C13" s="8" t="s">
        <v>1148</v>
      </c>
      <c r="D13" s="8" t="s">
        <v>1149</v>
      </c>
      <c r="E13" s="8" t="s">
        <v>1150</v>
      </c>
      <c r="F13" s="9" t="s">
        <v>1102</v>
      </c>
      <c r="G13" s="9" t="s">
        <v>1151</v>
      </c>
    </row>
    <row r="14" customFormat="false" ht="15" hidden="false" customHeight="false" outlineLevel="0" collapsed="false">
      <c r="A14" s="14" t="n">
        <v>46237</v>
      </c>
      <c r="B14" s="9" t="s">
        <v>1152</v>
      </c>
      <c r="C14" s="8" t="s">
        <v>1153</v>
      </c>
      <c r="D14" s="8" t="s">
        <v>1154</v>
      </c>
      <c r="E14" s="8" t="s">
        <v>1155</v>
      </c>
      <c r="F14" s="9" t="s">
        <v>1102</v>
      </c>
      <c r="G14" s="8" t="s">
        <v>1156</v>
      </c>
    </row>
    <row r="15" customFormat="false" ht="15" hidden="false" customHeight="false" outlineLevel="0" collapsed="false">
      <c r="A15" s="14" t="n">
        <v>46238</v>
      </c>
      <c r="B15" s="9" t="s">
        <v>1157</v>
      </c>
      <c r="C15" s="8" t="s">
        <v>1158</v>
      </c>
      <c r="D15" s="8" t="s">
        <v>1159</v>
      </c>
      <c r="E15" s="8" t="s">
        <v>1160</v>
      </c>
      <c r="F15" s="9" t="s">
        <v>1102</v>
      </c>
      <c r="G15" s="8" t="s">
        <v>1161</v>
      </c>
    </row>
    <row r="16" customFormat="false" ht="41" hidden="false" customHeight="false" outlineLevel="0" collapsed="false">
      <c r="A16" s="14" t="n">
        <v>46240</v>
      </c>
      <c r="B16" s="9" t="s">
        <v>1162</v>
      </c>
      <c r="C16" s="8" t="s">
        <v>1163</v>
      </c>
      <c r="D16" s="9" t="s">
        <v>1164</v>
      </c>
      <c r="E16" s="8" t="s">
        <v>1165</v>
      </c>
      <c r="F16" s="9" t="s">
        <v>1102</v>
      </c>
      <c r="G16" s="9" t="s">
        <v>1166</v>
      </c>
    </row>
    <row r="17" customFormat="false" ht="29.85" hidden="false" customHeight="false" outlineLevel="0" collapsed="false">
      <c r="A17" s="14" t="n">
        <v>46241</v>
      </c>
      <c r="B17" s="9" t="s">
        <v>1167</v>
      </c>
      <c r="C17" s="8" t="s">
        <v>1168</v>
      </c>
      <c r="D17" s="9" t="s">
        <v>1169</v>
      </c>
      <c r="E17" s="9" t="s">
        <v>1170</v>
      </c>
      <c r="F17" s="9" t="s">
        <v>1171</v>
      </c>
      <c r="G17" s="9" t="s">
        <v>123</v>
      </c>
    </row>
    <row r="18" customFormat="false" ht="44" hidden="false" customHeight="false" outlineLevel="0" collapsed="false">
      <c r="A18" s="14" t="n">
        <v>46242</v>
      </c>
      <c r="B18" s="9" t="s">
        <v>1172</v>
      </c>
      <c r="C18" s="8" t="s">
        <v>1173</v>
      </c>
      <c r="D18" s="9" t="s">
        <v>1174</v>
      </c>
      <c r="E18" s="9" t="s">
        <v>1175</v>
      </c>
      <c r="F18" s="9" t="s">
        <v>1171</v>
      </c>
      <c r="G18" s="9" t="s">
        <v>1176</v>
      </c>
    </row>
    <row r="19" customFormat="false" ht="35.05" hidden="false" customHeight="false" outlineLevel="0" collapsed="false">
      <c r="A19" s="14" t="n">
        <v>46244</v>
      </c>
      <c r="B19" s="9" t="s">
        <v>1177</v>
      </c>
      <c r="C19" s="8" t="s">
        <v>1178</v>
      </c>
      <c r="D19" s="9" t="s">
        <v>1179</v>
      </c>
      <c r="E19" s="9" t="s">
        <v>1180</v>
      </c>
      <c r="F19" s="9" t="s">
        <v>1171</v>
      </c>
      <c r="G19" s="9" t="s">
        <v>1181</v>
      </c>
    </row>
    <row r="20" customFormat="false" ht="29.85" hidden="false" customHeight="false" outlineLevel="0" collapsed="false">
      <c r="A20" s="14" t="n">
        <v>46244</v>
      </c>
      <c r="B20" s="9" t="s">
        <v>1182</v>
      </c>
      <c r="C20" s="8" t="s">
        <v>1183</v>
      </c>
      <c r="D20" s="9" t="s">
        <v>1184</v>
      </c>
      <c r="E20" s="8" t="s">
        <v>1185</v>
      </c>
      <c r="F20" s="9" t="s">
        <v>1102</v>
      </c>
      <c r="G20" s="9" t="s">
        <v>1186</v>
      </c>
    </row>
  </sheetData>
  <mergeCells count="1">
    <mergeCell ref="A1:G1"/>
  </mergeCells>
  <conditionalFormatting sqref="F4:F20">
    <cfRule type="containsText" priority="2" operator="containsText" aboveAverage="0" equalAverage="0" bottom="0" percent="0" rank="0" text="BLOCK" dxfId="36">
      <formula>NOT(ISERROR(SEARCH("BLOCK",F4)))</formula>
    </cfRule>
    <cfRule type="containsText" priority="3" operator="containsText" aboveAverage="0" equalAverage="0" bottom="0" percent="0" rank="0" text="NEEDS" dxfId="37">
      <formula>NOT(ISERROR(SEARCH("NEEDS",F4)))</formula>
    </cfRule>
    <cfRule type="containsText" priority="4" operator="containsText" aboveAverage="0" equalAverage="0" bottom="0" percent="0" rank="0" text="READY" dxfId="38">
      <formula>NOT(ISERROR(SEARCH("READY",F4)))</formula>
    </cfRule>
    <cfRule type="containsText" priority="5" operator="containsText" aboveAverage="0" equalAverage="0" bottom="0" percent="0" rank="0" text="COMPLETED" dxfId="39">
      <formula>NOT(ISERROR(SEARCH("COMPLETED",F4)))</formula>
    </cfRule>
    <cfRule type="containsText" priority="6" operator="containsText" aboveAverage="0" equalAverage="0" bottom="0" percent="0" rank="0" text="SUPERSEDED" dxfId="40">
      <formula>NOT(ISERROR(SEARCH("SUPERSEDED",F4)))</formula>
    </cfRule>
    <cfRule type="containsText" priority="7" operator="containsText" aboveAverage="0" equalAverage="0" bottom="0" percent="0" rank="0" text="N/A" dxfId="41">
      <formula>NOT(ISERROR(SEARCH("N/A",F4)))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22.69"/>
    <col collapsed="false" customWidth="true" hidden="false" outlineLevel="0" max="3" min="3" style="0" width="73.09"/>
    <col collapsed="false" customWidth="true" hidden="false" outlineLevel="0" max="4" min="4" style="0" width="20.17"/>
    <col collapsed="false" customWidth="true" hidden="false" outlineLevel="0" max="5" min="5" style="0" width="52.92"/>
    <col collapsed="false" customWidth="true" hidden="false" outlineLevel="0" max="6" min="6" style="0" width="35.29"/>
    <col collapsed="false" customWidth="true" hidden="false" outlineLevel="0" max="7" min="7" style="0" width="21.43"/>
    <col collapsed="false" customWidth="true" hidden="false" outlineLevel="0" max="8" min="8" style="0" width="45.91"/>
  </cols>
  <sheetData>
    <row r="1" customFormat="false" ht="30" hidden="false" customHeight="true" outlineLevel="0" collapsed="false">
      <c r="A1" s="10" t="s">
        <v>1187</v>
      </c>
      <c r="B1" s="10"/>
      <c r="C1" s="10"/>
      <c r="D1" s="10"/>
      <c r="E1" s="10"/>
      <c r="F1" s="10"/>
      <c r="G1" s="10"/>
      <c r="H1" s="10"/>
    </row>
    <row r="3" customFormat="false" ht="30" hidden="false" customHeight="true" outlineLevel="0" collapsed="false">
      <c r="A3" s="15" t="s">
        <v>1188</v>
      </c>
      <c r="B3" s="11" t="s">
        <v>1189</v>
      </c>
      <c r="C3" s="11" t="s">
        <v>1190</v>
      </c>
      <c r="D3" s="11" t="s">
        <v>1191</v>
      </c>
      <c r="E3" s="11" t="s">
        <v>1192</v>
      </c>
      <c r="F3" s="3" t="s">
        <v>1193</v>
      </c>
      <c r="G3" s="3" t="s">
        <v>1194</v>
      </c>
      <c r="H3" s="3" t="s">
        <v>1195</v>
      </c>
    </row>
    <row r="4" customFormat="false" ht="48" hidden="false" customHeight="true" outlineLevel="0" collapsed="false">
      <c r="A4" s="7" t="s">
        <v>1109</v>
      </c>
      <c r="B4" s="5" t="s">
        <v>1196</v>
      </c>
      <c r="C4" s="5" t="s">
        <v>1197</v>
      </c>
      <c r="D4" s="7" t="s">
        <v>1198</v>
      </c>
      <c r="E4" s="7" t="s">
        <v>1199</v>
      </c>
      <c r="F4" s="7" t="s">
        <v>1200</v>
      </c>
      <c r="G4" s="7" t="s">
        <v>1201</v>
      </c>
      <c r="H4" s="5" t="s">
        <v>1202</v>
      </c>
    </row>
    <row r="5" customFormat="false" ht="48" hidden="false" customHeight="true" outlineLevel="0" collapsed="false">
      <c r="A5" s="9" t="s">
        <v>1203</v>
      </c>
      <c r="B5" s="9" t="s">
        <v>1204</v>
      </c>
      <c r="C5" s="9" t="s">
        <v>1205</v>
      </c>
      <c r="D5" s="9" t="s">
        <v>1206</v>
      </c>
      <c r="E5" s="8" t="s">
        <v>1207</v>
      </c>
      <c r="F5" s="9" t="s">
        <v>1208</v>
      </c>
      <c r="G5" s="9" t="s">
        <v>1201</v>
      </c>
      <c r="H5" s="9" t="s">
        <v>1209</v>
      </c>
    </row>
    <row r="6" customFormat="false" ht="48" hidden="false" customHeight="true" outlineLevel="0" collapsed="false">
      <c r="A6" s="9" t="s">
        <v>1210</v>
      </c>
      <c r="B6" s="9" t="s">
        <v>1211</v>
      </c>
      <c r="C6" s="9" t="s">
        <v>1212</v>
      </c>
      <c r="D6" s="9" t="s">
        <v>1206</v>
      </c>
      <c r="E6" s="8" t="s">
        <v>1213</v>
      </c>
      <c r="F6" s="8"/>
      <c r="G6" s="9" t="s">
        <v>1214</v>
      </c>
      <c r="H6" s="9" t="s">
        <v>1215</v>
      </c>
    </row>
    <row r="7" customFormat="false" ht="48" hidden="false" customHeight="true" outlineLevel="0" collapsed="false">
      <c r="A7" s="9" t="s">
        <v>1216</v>
      </c>
      <c r="B7" s="9" t="s">
        <v>1217</v>
      </c>
      <c r="C7" s="9" t="s">
        <v>1218</v>
      </c>
      <c r="D7" s="9" t="s">
        <v>1206</v>
      </c>
      <c r="E7" s="8" t="s">
        <v>1219</v>
      </c>
      <c r="F7" s="8"/>
      <c r="G7" s="9" t="s">
        <v>1214</v>
      </c>
      <c r="H7" s="9" t="s">
        <v>1220</v>
      </c>
    </row>
    <row r="8" customFormat="false" ht="48" hidden="false" customHeight="true" outlineLevel="0" collapsed="false">
      <c r="A8" s="9" t="s">
        <v>1221</v>
      </c>
      <c r="B8" s="8" t="s">
        <v>1222</v>
      </c>
      <c r="C8" s="8" t="s">
        <v>1223</v>
      </c>
      <c r="D8" s="9" t="s">
        <v>1224</v>
      </c>
      <c r="E8" s="8" t="s">
        <v>1225</v>
      </c>
      <c r="F8" s="8"/>
      <c r="G8" s="9" t="s">
        <v>1214</v>
      </c>
      <c r="H8" s="8" t="s">
        <v>1226</v>
      </c>
    </row>
    <row r="9" customFormat="false" ht="48" hidden="false" customHeight="true" outlineLevel="0" collapsed="false">
      <c r="A9" s="9" t="s">
        <v>1227</v>
      </c>
      <c r="B9" s="8" t="s">
        <v>1228</v>
      </c>
      <c r="C9" s="8" t="s">
        <v>1229</v>
      </c>
      <c r="D9" s="9" t="s">
        <v>1224</v>
      </c>
      <c r="E9" s="8" t="s">
        <v>1230</v>
      </c>
      <c r="F9" s="9" t="s">
        <v>1231</v>
      </c>
      <c r="G9" s="9" t="s">
        <v>1201</v>
      </c>
      <c r="H9" s="9" t="s">
        <v>1232</v>
      </c>
    </row>
    <row r="10" customFormat="false" ht="48" hidden="false" customHeight="true" outlineLevel="0" collapsed="false">
      <c r="A10" s="9" t="s">
        <v>1233</v>
      </c>
      <c r="B10" s="8" t="s">
        <v>1234</v>
      </c>
      <c r="C10" s="9" t="s">
        <v>1235</v>
      </c>
      <c r="D10" s="9" t="s">
        <v>1224</v>
      </c>
      <c r="E10" s="8" t="s">
        <v>1236</v>
      </c>
      <c r="F10" s="8"/>
      <c r="G10" s="9" t="s">
        <v>1214</v>
      </c>
      <c r="H10" s="9" t="s">
        <v>1237</v>
      </c>
    </row>
    <row r="11" customFormat="false" ht="48" hidden="false" customHeight="true" outlineLevel="0" collapsed="false">
      <c r="A11" s="9" t="s">
        <v>1238</v>
      </c>
      <c r="B11" s="8" t="s">
        <v>1239</v>
      </c>
      <c r="C11" s="9" t="s">
        <v>1240</v>
      </c>
      <c r="D11" s="9" t="s">
        <v>1241</v>
      </c>
      <c r="E11" s="8" t="s">
        <v>1242</v>
      </c>
      <c r="F11" s="8" t="s">
        <v>1243</v>
      </c>
      <c r="G11" s="9" t="s">
        <v>1244</v>
      </c>
      <c r="H11" s="9" t="s">
        <v>1245</v>
      </c>
    </row>
    <row r="12" customFormat="false" ht="48" hidden="false" customHeight="true" outlineLevel="0" collapsed="false">
      <c r="A12" s="9" t="s">
        <v>1246</v>
      </c>
      <c r="B12" s="8" t="s">
        <v>1247</v>
      </c>
      <c r="C12" s="9" t="s">
        <v>1248</v>
      </c>
      <c r="D12" s="9" t="s">
        <v>1249</v>
      </c>
      <c r="E12" s="8" t="s">
        <v>1250</v>
      </c>
      <c r="F12" s="8"/>
      <c r="G12" s="9" t="s">
        <v>1214</v>
      </c>
      <c r="H12" s="9" t="s">
        <v>1251</v>
      </c>
    </row>
    <row r="13" customFormat="false" ht="48" hidden="false" customHeight="true" outlineLevel="0" collapsed="false">
      <c r="A13" s="9" t="s">
        <v>1252</v>
      </c>
      <c r="B13" s="8" t="s">
        <v>1253</v>
      </c>
      <c r="C13" s="9" t="s">
        <v>1254</v>
      </c>
      <c r="D13" s="9" t="s">
        <v>1255</v>
      </c>
      <c r="E13" s="9" t="s">
        <v>1256</v>
      </c>
      <c r="F13" s="8"/>
      <c r="G13" s="9" t="s">
        <v>1214</v>
      </c>
      <c r="H13" s="8" t="s">
        <v>1257</v>
      </c>
    </row>
    <row r="14" customFormat="false" ht="48" hidden="false" customHeight="true" outlineLevel="0" collapsed="false">
      <c r="A14" s="9" t="s">
        <v>1258</v>
      </c>
      <c r="B14" s="9" t="s">
        <v>1259</v>
      </c>
      <c r="C14" s="8" t="s">
        <v>1260</v>
      </c>
      <c r="D14" s="9" t="s">
        <v>1255</v>
      </c>
      <c r="E14" s="8" t="s">
        <v>1261</v>
      </c>
      <c r="F14" s="8"/>
      <c r="G14" s="9" t="s">
        <v>1214</v>
      </c>
      <c r="H14" s="9" t="s">
        <v>1262</v>
      </c>
    </row>
    <row r="15" customFormat="false" ht="48" hidden="false" customHeight="true" outlineLevel="0" collapsed="false">
      <c r="A15" s="9" t="s">
        <v>1263</v>
      </c>
      <c r="B15" s="8" t="s">
        <v>1264</v>
      </c>
      <c r="C15" s="8" t="s">
        <v>1265</v>
      </c>
      <c r="D15" s="9" t="s">
        <v>1255</v>
      </c>
      <c r="E15" s="8" t="s">
        <v>1266</v>
      </c>
      <c r="F15" s="8"/>
      <c r="G15" s="9" t="s">
        <v>1201</v>
      </c>
      <c r="H15" s="9" t="s">
        <v>1267</v>
      </c>
    </row>
    <row r="16" customFormat="false" ht="48" hidden="false" customHeight="true" outlineLevel="0" collapsed="false">
      <c r="A16" s="9" t="s">
        <v>1268</v>
      </c>
      <c r="B16" s="9" t="s">
        <v>1269</v>
      </c>
      <c r="C16" s="9" t="s">
        <v>1270</v>
      </c>
      <c r="D16" s="9" t="s">
        <v>1255</v>
      </c>
      <c r="E16" s="8" t="s">
        <v>1271</v>
      </c>
      <c r="F16" s="9" t="s">
        <v>1272</v>
      </c>
      <c r="G16" s="9" t="s">
        <v>1201</v>
      </c>
      <c r="H16" s="9" t="s">
        <v>1273</v>
      </c>
    </row>
    <row r="17" customFormat="false" ht="48" hidden="false" customHeight="true" outlineLevel="0" collapsed="false">
      <c r="A17" s="9" t="s">
        <v>1274</v>
      </c>
      <c r="B17" s="8" t="s">
        <v>1275</v>
      </c>
      <c r="C17" s="9" t="s">
        <v>1276</v>
      </c>
      <c r="D17" s="9" t="s">
        <v>1198</v>
      </c>
      <c r="E17" s="8" t="s">
        <v>1277</v>
      </c>
      <c r="F17" s="8"/>
      <c r="G17" s="9" t="s">
        <v>1214</v>
      </c>
      <c r="H17" s="8" t="s">
        <v>1278</v>
      </c>
    </row>
  </sheetData>
  <mergeCells count="1">
    <mergeCell ref="A1:H1"/>
  </mergeCells>
  <conditionalFormatting sqref="D4:D17">
    <cfRule type="containsText" priority="2" operator="containsText" aboveAverage="0" equalAverage="0" bottom="0" percent="0" rank="0" text="BLOCK" dxfId="42">
      <formula>NOT(ISERROR(SEARCH("BLOCK",D4)))</formula>
    </cfRule>
    <cfRule type="containsText" priority="3" operator="containsText" aboveAverage="0" equalAverage="0" bottom="0" percent="0" rank="0" text="NEEDS" dxfId="43">
      <formula>NOT(ISERROR(SEARCH("NEEDS",D4)))</formula>
    </cfRule>
    <cfRule type="containsText" priority="4" operator="containsText" aboveAverage="0" equalAverage="0" bottom="0" percent="0" rank="0" text="READY" dxfId="44">
      <formula>NOT(ISERROR(SEARCH("READY",D4)))</formula>
    </cfRule>
    <cfRule type="containsText" priority="5" operator="containsText" aboveAverage="0" equalAverage="0" bottom="0" percent="0" rank="0" text="COMPLETED" dxfId="45">
      <formula>NOT(ISERROR(SEARCH("COMPLETED",D4)))</formula>
    </cfRule>
    <cfRule type="containsText" priority="6" operator="containsText" aboveAverage="0" equalAverage="0" bottom="0" percent="0" rank="0" text="SUPERSEDED" dxfId="46">
      <formula>NOT(ISERROR(SEARCH("SUPERSEDED",D4)))</formula>
    </cfRule>
    <cfRule type="containsText" priority="7" operator="containsText" aboveAverage="0" equalAverage="0" bottom="0" percent="0" rank="0" text="N/A" dxfId="47">
      <formula>NOT(ISERROR(SEARCH("N/A",D4)))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2.77"/>
    <col collapsed="false" customWidth="true" hidden="false" outlineLevel="0" max="2" min="2" style="0" width="35.29"/>
    <col collapsed="false" customWidth="true" hidden="false" outlineLevel="0" max="4" min="3" style="0" width="63.02"/>
  </cols>
  <sheetData>
    <row r="1" customFormat="false" ht="30" hidden="false" customHeight="true" outlineLevel="0" collapsed="false">
      <c r="A1" s="10" t="s">
        <v>1279</v>
      </c>
      <c r="B1" s="10"/>
      <c r="C1" s="10"/>
      <c r="D1" s="10"/>
    </row>
    <row r="2" customFormat="false" ht="34" hidden="false" customHeight="true" outlineLevel="0" collapsed="false">
      <c r="A2" s="16" t="s">
        <v>1280</v>
      </c>
      <c r="B2" s="16"/>
      <c r="C2" s="16"/>
      <c r="D2" s="16"/>
    </row>
    <row r="4" customFormat="false" ht="30" hidden="false" customHeight="true" outlineLevel="0" collapsed="false">
      <c r="A4" s="2" t="s">
        <v>1281</v>
      </c>
      <c r="B4" s="11" t="s">
        <v>1282</v>
      </c>
      <c r="C4" s="11" t="s">
        <v>1283</v>
      </c>
      <c r="D4" s="3" t="s">
        <v>1284</v>
      </c>
    </row>
    <row r="5" customFormat="false" ht="46" hidden="false" customHeight="true" outlineLevel="0" collapsed="false">
      <c r="A5" s="7" t="s">
        <v>89</v>
      </c>
      <c r="B5" s="5" t="s">
        <v>1285</v>
      </c>
      <c r="C5" s="5" t="s">
        <v>1286</v>
      </c>
      <c r="D5" s="5" t="s">
        <v>1287</v>
      </c>
    </row>
    <row r="6" customFormat="false" ht="46" hidden="false" customHeight="true" outlineLevel="0" collapsed="false">
      <c r="A6" s="9" t="s">
        <v>54</v>
      </c>
      <c r="B6" s="9" t="s">
        <v>1288</v>
      </c>
      <c r="C6" s="8" t="s">
        <v>1289</v>
      </c>
      <c r="D6" s="9" t="s">
        <v>1290</v>
      </c>
    </row>
    <row r="7" customFormat="false" ht="46" hidden="false" customHeight="true" outlineLevel="0" collapsed="false">
      <c r="A7" s="9" t="s">
        <v>1291</v>
      </c>
      <c r="B7" s="8" t="s">
        <v>1292</v>
      </c>
      <c r="C7" s="8" t="s">
        <v>1293</v>
      </c>
      <c r="D7" s="8" t="s">
        <v>1294</v>
      </c>
    </row>
    <row r="8" customFormat="false" ht="46" hidden="false" customHeight="true" outlineLevel="0" collapsed="false">
      <c r="A8" s="9" t="s">
        <v>1295</v>
      </c>
      <c r="B8" s="8" t="s">
        <v>1296</v>
      </c>
      <c r="C8" s="8" t="s">
        <v>1297</v>
      </c>
      <c r="D8" s="8" t="s">
        <v>1298</v>
      </c>
    </row>
    <row r="9" customFormat="false" ht="46" hidden="false" customHeight="true" outlineLevel="0" collapsed="false">
      <c r="A9" s="9" t="s">
        <v>1299</v>
      </c>
      <c r="B9" s="8" t="s">
        <v>1300</v>
      </c>
      <c r="C9" s="8" t="s">
        <v>1301</v>
      </c>
      <c r="D9" s="8" t="s">
        <v>1302</v>
      </c>
    </row>
    <row r="10" customFormat="false" ht="46" hidden="false" customHeight="true" outlineLevel="0" collapsed="false">
      <c r="A10" s="9" t="s">
        <v>1303</v>
      </c>
      <c r="B10" s="8" t="s">
        <v>1304</v>
      </c>
      <c r="C10" s="8" t="s">
        <v>1305</v>
      </c>
      <c r="D10" s="9" t="s">
        <v>1306</v>
      </c>
    </row>
    <row r="11" customFormat="false" ht="46" hidden="false" customHeight="true" outlineLevel="0" collapsed="false">
      <c r="A11" s="9" t="s">
        <v>1307</v>
      </c>
      <c r="B11" s="8" t="s">
        <v>1308</v>
      </c>
      <c r="C11" s="8" t="s">
        <v>1309</v>
      </c>
      <c r="D11" s="8" t="s">
        <v>1310</v>
      </c>
    </row>
    <row r="12" customFormat="false" ht="46" hidden="false" customHeight="true" outlineLevel="0" collapsed="false">
      <c r="A12" s="9" t="s">
        <v>1311</v>
      </c>
      <c r="B12" s="8" t="s">
        <v>1312</v>
      </c>
      <c r="C12" s="8" t="s">
        <v>1313</v>
      </c>
      <c r="D12" s="8" t="s">
        <v>1314</v>
      </c>
    </row>
    <row r="13" customFormat="false" ht="46" hidden="false" customHeight="true" outlineLevel="0" collapsed="false">
      <c r="A13" s="9" t="s">
        <v>1315</v>
      </c>
      <c r="B13" s="8" t="s">
        <v>1316</v>
      </c>
      <c r="C13" s="8" t="s">
        <v>1317</v>
      </c>
      <c r="D13" s="8" t="s">
        <v>1318</v>
      </c>
    </row>
    <row r="14" customFormat="false" ht="46" hidden="false" customHeight="true" outlineLevel="0" collapsed="false">
      <c r="A14" s="9" t="s">
        <v>1319</v>
      </c>
      <c r="B14" s="8" t="s">
        <v>1320</v>
      </c>
      <c r="C14" s="8" t="s">
        <v>1321</v>
      </c>
      <c r="D14" s="8" t="s">
        <v>1322</v>
      </c>
    </row>
    <row r="15" customFormat="false" ht="46" hidden="false" customHeight="true" outlineLevel="0" collapsed="false">
      <c r="A15" s="9" t="s">
        <v>1323</v>
      </c>
      <c r="B15" s="8" t="s">
        <v>1324</v>
      </c>
      <c r="C15" s="8" t="s">
        <v>1325</v>
      </c>
      <c r="D15" s="8" t="s">
        <v>1326</v>
      </c>
    </row>
    <row r="16" customFormat="false" ht="46" hidden="false" customHeight="true" outlineLevel="0" collapsed="false">
      <c r="A16" s="9" t="s">
        <v>1327</v>
      </c>
      <c r="B16" s="8" t="s">
        <v>1328</v>
      </c>
      <c r="C16" s="8" t="s">
        <v>1329</v>
      </c>
      <c r="D16" s="8" t="s">
        <v>1330</v>
      </c>
    </row>
    <row r="17" customFormat="false" ht="46" hidden="false" customHeight="true" outlineLevel="0" collapsed="false">
      <c r="A17" s="9" t="s">
        <v>1331</v>
      </c>
      <c r="B17" s="8" t="s">
        <v>1332</v>
      </c>
      <c r="C17" s="8" t="s">
        <v>1333</v>
      </c>
      <c r="D17" s="9" t="s">
        <v>1334</v>
      </c>
    </row>
    <row r="18" customFormat="false" ht="46" hidden="false" customHeight="true" outlineLevel="0" collapsed="false">
      <c r="A18" s="9" t="s">
        <v>1335</v>
      </c>
      <c r="B18" s="8" t="s">
        <v>1336</v>
      </c>
      <c r="C18" s="9" t="s">
        <v>1337</v>
      </c>
      <c r="D18" s="9" t="s">
        <v>1338</v>
      </c>
    </row>
    <row r="19" customFormat="false" ht="46" hidden="false" customHeight="true" outlineLevel="0" collapsed="false">
      <c r="A19" s="9" t="s">
        <v>1339</v>
      </c>
      <c r="B19" s="8" t="s">
        <v>1340</v>
      </c>
      <c r="C19" s="9" t="s">
        <v>1341</v>
      </c>
      <c r="D19" s="8" t="s">
        <v>1342</v>
      </c>
    </row>
    <row r="20" customFormat="false" ht="46" hidden="false" customHeight="true" outlineLevel="0" collapsed="false">
      <c r="A20" s="9" t="s">
        <v>1343</v>
      </c>
      <c r="B20" s="8" t="s">
        <v>1344</v>
      </c>
      <c r="C20" s="8" t="s">
        <v>1345</v>
      </c>
      <c r="D20" s="8" t="s">
        <v>1346</v>
      </c>
    </row>
    <row r="21" customFormat="false" ht="46" hidden="false" customHeight="true" outlineLevel="0" collapsed="false">
      <c r="A21" s="9" t="s">
        <v>900</v>
      </c>
      <c r="B21" s="8" t="s">
        <v>1347</v>
      </c>
      <c r="C21" s="8" t="s">
        <v>1348</v>
      </c>
      <c r="D21" s="8" t="s">
        <v>1349</v>
      </c>
    </row>
    <row r="22" customFormat="false" ht="46" hidden="false" customHeight="true" outlineLevel="0" collapsed="false">
      <c r="A22" s="9" t="s">
        <v>1350</v>
      </c>
      <c r="B22" s="8" t="s">
        <v>1351</v>
      </c>
      <c r="C22" s="9" t="s">
        <v>1352</v>
      </c>
      <c r="D22" s="8" t="s">
        <v>1353</v>
      </c>
    </row>
    <row r="23" customFormat="false" ht="46" hidden="false" customHeight="true" outlineLevel="0" collapsed="false">
      <c r="A23" s="9" t="s">
        <v>1354</v>
      </c>
      <c r="B23" s="8" t="s">
        <v>1355</v>
      </c>
      <c r="C23" s="9" t="s">
        <v>1356</v>
      </c>
      <c r="D23" s="8" t="s">
        <v>1357</v>
      </c>
    </row>
    <row r="24" customFormat="false" ht="46" hidden="false" customHeight="true" outlineLevel="0" collapsed="false">
      <c r="A24" s="9" t="s">
        <v>1358</v>
      </c>
      <c r="B24" s="8" t="s">
        <v>1359</v>
      </c>
      <c r="C24" s="8" t="s">
        <v>1360</v>
      </c>
      <c r="D24" s="8" t="s">
        <v>1361</v>
      </c>
    </row>
    <row r="25" customFormat="false" ht="46" hidden="false" customHeight="true" outlineLevel="0" collapsed="false">
      <c r="A25" s="9" t="s">
        <v>1362</v>
      </c>
      <c r="B25" s="8" t="s">
        <v>1363</v>
      </c>
      <c r="C25" s="8" t="s">
        <v>1364</v>
      </c>
      <c r="D25" s="8" t="s">
        <v>1365</v>
      </c>
    </row>
    <row r="26" customFormat="false" ht="46" hidden="false" customHeight="true" outlineLevel="0" collapsed="false">
      <c r="A26" s="9" t="s">
        <v>1366</v>
      </c>
      <c r="B26" s="8" t="s">
        <v>1367</v>
      </c>
      <c r="C26" s="8" t="s">
        <v>1368</v>
      </c>
      <c r="D26" s="8" t="s">
        <v>1369</v>
      </c>
    </row>
    <row r="27" customFormat="false" ht="46" hidden="false" customHeight="true" outlineLevel="0" collapsed="false">
      <c r="A27" s="9" t="s">
        <v>1370</v>
      </c>
      <c r="B27" s="8" t="s">
        <v>1371</v>
      </c>
      <c r="C27" s="8" t="s">
        <v>1372</v>
      </c>
      <c r="D27" s="8" t="s">
        <v>1373</v>
      </c>
    </row>
    <row r="28" customFormat="false" ht="46" hidden="false" customHeight="true" outlineLevel="0" collapsed="false">
      <c r="A28" s="9" t="s">
        <v>1374</v>
      </c>
      <c r="B28" s="8" t="s">
        <v>1375</v>
      </c>
      <c r="C28" s="8" t="s">
        <v>1376</v>
      </c>
      <c r="D28" s="8" t="s">
        <v>1377</v>
      </c>
    </row>
    <row r="29" customFormat="false" ht="46" hidden="false" customHeight="true" outlineLevel="0" collapsed="false">
      <c r="A29" s="9" t="s">
        <v>1378</v>
      </c>
      <c r="B29" s="8" t="s">
        <v>1379</v>
      </c>
      <c r="C29" s="8" t="s">
        <v>1380</v>
      </c>
      <c r="D29" s="9" t="s">
        <v>1381</v>
      </c>
    </row>
    <row r="30" customFormat="false" ht="46" hidden="false" customHeight="true" outlineLevel="0" collapsed="false">
      <c r="A30" s="9" t="s">
        <v>1382</v>
      </c>
      <c r="B30" s="8" t="s">
        <v>1383</v>
      </c>
      <c r="C30" s="8" t="s">
        <v>1384</v>
      </c>
      <c r="D30" s="8" t="s">
        <v>1385</v>
      </c>
    </row>
    <row r="31" customFormat="false" ht="46" hidden="false" customHeight="true" outlineLevel="0" collapsed="false">
      <c r="A31" s="9" t="s">
        <v>1386</v>
      </c>
      <c r="B31" s="8" t="s">
        <v>530</v>
      </c>
      <c r="C31" s="8" t="s">
        <v>1387</v>
      </c>
      <c r="D31" s="9" t="s">
        <v>1388</v>
      </c>
    </row>
    <row r="32" customFormat="false" ht="46" hidden="false" customHeight="true" outlineLevel="0" collapsed="false">
      <c r="A32" s="9" t="s">
        <v>1389</v>
      </c>
      <c r="B32" s="8" t="s">
        <v>1390</v>
      </c>
      <c r="C32" s="8" t="s">
        <v>1391</v>
      </c>
      <c r="D32" s="8" t="s">
        <v>1392</v>
      </c>
    </row>
    <row r="33" customFormat="false" ht="46" hidden="false" customHeight="true" outlineLevel="0" collapsed="false">
      <c r="A33" s="9" t="s">
        <v>1393</v>
      </c>
      <c r="B33" s="8" t="s">
        <v>1394</v>
      </c>
      <c r="C33" s="8" t="s">
        <v>1395</v>
      </c>
      <c r="D33" s="8" t="s">
        <v>1396</v>
      </c>
    </row>
    <row r="34" customFormat="false" ht="46" hidden="false" customHeight="true" outlineLevel="0" collapsed="false">
      <c r="A34" s="9" t="s">
        <v>1397</v>
      </c>
      <c r="B34" s="8" t="s">
        <v>1398</v>
      </c>
      <c r="C34" s="8" t="s">
        <v>1399</v>
      </c>
      <c r="D34" s="8" t="s">
        <v>1400</v>
      </c>
    </row>
    <row r="35" customFormat="false" ht="46" hidden="false" customHeight="true" outlineLevel="0" collapsed="false">
      <c r="A35" s="9" t="s">
        <v>1401</v>
      </c>
      <c r="B35" s="8" t="s">
        <v>1402</v>
      </c>
      <c r="C35" s="8" t="s">
        <v>1403</v>
      </c>
      <c r="D35" s="8" t="s">
        <v>1404</v>
      </c>
    </row>
    <row r="36" customFormat="false" ht="46" hidden="false" customHeight="true" outlineLevel="0" collapsed="false">
      <c r="A36" s="9" t="s">
        <v>685</v>
      </c>
      <c r="B36" s="8" t="s">
        <v>1405</v>
      </c>
      <c r="C36" s="9" t="s">
        <v>1406</v>
      </c>
      <c r="D36" s="8" t="s">
        <v>1407</v>
      </c>
    </row>
    <row r="37" customFormat="false" ht="46" hidden="false" customHeight="true" outlineLevel="0" collapsed="false">
      <c r="A37" s="9" t="s">
        <v>1408</v>
      </c>
      <c r="B37" s="8" t="s">
        <v>1409</v>
      </c>
      <c r="C37" s="9" t="s">
        <v>1410</v>
      </c>
      <c r="D37" s="8" t="s">
        <v>1411</v>
      </c>
    </row>
    <row r="38" customFormat="false" ht="46" hidden="false" customHeight="true" outlineLevel="0" collapsed="false">
      <c r="A38" s="9" t="s">
        <v>1412</v>
      </c>
      <c r="B38" s="8" t="s">
        <v>1413</v>
      </c>
      <c r="C38" s="8" t="s">
        <v>1414</v>
      </c>
      <c r="D38" s="8" t="s">
        <v>1415</v>
      </c>
    </row>
    <row r="39" customFormat="false" ht="46" hidden="false" customHeight="true" outlineLevel="0" collapsed="false">
      <c r="A39" s="9" t="s">
        <v>1416</v>
      </c>
      <c r="B39" s="8" t="s">
        <v>1417</v>
      </c>
      <c r="C39" s="9" t="s">
        <v>1418</v>
      </c>
      <c r="D39" s="8" t="s">
        <v>1419</v>
      </c>
    </row>
    <row r="40" customFormat="false" ht="46" hidden="false" customHeight="true" outlineLevel="0" collapsed="false">
      <c r="A40" s="9" t="s">
        <v>926</v>
      </c>
      <c r="B40" s="8" t="s">
        <v>1420</v>
      </c>
      <c r="C40" s="9" t="s">
        <v>1421</v>
      </c>
      <c r="D40" s="8" t="s">
        <v>1422</v>
      </c>
    </row>
    <row r="41" customFormat="false" ht="46" hidden="false" customHeight="true" outlineLevel="0" collapsed="false">
      <c r="A41" s="9" t="s">
        <v>1423</v>
      </c>
      <c r="B41" s="8" t="s">
        <v>1424</v>
      </c>
      <c r="C41" s="9" t="s">
        <v>1425</v>
      </c>
      <c r="D41" s="8" t="s">
        <v>1426</v>
      </c>
    </row>
    <row r="42" customFormat="false" ht="46" hidden="false" customHeight="true" outlineLevel="0" collapsed="false">
      <c r="A42" s="9" t="s">
        <v>1427</v>
      </c>
      <c r="B42" s="8" t="s">
        <v>1428</v>
      </c>
      <c r="C42" s="9" t="s">
        <v>1429</v>
      </c>
      <c r="D42" s="9" t="s">
        <v>1430</v>
      </c>
    </row>
    <row r="43" customFormat="false" ht="46" hidden="false" customHeight="true" outlineLevel="0" collapsed="false">
      <c r="A43" s="9" t="s">
        <v>1431</v>
      </c>
      <c r="B43" s="8" t="s">
        <v>1432</v>
      </c>
      <c r="C43" s="8" t="s">
        <v>1433</v>
      </c>
      <c r="D43" s="9" t="s">
        <v>1434</v>
      </c>
    </row>
    <row r="44" customFormat="false" ht="46" hidden="false" customHeight="true" outlineLevel="0" collapsed="false">
      <c r="A44" s="9" t="s">
        <v>1435</v>
      </c>
      <c r="B44" s="8" t="s">
        <v>1436</v>
      </c>
      <c r="C44" s="8" t="s">
        <v>1437</v>
      </c>
      <c r="D44" s="9" t="s">
        <v>1438</v>
      </c>
    </row>
    <row r="45" customFormat="false" ht="46" hidden="false" customHeight="true" outlineLevel="0" collapsed="false">
      <c r="A45" s="9" t="s">
        <v>1439</v>
      </c>
      <c r="B45" s="8" t="s">
        <v>1440</v>
      </c>
      <c r="C45" s="9" t="s">
        <v>1441</v>
      </c>
      <c r="D45" s="8" t="s">
        <v>1442</v>
      </c>
    </row>
    <row r="46" customFormat="false" ht="46" hidden="false" customHeight="true" outlineLevel="0" collapsed="false">
      <c r="A46" s="9" t="s">
        <v>1443</v>
      </c>
      <c r="B46" s="8" t="s">
        <v>528</v>
      </c>
      <c r="C46" s="8" t="s">
        <v>1444</v>
      </c>
      <c r="D46" s="8" t="s">
        <v>1445</v>
      </c>
    </row>
    <row r="47" customFormat="false" ht="46" hidden="false" customHeight="true" outlineLevel="0" collapsed="false">
      <c r="A47" s="9" t="s">
        <v>1446</v>
      </c>
      <c r="B47" s="8" t="s">
        <v>1447</v>
      </c>
      <c r="C47" s="8" t="s">
        <v>1448</v>
      </c>
      <c r="D47" s="8" t="s">
        <v>1449</v>
      </c>
    </row>
    <row r="48" customFormat="false" ht="46" hidden="false" customHeight="true" outlineLevel="0" collapsed="false">
      <c r="A48" s="9" t="s">
        <v>1450</v>
      </c>
      <c r="B48" s="8" t="s">
        <v>1451</v>
      </c>
      <c r="C48" s="8" t="s">
        <v>1452</v>
      </c>
      <c r="D48" s="8" t="s">
        <v>1453</v>
      </c>
    </row>
    <row r="49" customFormat="false" ht="46" hidden="false" customHeight="true" outlineLevel="0" collapsed="false">
      <c r="A49" s="9" t="s">
        <v>1454</v>
      </c>
      <c r="B49" s="8" t="s">
        <v>1455</v>
      </c>
      <c r="C49" s="8" t="s">
        <v>1456</v>
      </c>
      <c r="D49" s="9" t="s">
        <v>1457</v>
      </c>
    </row>
    <row r="50" customFormat="false" ht="46" hidden="false" customHeight="true" outlineLevel="0" collapsed="false">
      <c r="A50" s="9" t="s">
        <v>1458</v>
      </c>
      <c r="B50" s="8" t="s">
        <v>1459</v>
      </c>
      <c r="C50" s="9" t="s">
        <v>1460</v>
      </c>
      <c r="D50" s="9" t="s">
        <v>1461</v>
      </c>
    </row>
    <row r="51" customFormat="false" ht="46" hidden="false" customHeight="true" outlineLevel="0" collapsed="false">
      <c r="A51" s="9" t="s">
        <v>1462</v>
      </c>
      <c r="B51" s="8" t="s">
        <v>1463</v>
      </c>
      <c r="C51" s="8" t="s">
        <v>1464</v>
      </c>
      <c r="D51" s="8" t="s">
        <v>1465</v>
      </c>
    </row>
    <row r="52" customFormat="false" ht="46" hidden="false" customHeight="true" outlineLevel="0" collapsed="false">
      <c r="A52" s="9" t="s">
        <v>1466</v>
      </c>
      <c r="B52" s="8" t="s">
        <v>1467</v>
      </c>
      <c r="C52" s="8" t="s">
        <v>1468</v>
      </c>
      <c r="D52" s="8" t="s">
        <v>1469</v>
      </c>
    </row>
    <row r="53" customFormat="false" ht="46" hidden="false" customHeight="true" outlineLevel="0" collapsed="false">
      <c r="A53" s="9" t="s">
        <v>1470</v>
      </c>
      <c r="B53" s="8" t="s">
        <v>1471</v>
      </c>
      <c r="C53" s="8" t="s">
        <v>1472</v>
      </c>
      <c r="D53" s="8" t="s">
        <v>1473</v>
      </c>
    </row>
    <row r="54" customFormat="false" ht="46" hidden="false" customHeight="true" outlineLevel="0" collapsed="false">
      <c r="A54" s="9" t="s">
        <v>1474</v>
      </c>
      <c r="B54" s="8" t="s">
        <v>1475</v>
      </c>
      <c r="C54" s="8" t="s">
        <v>1476</v>
      </c>
      <c r="D54" s="9" t="s">
        <v>1477</v>
      </c>
    </row>
    <row r="55" customFormat="false" ht="46" hidden="false" customHeight="true" outlineLevel="0" collapsed="false">
      <c r="A55" s="9" t="s">
        <v>1478</v>
      </c>
      <c r="B55" s="8" t="s">
        <v>1479</v>
      </c>
      <c r="C55" s="8" t="s">
        <v>1480</v>
      </c>
      <c r="D55" s="9" t="s">
        <v>1481</v>
      </c>
    </row>
    <row r="56" customFormat="false" ht="46" hidden="false" customHeight="true" outlineLevel="0" collapsed="false">
      <c r="A56" s="9" t="s">
        <v>1482</v>
      </c>
      <c r="B56" s="8" t="s">
        <v>1483</v>
      </c>
      <c r="C56" s="8" t="s">
        <v>1484</v>
      </c>
      <c r="D56" s="9" t="s">
        <v>1485</v>
      </c>
    </row>
    <row r="57" customFormat="false" ht="46" hidden="false" customHeight="true" outlineLevel="0" collapsed="false">
      <c r="A57" s="9" t="s">
        <v>1486</v>
      </c>
      <c r="B57" s="8" t="s">
        <v>1487</v>
      </c>
      <c r="C57" s="9" t="s">
        <v>1488</v>
      </c>
      <c r="D57" s="8" t="s">
        <v>1489</v>
      </c>
    </row>
    <row r="58" customFormat="false" ht="46" hidden="false" customHeight="true" outlineLevel="0" collapsed="false">
      <c r="A58" s="9" t="s">
        <v>1490</v>
      </c>
      <c r="B58" s="8" t="s">
        <v>1491</v>
      </c>
      <c r="C58" s="8" t="s">
        <v>1492</v>
      </c>
      <c r="D58" s="9" t="s">
        <v>1493</v>
      </c>
    </row>
    <row r="59" customFormat="false" ht="46" hidden="false" customHeight="true" outlineLevel="0" collapsed="false">
      <c r="A59" s="9" t="s">
        <v>1119</v>
      </c>
      <c r="B59" s="8" t="s">
        <v>1494</v>
      </c>
      <c r="C59" s="8" t="s">
        <v>1495</v>
      </c>
      <c r="D59" s="9" t="s">
        <v>1496</v>
      </c>
    </row>
    <row r="60" customFormat="false" ht="46" hidden="false" customHeight="true" outlineLevel="0" collapsed="false">
      <c r="A60" s="9" t="s">
        <v>1497</v>
      </c>
      <c r="B60" s="8" t="s">
        <v>1498</v>
      </c>
      <c r="C60" s="8" t="s">
        <v>1499</v>
      </c>
      <c r="D60" s="9" t="s">
        <v>1500</v>
      </c>
    </row>
    <row r="61" customFormat="false" ht="46" hidden="false" customHeight="true" outlineLevel="0" collapsed="false">
      <c r="A61" s="9" t="s">
        <v>1206</v>
      </c>
      <c r="B61" s="8" t="s">
        <v>1501</v>
      </c>
      <c r="C61" s="8" t="s">
        <v>1502</v>
      </c>
      <c r="D61" s="8" t="s">
        <v>1503</v>
      </c>
    </row>
    <row r="62" customFormat="false" ht="46" hidden="false" customHeight="true" outlineLevel="0" collapsed="false">
      <c r="A62" s="9" t="s">
        <v>454</v>
      </c>
      <c r="B62" s="8" t="s">
        <v>1504</v>
      </c>
      <c r="C62" s="8" t="s">
        <v>1505</v>
      </c>
      <c r="D62" s="8" t="s">
        <v>1506</v>
      </c>
    </row>
    <row r="63" customFormat="false" ht="46" hidden="false" customHeight="true" outlineLevel="0" collapsed="false">
      <c r="A63" s="9" t="s">
        <v>108</v>
      </c>
      <c r="B63" s="8" t="s">
        <v>1507</v>
      </c>
      <c r="C63" s="9" t="s">
        <v>1508</v>
      </c>
      <c r="D63" s="8" t="s">
        <v>1509</v>
      </c>
    </row>
    <row r="64" customFormat="false" ht="46" hidden="false" customHeight="true" outlineLevel="0" collapsed="false">
      <c r="A64" s="9" t="s">
        <v>448</v>
      </c>
      <c r="B64" s="8" t="s">
        <v>1510</v>
      </c>
      <c r="C64" s="8" t="s">
        <v>1511</v>
      </c>
      <c r="D64" s="8" t="s">
        <v>1512</v>
      </c>
    </row>
    <row r="65" customFormat="false" ht="46" hidden="false" customHeight="true" outlineLevel="0" collapsed="false">
      <c r="A65" s="9" t="s">
        <v>111</v>
      </c>
      <c r="B65" s="8" t="s">
        <v>1513</v>
      </c>
      <c r="C65" s="8" t="s">
        <v>1514</v>
      </c>
      <c r="D65" s="8" t="s">
        <v>1515</v>
      </c>
    </row>
    <row r="66" customFormat="false" ht="46" hidden="false" customHeight="true" outlineLevel="0" collapsed="false">
      <c r="A66" s="9" t="s">
        <v>135</v>
      </c>
      <c r="B66" s="8" t="s">
        <v>1516</v>
      </c>
      <c r="C66" s="8" t="s">
        <v>1517</v>
      </c>
      <c r="D66" s="8" t="s">
        <v>1518</v>
      </c>
    </row>
    <row r="67" customFormat="false" ht="46" hidden="false" customHeight="true" outlineLevel="0" collapsed="false">
      <c r="A67" s="9" t="s">
        <v>1519</v>
      </c>
      <c r="B67" s="8" t="s">
        <v>1520</v>
      </c>
      <c r="C67" s="8" t="s">
        <v>1521</v>
      </c>
      <c r="D67" s="8" t="s">
        <v>1522</v>
      </c>
    </row>
    <row r="68" customFormat="false" ht="29.85" hidden="false" customHeight="false" outlineLevel="0" collapsed="false">
      <c r="A68" s="9" t="s">
        <v>120</v>
      </c>
      <c r="B68" s="8" t="s">
        <v>1523</v>
      </c>
      <c r="C68" s="9" t="s">
        <v>1524</v>
      </c>
      <c r="D68" s="8" t="s">
        <v>1525</v>
      </c>
    </row>
    <row r="69" customFormat="false" ht="29.85" hidden="false" customHeight="false" outlineLevel="0" collapsed="false">
      <c r="A69" s="9" t="s">
        <v>173</v>
      </c>
      <c r="B69" s="8" t="s">
        <v>1526</v>
      </c>
      <c r="C69" s="9" t="s">
        <v>1527</v>
      </c>
      <c r="D69" s="8" t="s">
        <v>1528</v>
      </c>
    </row>
    <row r="70" customFormat="false" ht="15.65" hidden="false" customHeight="false" outlineLevel="0" collapsed="false">
      <c r="A70" s="9" t="s">
        <v>121</v>
      </c>
      <c r="B70" s="8" t="s">
        <v>1529</v>
      </c>
      <c r="C70" s="8" t="s">
        <v>1530</v>
      </c>
      <c r="D70" s="8" t="s">
        <v>1531</v>
      </c>
    </row>
    <row r="71" customFormat="false" ht="15.65" hidden="false" customHeight="false" outlineLevel="0" collapsed="false">
      <c r="A71" s="9" t="s">
        <v>122</v>
      </c>
      <c r="B71" s="8" t="s">
        <v>1532</v>
      </c>
      <c r="C71" s="8" t="s">
        <v>1533</v>
      </c>
      <c r="D71" s="8" t="s">
        <v>1534</v>
      </c>
    </row>
    <row r="72" customFormat="false" ht="15.65" hidden="false" customHeight="false" outlineLevel="0" collapsed="false">
      <c r="A72" s="9" t="s">
        <v>545</v>
      </c>
      <c r="B72" s="8" t="s">
        <v>1535</v>
      </c>
      <c r="C72" s="8" t="s">
        <v>1536</v>
      </c>
      <c r="D72" s="8" t="s">
        <v>1537</v>
      </c>
    </row>
    <row r="73" customFormat="false" ht="29.85" hidden="false" customHeight="false" outlineLevel="0" collapsed="false">
      <c r="A73" s="9" t="s">
        <v>1538</v>
      </c>
      <c r="B73" s="9" t="s">
        <v>1539</v>
      </c>
      <c r="C73" s="8" t="s">
        <v>1540</v>
      </c>
      <c r="D73" s="8" t="s">
        <v>1541</v>
      </c>
    </row>
    <row r="74" customFormat="false" ht="15.65" hidden="false" customHeight="false" outlineLevel="0" collapsed="false">
      <c r="A74" s="9" t="s">
        <v>1542</v>
      </c>
      <c r="B74" s="8" t="s">
        <v>1543</v>
      </c>
      <c r="C74" s="8" t="s">
        <v>1544</v>
      </c>
      <c r="D74" s="8" t="s">
        <v>1545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2026-08-10T20:09:53Z</dcterms:modified>
  <cp:revision>1</cp:revision>
  <dc:subject/>
  <dc:title/>
</cp:coreProperties>
</file>