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1d1ff36dbf42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47f78c2c334e4a23"/>
    <x:sheet xmlns:r="http://schemas.openxmlformats.org/officeDocument/2006/relationships" name="覆盖规则" sheetId="2" r:id="Rb3cd72aa9f954100"/>
    <x:sheet xmlns:r="http://schemas.openxmlformats.org/officeDocument/2006/relationships" name="Mailbox命令清单" sheetId="3" r:id="R931afad4261643a3"/>
    <x:sheet xmlns:r="http://schemas.openxmlformats.org/officeDocument/2006/relationships" name="Mailbox用例" sheetId="4" r:id="R9f6c06ed5450490a"/>
    <x:sheet xmlns:r="http://schemas.openxmlformats.org/officeDocument/2006/relationships" name="SoC集成用例" sheetId="5" r:id="R9de164ecd09844d1"/>
    <x:sheet xmlns:r="http://schemas.openxmlformats.org/officeDocument/2006/relationships" name="硬件验证需求" sheetId="6" r:id="Rfd00fcbcdeb54012"/>
    <x:sheet xmlns:r="http://schemas.openxmlformats.org/officeDocument/2006/relationships" name="Codex移植指导" sheetId="7" r:id="Rc1b82fa61d66469b"/>
    <x:sheet xmlns:r="http://schemas.openxmlformats.org/officeDocument/2006/relationships" name="工作流记录" sheetId="8" r:id="R146318bf58c04826"/>
    <x:sheet xmlns:r="http://schemas.openxmlformats.org/officeDocument/2006/relationships" name="待确认项" sheetId="9" r:id="R20e7d53db61645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6">
    <x:border/>
    <x:border>
      <x:right style="thin">
        <x:color rgb="FFB4C6E7"/>
      </x:right>
    </x:border>
    <x:border>
      <x:left style="thin">
        <x:color rgb="FFB4C6E7"/>
      </x:left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left style="thin">
        <x:color rgb="FFB4C6E7"/>
      </x:left>
      <x:right style="thin">
        <x:color rgb="FFB4C6E7"/>
      </x:right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200" fontId="3" fillId="0" borderId="3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vertical="center" wrapText="1"/>
    </x:xf>
    <x:xf numFmtId="200" fontId="3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48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57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57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57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57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57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57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57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57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dea7cf348f48d8" /><Relationship Type="http://schemas.openxmlformats.org/officeDocument/2006/relationships/theme" Target="/xl/theme/theme1.xml" Id="Rddbcca19067842a4" /><Relationship Type="http://schemas.openxmlformats.org/officeDocument/2006/relationships/sharedStrings" Target="/xl/sharedStrings.xml" Id="R53438044bc464642" /><Relationship Type="http://schemas.openxmlformats.org/officeDocument/2006/relationships/worksheet" Target="/xl/worksheets/sheet1.xml" Id="R47f78c2c334e4a23" /><Relationship Type="http://schemas.openxmlformats.org/officeDocument/2006/relationships/worksheet" Target="/xl/worksheets/sheet2.xml" Id="Rb3cd72aa9f954100" /><Relationship Type="http://schemas.openxmlformats.org/officeDocument/2006/relationships/worksheet" Target="/xl/worksheets/sheet3.xml" Id="R931afad4261643a3" /><Relationship Type="http://schemas.openxmlformats.org/officeDocument/2006/relationships/worksheet" Target="/xl/worksheets/sheet4.xml" Id="R9f6c06ed5450490a" /><Relationship Type="http://schemas.openxmlformats.org/officeDocument/2006/relationships/worksheet" Target="/xl/worksheets/sheet5.xml" Id="R9de164ecd09844d1" /><Relationship Type="http://schemas.openxmlformats.org/officeDocument/2006/relationships/worksheet" Target="/xl/worksheets/sheet6.xml" Id="Rfd00fcbcdeb54012" /><Relationship Type="http://schemas.openxmlformats.org/officeDocument/2006/relationships/worksheet" Target="/xl/worksheets/sheet7.xml" Id="Rc1b82fa61d66469b" /><Relationship Type="http://schemas.openxmlformats.org/officeDocument/2006/relationships/worksheet" Target="/xl/worksheets/sheet8.xml" Id="R146318bf58c04826" /><Relationship Type="http://schemas.openxmlformats.org/officeDocument/2006/relationships/worksheet" Target="/xl/worksheets/sheet9.xml" Id="R20e7d53db6164537" /><Relationship Type="http://schemas.microsoft.com/office/2017/10/relationships/person" Target="/xl/persons/person.xml" Id="R324ddeeb3ed142f0" /></Relationships>
</file>

<file path=xl/persons/person.xml><?xml version="1.0" encoding="utf-8"?>
<xltc:personList xmlns:xltc="http://schemas.microsoft.com/office/spreadsheetml/2018/threadedcomments">
  <xltc:person displayName="User" id="{299E50F8-FA5F-4E75-84E0-2C5589AE90B3}"/>
</xltc:personList>
</file>

<file path=xl/tables/table1.xml><?xml version="1.0" encoding="utf-8"?>
<x:table xmlns:x="http://schemas.openxmlformats.org/spreadsheetml/2006/main" id="1" name="CoverageRules" displayName="CoverageRules" ref="A3:G8" headerRowCount="1" totalsRowCount="0" totalsRowShown="0">
  <x:tableColumns count="7">
    <x:tableColumn id="1" name="类型"/>
    <x:tableColumn id="2" name="适用对象"/>
    <x:tableColumn id="3" name="构造原则"/>
    <x:tableColumn id="4" name="Case/Vector拆分规则"/>
    <x:tableColumn id="5" name="主要验证层级"/>
    <x:tableColumn id="6" name="流片前判定"/>
    <x:tableColumn id="7" name="示例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ilboxCommandInventory" displayName="MailboxCommandInventory" ref="A3:N73" headerRowCount="1" totalsRowCount="0" totalsRowShown="0">
  <x:tableColumns count="14">
    <x:tableColumn id="1" name="阶段"/>
    <x:tableColumn id="2" name="命令 ID"/>
    <x:tableColumn id="3" name="命令名"/>
    <x:tableColumn id="4" name="分类"/>
    <x:tableColumn id="5" name="风险等级"/>
    <x:tableColumn id="6" name="适用性"/>
    <x:tableColumn id="7" name="事实状态"/>
    <x:tableColumn id="8" name="BASIC"/>
    <x:tableColumn id="9" name="eHSM负向策略"/>
    <x:tableColumn id="10" name="Host本地负向策略"/>
    <x:tableColumn id="11" name="实现难度"/>
    <x:tableColumn id="12" name="流片前门禁"/>
    <x:tableColumn id="13" name="来源"/>
    <x:tableColumn id="14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ilboxTestCases" displayName="MailboxTestCases" ref="A3:X69" headerRowCount="1" totalsRowCount="0" totalsRowShown="0">
  <x:tableColumns count="24">
    <x:tableColumn id="1" name="用例 ID"/>
    <x:tableColumn id="2" name="用例类型"/>
    <x:tableColumn id="3" name="覆盖范围"/>
    <x:tableColumn id="4" name="阶段"/>
    <x:tableColumn id="5" name="命令 ID"/>
    <x:tableColumn id="6" name="命令/适用命令"/>
    <x:tableColumn id="7" name="测试点/Vector策略"/>
    <x:tableColumn id="8" name="目标"/>
    <x:tableColumn id="9" name="必要性"/>
    <x:tableColumn id="10" name="前置条件"/>
    <x:tableColumn id="11" name="步骤"/>
    <x:tableColumn id="12" name="输入/激励"/>
    <x:tableColumn id="13" name="预期结果"/>
    <x:tableColumn id="14" name="安全判据"/>
    <x:tableColumn id="15" name="优先级"/>
    <x:tableColumn id="16" name="验证层级"/>
    <x:tableColumn id="17" name="实现难度"/>
    <x:tableColumn id="18" name="波次"/>
    <x:tableColumn id="19" name="Owner"/>
    <x:tableColumn id="20" name="自动化"/>
    <x:tableColumn id="21" name="状态"/>
    <x:tableColumn id="22" name="流片前门禁"/>
    <x:tableColumn id="23" name="准入门禁"/>
    <x:tableColumn id="24" name="来源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cIntegrationCases" displayName="SocIntegrationCases" ref="A3:P11" headerRowCount="1" totalsRowCount="0" totalsRowShown="0">
  <x:tableColumns count="16">
    <x:tableColumn id="1" name="用例 ID"/>
    <x:tableColumn id="2" name="分组"/>
    <x:tableColumn id="3" name="名称"/>
    <x:tableColumn id="4" name="目标"/>
    <x:tableColumn id="5" name="前置条件"/>
    <x:tableColumn id="6" name="步骤"/>
    <x:tableColumn id="7" name="输入/激励"/>
    <x:tableColumn id="8" name="预期结果"/>
    <x:tableColumn id="9" name="优先级"/>
    <x:tableColumn id="10" name="验证层级"/>
    <x:tableColumn id="11" name="波次"/>
    <x:tableColumn id="12" name="Owner"/>
    <x:tableColumn id="13" name="自动化"/>
    <x:tableColumn id="14" name="状态"/>
    <x:tableColumn id="15" name="准入门禁"/>
    <x:tableColumn id="16" name="来源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HardwareVerificationRequirements" displayName="HardwareVerificationRequirements" ref="A3:L11" headerRowCount="1" totalsRowCount="0" totalsRowShown="0">
  <x:tableColumns count="12">
    <x:tableColumn id="1" name="需求 ID"/>
    <x:tableColumn id="2" name="分组"/>
    <x:tableColumn id="3" name="补充验证目标"/>
    <x:tableColumn id="4" name="关联软件用例"/>
    <x:tableColumn id="5" name="软件配置/激励"/>
    <x:tableColumn id="6" name="软件通过判据"/>
    <x:tableColumn id="7" name="仍需硬件补充的内容"/>
    <x:tableColumn id="8" name="建议Owner"/>
    <x:tableColumn id="9" name="来源/待绑定"/>
    <x:tableColumn id="10" name="分层结论"/>
    <x:tableColumn id="11" name="状态"/>
    <x:tableColumn id="12" name="禁止事项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dexPortingGuide" displayName="CodexPortingGuide" ref="A3:T77" headerRowCount="1" totalsRowCount="0" totalsRowShown="0">
  <x:tableColumns count="20">
    <x:tableColumn id="1" name="用例 ID"/>
    <x:tableColumn id="2" name="来源工作表"/>
    <x:tableColumn id="3" name="域"/>
    <x:tableColumn id="4" name="分组"/>
    <x:tableColumn id="5" name="名称"/>
    <x:tableColumn id="6" name="优先级"/>
    <x:tableColumn id="7" name="实现难度"/>
    <x:tableColumn id="8" name="验证层级"/>
    <x:tableColumn id="9" name="波次"/>
    <x:tableColumn id="10" name="目标仓库"/>
    <x:tableColumn id="11" name="设计状态"/>
    <x:tableColumn id="12" name="流片前门禁"/>
    <x:tableColumn id="13" name="准入门禁"/>
    <x:tableColumn id="14" name="移植实现要求"/>
    <x:tableColumn id="15" name="所需输入"/>
    <x:tableColumn id="16" name="禁止事项"/>
    <x:tableColumn id="17" name="完成标准"/>
    <x:tableColumn id="18" name="Evidence 要求"/>
    <x:tableColumn id="19" name="Codex 执行顺序"/>
    <x:tableColumn id="20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13d77f283943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03490c43f74f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2c0220fc671442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dd5b951956242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a2e7679a5ef4cb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fc1d8f3f7364c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0" customHeight="1">
      <x:c r="A1" s="3" t="str">
        <x:v>NGU800P 安全测试用例与 Codex 移植指导 v0.3.4（软件可构造功能case复审版）</x:v>
      </x:c>
      <x:c r="B1" s="3"/>
      <x:c r="C1" s="3"/>
      <x:c r="D1" s="3"/>
      <x:c r="E1" s="3"/>
      <x:c r="F1" s="3"/>
      <x:c r="G1" s="3"/>
      <x:c r="H1" s="3"/>
    </x:row>
    <x:row r="3" ht="30" customHeight="1">
      <x:c r="A3" s="10" t="str">
        <x:v>项目</x:v>
      </x:c>
      <x:c r="B3" s="11" t="str">
        <x:v>值</x:v>
      </x:c>
      <x:c r="D3" s="10" t="str">
        <x:v>当前结论</x:v>
      </x:c>
      <x:c r="E3" s="22"/>
      <x:c r="F3" s="22"/>
      <x:c r="G3" s="22"/>
      <x:c r="H3" s="11"/>
    </x:row>
    <x:row r="4">
      <x:c r="A4" s="17" t="str">
        <x:v>生成日期</x:v>
      </x:c>
      <x:c r="B4" s="19" t="n">
        <x:v>46237</x:v>
      </x:c>
      <x:c r="D4" s="17" t="str">
        <x:v>1. 每条适用目标命令保留1条BASIC，作为流片前功能冒烟基线。</x:v>
      </x:c>
      <x:c r="E4" s="17"/>
      <x:c r="F4" s="17"/>
      <x:c r="G4" s="17"/>
      <x:c r="H4" s="17"/>
    </x:row>
    <x:row r="5">
      <x:c r="A5" s="18" t="str">
        <x:v>执行状态</x:v>
      </x:c>
      <x:c r="B5" s="18" t="str">
        <x:v>NOT_EXECUTED</x:v>
      </x:c>
      <x:c r="D5" s="18" t="str">
        <x:v>2. Host本地NULL/buffer/timeout/log等负向不测；Mailbox未提交不能算eHSM负向PASS。</x:v>
      </x:c>
      <x:c r="E5" s="18"/>
      <x:c r="F5" s="18"/>
      <x:c r="G5" s="18"/>
      <x:c r="H5" s="18"/>
    </x:row>
    <x:row r="6">
      <x:c r="A6" s="18" t="str">
        <x:v>BL 头文件目标命令</x:v>
      </x:c>
      <x:c r="B6" s="18" t="n">
        <x:f>COUNTIF('Mailbox命令清单'!$A$4:$A$73,"BL")</x:f>
        <x:v>15</x:v>
      </x:c>
      <x:c r="D6" s="18" t="str">
        <x:v>3. eHSM固件和硬件均为DUT，保留14条验签、升级、密码验证、认证、Key、OTP、状态机和解析器负向用例。</x:v>
      </x:c>
      <x:c r="E6" s="18"/>
      <x:c r="F6" s="18"/>
      <x:c r="G6" s="18"/>
      <x:c r="H6" s="18"/>
    </x:row>
    <x:row r="7">
      <x:c r="A7" s="18" t="str">
        <x:v>FW 头文件目标命令</x:v>
      </x:c>
      <x:c r="B7" s="18" t="n">
        <x:f>COUNTIF('Mailbox命令清单'!$A$4:$A$73,"FW")</x:f>
        <x:v>37</x:v>
      </x:c>
      <x:c r="D7" s="18" t="str">
        <x:v>4. 错误签名/Tag/Auth材料必须真实提交到eHSM，以raw响应、verify_result和无副作用判断。</x:v>
      </x:c>
      <x:c r="E7" s="18"/>
      <x:c r="F7" s="18"/>
      <x:c r="G7" s="18"/>
      <x:c r="H7" s="18"/>
    </x:row>
    <x:row r="8">
      <x:c r="A8" s="18" t="str">
        <x:v>目标命令合计</x:v>
      </x:c>
      <x:c r="B8" s="18" t="n">
        <x:f>SUM(B6:B7)</x:f>
        <x:v>52</x:v>
      </x:c>
      <x:c r="D8" s="18" t="str">
        <x:v>5. 新增2条Mailbox SoC功能case：16路channel独立性和INFO/NOTE功能握手；不重复52条命令BASIC。</x:v>
      </x:c>
      <x:c r="E8" s="18"/>
      <x:c r="F8" s="18"/>
      <x:c r="G8" s="18"/>
      <x:c r="H8" s="18"/>
    </x:row>
    <x:row r="9">
      <x:c r="A9" s="18" t="str">
        <x:v>Host头文件独有候选</x:v>
      </x:c>
      <x:c r="B9" s="18" t="n">
        <x:f>COUNTIF('Mailbox命令清单'!$A$4:$A$73,"HOST_HEADER_ONLY_CANDIDATE")</x:f>
        <x:v>18</x:v>
      </x:c>
      <x:c r="D9" s="18" t="str">
        <x:v>6. Firewall两条软件case保持不变；配置权限不依赖鉴权或LCS。</x:v>
      </x:c>
      <x:c r="E9" s="18"/>
      <x:c r="F9" s="18"/>
      <x:c r="G9" s="18"/>
      <x:c r="H9" s="18"/>
    </x:row>
    <x:row r="10">
      <x:c r="A10" s="18" t="str">
        <x:v>Mailbox BASIC</x:v>
      </x:c>
      <x:c r="B10" s="18" t="n">
        <x:f>COUNTIF('Mailbox用例'!$B$4:$B$69,"BASIC")</x:f>
        <x:v>52</x:v>
      </x:c>
      <x:c r="D10" s="18" t="str">
        <x:v>7. HSM错误映射、软件可控复位和IRQ各新增1条；与原HSM读通路共同形成8条SoC软件case。</x:v>
      </x:c>
      <x:c r="E10" s="18"/>
      <x:c r="F10" s="18"/>
      <x:c r="G10" s="18"/>
      <x:c r="H10" s="18"/>
    </x:row>
    <x:row r="11">
      <x:c r="A11" s="18" t="str">
        <x:v>Mailbox eHSM负向</x:v>
      </x:c>
      <x:c r="B11" s="18" t="n">
        <x:f>COUNTIF('Mailbox用例'!$B$4:$B$69,"EHSM_NEGATIVE")</x:f>
        <x:v>14</x:v>
      </x:c>
      <x:c r="D11" s="18" t="str">
        <x:v>8. 共74条Codex可移植软件用例；8项硬件表改为与软件case关联的内部补充验证。</x:v>
      </x:c>
      <x:c r="E11" s="18"/>
      <x:c r="F11" s="18"/>
      <x:c r="G11" s="18"/>
      <x:c r="H11" s="18"/>
    </x:row>
    <x:row r="12">
      <x:c r="A12" s="18" t="str">
        <x:v>Mailbox 软件用例合计</x:v>
      </x:c>
      <x:c r="B12" s="18" t="n">
        <x:f>SUM(B10:B11)</x:f>
        <x:v>66</x:v>
      </x:c>
      <x:c r="D12" s="18" t="str">
        <x:v>9. 禁止eHSM固件定制、测试命令或钩子；合同/fixture缺失时输出INCONCLUSIVE。</x:v>
      </x:c>
      <x:c r="E12" s="18"/>
      <x:c r="F12" s="18"/>
      <x:c r="G12" s="18"/>
      <x:c r="H12" s="18"/>
    </x:row>
    <x:row r="13">
      <x:c r="A13" s="18" t="str">
        <x:v>SoC 软件用例</x:v>
      </x:c>
      <x:c r="B13" s="18" t="n">
        <x:f>COUNTA('SoC集成用例'!$A$4:$A$11)</x:f>
        <x:v>8</x:v>
      </x:c>
    </x:row>
    <x:row r="14">
      <x:c r="A14" s="18" t="str">
        <x:v>Codex可移植软件用例</x:v>
      </x:c>
      <x:c r="B14" s="18" t="n">
        <x:f>COUNTA('Codex移植指导'!$A$4:$A$77)</x:f>
        <x:v>74</x:v>
      </x:c>
    </x:row>
    <x:row r="15">
      <x:c r="A15" s="18" t="str">
        <x:v>硬件补充验证需求（关联软件case）</x:v>
      </x:c>
      <x:c r="B15" s="18" t="n">
        <x:f>COUNTA('硬件验证需求'!$A$4:$A$11)</x:f>
        <x:v>8</x:v>
      </x:c>
    </x:row>
    <x:row r="16">
      <x:c r="A16" s="18" t="str">
        <x:v>Host本地负向软件用例</x:v>
      </x:c>
      <x:c r="B16" s="18" t="n">
        <x:f>COUNTIF('Mailbox用例'!$B$4:$B$69,"HOST_LOCAL_NEGATIVE")</x:f>
        <x:v>0</x:v>
      </x:c>
    </x:row>
    <x:row r="18" ht="30" customHeight="1">
      <x:c r="A18" s="10" t="str">
        <x:v>来源与边界</x:v>
      </x:c>
      <x:c r="B18" s="22"/>
      <x:c r="C18" s="22"/>
      <x:c r="D18" s="22"/>
      <x:c r="E18" s="22"/>
      <x:c r="F18" s="22"/>
      <x:c r="G18" s="22"/>
      <x:c r="H18" s="11"/>
    </x:row>
    <x:row r="19">
      <x:c r="A19" s="17" t="str">
        <x:v>DOCUMENTED：芯片系统安全方案、芯片安全软件方案 v1.2。</x:v>
      </x:c>
      <x:c r="B19" s="17"/>
      <x:c r="C19" s="17"/>
      <x:c r="D19" s="17"/>
      <x:c r="E19" s="17"/>
      <x:c r="F19" s="17"/>
      <x:c r="G19" s="17"/>
      <x:c r="H19" s="17"/>
    </x:row>
    <x:row r="20">
      <x:c r="A20" s="18" t="str">
        <x:v>VENDOR_IMPLEMENTATION：eHSM HP TRM、Host API TRM、BL/FW/Host 命令头文件。</x:v>
      </x:c>
      <x:c r="B20" s="18"/>
      <x:c r="C20" s="18"/>
      <x:c r="D20" s="18"/>
      <x:c r="E20" s="18"/>
      <x:c r="F20" s="18"/>
      <x:c r="G20" s="18"/>
      <x:c r="H20" s="18"/>
    </x:row>
    <x:row r="21">
      <x:c r="A21" s="18" t="str">
        <x:v>Vendor 资料用于 eHSM 能力与实现证据，不直接定义 NGU800P SoC 最终行为。</x:v>
      </x:c>
      <x:c r="B21" s="18"/>
      <x:c r="C21" s="18"/>
      <x:c r="D21" s="18"/>
      <x:c r="E21" s="18"/>
      <x:c r="F21" s="18"/>
      <x:c r="G21" s="18"/>
      <x:c r="H21" s="18"/>
    </x:row>
    <x:row r="22">
      <x:c r="A22" s="18" t="str">
        <x:v>最终 oracle 需由有效方案、批准的 Requirement/ADR/OpenSpec、冻结 RTL/软件 baseline 和目标环境 Evidence 共同确定。</x:v>
      </x:c>
      <x:c r="B22" s="18"/>
      <x:c r="C22" s="18"/>
      <x:c r="D22" s="18"/>
      <x:c r="E22" s="18"/>
      <x:c r="F22" s="18"/>
      <x:c r="G22" s="18"/>
      <x:c r="H22" s="18"/>
    </x:row>
    <x:row r="23">
      <x:c r="A23" s="18" t="str">
        <x:v>C908可配置Firewall、非安全管理核不可配置为本轮确认的测试边界；精确master_id/寄存器仍待RTL绑定。</x:v>
      </x:c>
      <x:c r="B23" s="18"/>
      <x:c r="C23" s="18"/>
      <x:c r="D23" s="18"/>
      <x:c r="E23" s="18"/>
      <x:c r="F23" s="18"/>
      <x:c r="G23" s="18"/>
      <x:c r="H23" s="18"/>
    </x:row>
    <x:row r="24">
      <x:c r="A24" s="18" t="str">
        <x:v>配套指导：docs/06-verification/NGU800P安全测试用例设计与Codex移植指导.md。</x:v>
      </x:c>
      <x:c r="B24" s="18"/>
      <x:c r="C24" s="18"/>
      <x:c r="D24" s="18"/>
      <x:c r="E24" s="18"/>
      <x:c r="F24" s="18"/>
      <x:c r="G24" s="18"/>
      <x:c r="H24" s="18"/>
    </x:row>
    <x:row r="25">
      <x:c r="A25" s="18" t="str">
        <x:v>硬件验证：docs/06-verification/NGU800P软件不便覆盖的硬件安全验证项.md。</x:v>
      </x:c>
      <x:c r="B25" s="18"/>
      <x:c r="C25" s="18"/>
      <x:c r="D25" s="18"/>
      <x:c r="E25" s="18"/>
      <x:c r="F25" s="18"/>
      <x:c r="G25" s="18"/>
      <x:c r="H25" s="18"/>
    </x:row>
    <x:row r="26">
      <x:c r="A26" s="18" t="str">
        <x:v>v0.3/v0.3.1/v0.3.2/v0.3.3均保留为历史；v0.3.4把软件可配置功能从硬件清单转入SoC软件case。</x:v>
      </x:c>
      <x:c r="B26" s="18"/>
      <x:c r="C26" s="18"/>
      <x:c r="D26" s="18"/>
      <x:c r="E26" s="18"/>
      <x:c r="F26" s="18"/>
      <x:c r="G26" s="18"/>
      <x:c r="H26" s="18"/>
    </x:row>
  </x:sheetData>
  <x:mergeCells>
    <x:mergeCell ref="A1:H1"/>
    <x:mergeCell ref="D3:H3"/>
    <x:mergeCell ref="D4:H4"/>
    <x:mergeCell ref="D5:H5"/>
    <x:mergeCell ref="D6:H6"/>
    <x:mergeCell ref="D7:H7"/>
    <x:mergeCell ref="D8:H8"/>
    <x:mergeCell ref="D9:H9"/>
    <x:mergeCell ref="D10:H10"/>
    <x:mergeCell ref="D11:H11"/>
    <x:mergeCell ref="D12:H12"/>
    <x:mergeCell ref="A18:H18"/>
    <x:mergeCell ref="A19:H19"/>
    <x:mergeCell ref="A20:H20"/>
    <x:mergeCell ref="A21:H21"/>
    <x:mergeCell ref="A22:H22"/>
    <x:mergeCell ref="A23:H23"/>
    <x:mergeCell ref="A24:H24"/>
    <x:mergeCell ref="A25:H25"/>
    <x:mergeCell ref="A26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</x:cols>
  <x:sheetData>
    <x:row r="1" ht="30" customHeight="1">
      <x:c r="A1" s="3" t="str">
        <x:v>流片前软件用例与硬件验证分层规则</x:v>
      </x:c>
      <x:c r="B1" s="3"/>
      <x:c r="C1" s="3"/>
      <x:c r="D1" s="3"/>
      <x:c r="E1" s="3"/>
      <x:c r="F1" s="3"/>
      <x:c r="G1" s="3"/>
    </x:row>
    <x:row r="3" ht="30" customHeight="1">
      <x:c r="A3" s="10" t="str">
        <x:v>类型</x:v>
      </x:c>
      <x:c r="B3" s="22" t="str">
        <x:v>适用对象</x:v>
      </x:c>
      <x:c r="C3" s="22" t="str">
        <x:v>构造原则</x:v>
      </x:c>
      <x:c r="D3" s="22" t="str">
        <x:v>Case/Vector拆分规则</x:v>
      </x:c>
      <x:c r="E3" s="22" t="str">
        <x:v>主要验证层级</x:v>
      </x:c>
      <x:c r="F3" s="22" t="str">
        <x:v>流片前判定</x:v>
      </x:c>
      <x:c r="G3" s="11" t="str">
        <x:v>示例</x:v>
      </x:c>
    </x:row>
    <x:row r="4" ht="62" customHeight="1">
      <x:c r="A4" s="17" t="str">
        <x:v>BASIC_MAILBOX</x:v>
      </x:c>
      <x:c r="B4" s="17" t="str">
        <x:v>52条BL/FW目标命令</x:v>
      </x:c>
      <x:c r="C4" s="17" t="str">
        <x:v>每条命令1个合法代表向量，完成真实eHSM响应和Mailbox闭环</x:v>
      </x:c>
      <x:c r="D4" s="17" t="str">
        <x:v>每条命令独立case；算法/模式的更多向量由后续实现按需参数化</x:v>
      </x:c>
      <x:c r="E4" s="17" t="str">
        <x:v>L3_EMU_INTEGRATION</x:v>
      </x:c>
      <x:c r="F4" s="17" t="str">
        <x:v>MUST_PASS；破坏性命令无批准fixture时INCONCLUSIVE</x:v>
      </x:c>
      <x:c r="G4" s="17" t="str">
        <x:v>MB-*-BASIC</x:v>
      </x:c>
    </x:row>
    <x:row r="5" ht="62" customHeight="1">
      <x:c r="A5" s="18" t="str">
        <x:v>EHSM_NEGATIVE</x:v>
      </x:c>
      <x:c r="B5" s="18" t="str">
        <x:v>eHSM验签、升级、密码验证、认证、Key、OTP、状态机和命令解析</x:v>
      </x:c>
      <x:c r="C5" s="18" t="str">
        <x:v>请求必须真实进入eHSM；从可通过baseline单点变异安全属性，检查eHSM拒绝和无副作用</x:v>
      </x:c>
      <x:c r="D5" s="18" t="str">
        <x:v>相同eHSM服务、oracle、fixture和恢复方式的算法/输入放vector；stage、副作用或恢复不同才拆case</x:v>
      </x:c>
      <x:c r="E5" s="18" t="str">
        <x:v>L3_EMU_INTEGRATION</x:v>
      </x:c>
      <x:c r="F5" s="18" t="str">
        <x:v>合同/fixture具备时必须通过；否则INCONCLUSIVE并记录Owner</x:v>
      </x:c>
      <x:c r="G5" s="18" t="str">
        <x:v>错误签名、错误Tag、错误Auth响应、篡改Key blob</x:v>
      </x:c>
    </x:row>
    <x:row r="6" ht="62" customHeight="1">
      <x:c r="A6" s="18" t="str">
        <x:v>SOC_SOFTWARE</x:v>
      </x:c>
      <x:c r="B6" s="18" t="str">
        <x:v>Mailbox、Firewall、HSM状态错误、复位和IRQ功能</x:v>
      </x:c>
      <x:c r="C6" s="18" t="str">
        <x:v>8条软件case通过配置、现有命令、寄存器、reset/IRQ控制形成软件可见闭环</x:v>
      </x:c>
      <x:c r="D6" s="18" t="str">
        <x:v>16路channel、权限、错误、reset和IRQ组合均放vector，不机械拆case</x:v>
      </x:c>
      <x:c r="E6" s="18" t="str">
        <x:v>L3/L4_EMU_INTEGRATION</x:v>
      </x:c>
      <x:c r="F6" s="18" t="str">
        <x:v>绑定具备时必须通过；未冻结时INCONCLUSIVE</x:v>
      </x:c>
      <x:c r="G6" s="18" t="str">
        <x:v>SOC-MAILBOX-001/002、FIREWALL-001/002、HSM-STATUS/ERROR、RESET、IRQ</x:v>
      </x:c>
    </x:row>
    <x:row r="7" ht="62" customHeight="1">
      <x:c r="A7" s="18" t="str">
        <x:v>HW_SUPPLEMENTAL</x:v>
      </x:c>
      <x:c r="B7" s="18" t="str">
        <x:v>内部译码、逐周期、CDC、逐位、精确复位相位和多源并发</x:v>
      </x:c>
      <x:c r="C7" s="18" t="str">
        <x:v>与8条SoC软件功能case一一关联，只补充软件无法证明的内部事实</x:v>
      </x:c>
      <x:c r="D7" s="18" t="str">
        <x:v>不再把整个功能目标判为纯硬件；硬件表明确关联软件case和剩余验证</x:v>
      </x:c>
      <x:c r="E7" s="18" t="str">
        <x:v>RTL/DV/SoC_SIGNOFF</x:v>
      </x:c>
      <x:c r="F7" s="18" t="str">
        <x:v>软件功能PASS与硬件补充Evidence共同完成sign-off</x:v>
      </x:c>
      <x:c r="G7" s="18" t="str">
        <x:v>HW-MBX/FW/HSM/RST/IRQ</x:v>
      </x:c>
    </x:row>
    <x:row r="8" ht="62" customHeight="1">
      <x:c r="A8" s="18" t="str">
        <x:v>OUT_OF_SCOPE_HOST_SOFTWARE</x:v>
      </x:c>
      <x:c r="B8" s="18" t="str">
        <x:v>仅由Host本地处理的NULL/buffer容量/本地枚举、Host超时恢复和日志行为</x:v>
      </x:c>
      <x:c r="C8" s="18" t="str">
        <x:v>不作为本轮case；若同类非法请求已真实进入eHSM，则属于EHSM_NEGATIVE而不是Host测试</x:v>
      </x:c>
      <x:c r="D8" s="18" t="str">
        <x:v>未来开展Host软件质量/安全测试时单独建立工作包</x:v>
      </x:c>
      <x:c r="E8" s="18" t="str">
        <x:v>HOST_UNIT/INTEGRATION</x:v>
      </x:c>
      <x:c r="F8" s="18" t="str">
        <x:v>本工作包不执行Host本地判定</x:v>
      </x:c>
      <x:c r="G8" s="18" t="str">
        <x:v>Host本地拒绝且Mailbox未提交</x:v>
      </x:c>
    </x:row>
  </x:sheetData>
  <x:mergeCells>
    <x:mergeCell ref="A1:G1"/>
  </x:mergeCells>
  <x:conditionalFormatting sqref="A4:F8">
    <x:cfRule type="containsText" dxfId="0" priority="1" operator="containsText" text="BLOCK"/>
    <x:cfRule type="containsText" dxfId="1" priority="2" operator="containsText" text="NEEDS"/>
    <x:cfRule type="containsText" dxfId="2" priority="3" operator="containsText" text="READY"/>
    <x:cfRule type="containsText" dxfId="3" priority="4" operator="containsText" text="COMPLETED"/>
    <x:cfRule type="containsText" dxfId="4" priority="5" operator="containsText" text="SUPERSEDED"/>
    <x:cfRule type="containsText" dxfId="5" priority="6" operator="containsText" text="N/A"/>
  </x:conditionalFormatting>
  <x:pageMargins left="0.7" right="0.7" top="0.75" bottom="0.75" header="0.3" footer="0.3"/>
  <x:tableParts count="1">
    <x:tablePart xmlns:r="http://schemas.openxmlformats.org/officeDocument/2006/relationships" r:id="R6a13d77f2839436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38" hidden="0" customWidth="1"/>
    <x:col min="4" max="4" width="20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44" hidden="0" customWidth="1"/>
    <x:col min="14" max="14" width="28" hidden="0" customWidth="1"/>
  </x:cols>
  <x:sheetData>
    <x:row r="1" ht="30" customHeight="1">
      <x:c r="A1" s="3" t="str">
        <x:v>Mailbox 命令全集、BASIC与eHSM负向覆盖策略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3" ht="30" customHeight="1">
      <x:c r="A3" s="10" t="str">
        <x:v>阶段</x:v>
      </x:c>
      <x:c r="B3" s="22" t="str">
        <x:v>命令 ID</x:v>
      </x:c>
      <x:c r="C3" s="22" t="str">
        <x:v>命令名</x:v>
      </x:c>
      <x:c r="D3" s="22" t="str">
        <x:v>分类</x:v>
      </x:c>
      <x:c r="E3" s="22" t="str">
        <x:v>风险等级</x:v>
      </x:c>
      <x:c r="F3" s="22" t="str">
        <x:v>适用性</x:v>
      </x:c>
      <x:c r="G3" s="22" t="str">
        <x:v>事实状态</x:v>
      </x:c>
      <x:c r="H3" s="22" t="str">
        <x:v>BASIC</x:v>
      </x:c>
      <x:c r="I3" s="22" t="str">
        <x:v>eHSM负向策略</x:v>
      </x:c>
      <x:c r="J3" s="22" t="str">
        <x:v>Host本地负向策略</x:v>
      </x:c>
      <x:c r="K3" s="22" t="str">
        <x:v>实现难度</x:v>
      </x:c>
      <x:c r="L3" s="22" t="str">
        <x:v>流片前门禁</x:v>
      </x:c>
      <x:c r="M3" s="22" t="str">
        <x:v>来源</x:v>
      </x:c>
      <x:c r="N3" s="11" t="str">
        <x:v>备注</x:v>
      </x:c>
    </x:row>
    <x:row r="4" ht="42" customHeight="1">
      <x:c r="A4" s="17" t="str">
        <x:v>BL</x:v>
      </x:c>
      <x:c r="B4" s="17" t="str">
        <x:v>0x0020 (hex)</x:v>
      </x:c>
      <x:c r="C4" s="17" t="str">
        <x:v>MB_CMD_ID_BL_SELF_TEST</x:v>
      </x:c>
      <x:c r="D4" s="17" t="str">
        <x:v>自检/状态/版本</x:v>
      </x:c>
      <x:c r="E4" s="17" t="str">
        <x:v>B_DATA_PROCESSING</x:v>
      </x:c>
      <x:c r="F4" s="17" t="str">
        <x:v>TARGET_HEADER_BASELINE</x:v>
      </x:c>
      <x:c r="G4" s="17" t="str">
        <x:v>VENDOR_IMPLEMENTATION</x:v>
      </x:c>
      <x:c r="H4" s="17" t="str">
        <x:v>REQUIRED</x:v>
      </x:c>
      <x:c r="I4" s="17" t="str">
        <x:v>BASIC_ONLY_CURRENT_SCOPE</x:v>
      </x:c>
      <x:c r="J4" s="17" t="str">
        <x:v>HOST_LOCAL_NEGATIVE_NOT_PLANNED</x:v>
      </x:c>
      <x:c r="K4" s="17" t="str">
        <x:v>MEDIUM</x:v>
      </x:c>
      <x:c r="L4" s="17" t="str">
        <x:v>MUST_PASS_BASIC</x:v>
      </x:c>
      <x:c r="M4" s="17" t="str">
        <x:v>eHSM BL 2.3.5-4019-72f8fdc/inc/mb.h</x:v>
      </x:c>
      <x:c r="N4" s="17" t="str">
        <x:v>Command ID for bl_self_test</x:v>
      </x:c>
    </x:row>
    <x:row r="5" ht="42" customHeight="1">
      <x:c r="A5" s="18" t="str">
        <x:v>BL</x:v>
      </x:c>
      <x:c r="B5" s="18" t="str">
        <x:v>0x0f04 (hex)</x:v>
      </x:c>
      <x:c r="C5" s="18" t="str">
        <x:v>MB_CMD_ID_BL_SET_UART_BAUDRATE</x:v>
      </x:c>
      <x:c r="D5" s="18" t="str">
        <x:v>平台/诊断</x:v>
      </x:c>
      <x:c r="E5" s="18" t="str">
        <x:v>B_DATA_PROCESSING</x:v>
      </x:c>
      <x:c r="F5" s="18" t="str">
        <x:v>TARGET_HEADER_BASELINE</x:v>
      </x:c>
      <x:c r="G5" s="18" t="str">
        <x:v>VENDOR_IMPLEMENTATION</x:v>
      </x:c>
      <x:c r="H5" s="18" t="str">
        <x:v>REQUIRED</x:v>
      </x:c>
      <x:c r="I5" s="18" t="str">
        <x:v>BASIC_ONLY_CURRENT_SCOPE</x:v>
      </x:c>
      <x:c r="J5" s="18" t="str">
        <x:v>HOST_LOCAL_NEGATIVE_NOT_PLANNED</x:v>
      </x:c>
      <x:c r="K5" s="18" t="str">
        <x:v>MEDIUM</x:v>
      </x:c>
      <x:c r="L5" s="18" t="str">
        <x:v>MUST_PASS_BASIC</x:v>
      </x:c>
      <x:c r="M5" s="18" t="str">
        <x:v>eHSM BL 2.3.5-4019-72f8fdc/inc/mb.h</x:v>
      </x:c>
      <x:c r="N5" s="18" t="str">
        <x:v>Command ID for bl_set_uart_baudrate</x:v>
      </x:c>
    </x:row>
    <x:row r="6" ht="42" customHeight="1">
      <x:c r="A6" s="18" t="str">
        <x:v>BL</x:v>
      </x:c>
      <x:c r="B6" s="18" t="str">
        <x:v>0xff01 (hex)</x:v>
      </x:c>
      <x:c r="C6" s="18" t="str">
        <x:v>MB_CMD_ID_BL_OTP_WRITE</x:v>
      </x:c>
      <x:c r="D6" s="18" t="str">
        <x:v>OTP/eFuse</x:v>
      </x:c>
      <x:c r="E6" s="18" t="str">
        <x:v>D_IRREVERSIBLE_DESTRUCTIVE</x:v>
      </x:c>
      <x:c r="F6" s="18" t="str">
        <x:v>TARGET_HEADER_BASELINE</x:v>
      </x:c>
      <x:c r="G6" s="18" t="str">
        <x:v>VENDOR_IMPLEMENTATION</x:v>
      </x:c>
      <x:c r="H6" s="18" t="str">
        <x:v>REQUIRED</x:v>
      </x:c>
      <x:c r="I6" s="18" t="str">
        <x:v>COVERED_BY_EHSM_NEGATIVE_FAMILY</x:v>
      </x:c>
      <x:c r="J6" s="18" t="str">
        <x:v>HOST_LOCAL_NEGATIVE_NOT_PLANNED</x:v>
      </x:c>
      <x:c r="K6" s="18" t="str">
        <x:v>HIGH</x:v>
      </x:c>
      <x:c r="L6" s="18" t="str">
        <x:v>DEDICATED_FIXTURE_OR_INCONCLUSIVE</x:v>
      </x:c>
      <x:c r="M6" s="18" t="str">
        <x:v>eHSM BL 2.3.5-4019-72f8fdc/inc/mb.h</x:v>
      </x:c>
      <x:c r="N6" s="18" t="str">
        <x:v>Command ID for bl_otp_write</x:v>
      </x:c>
    </x:row>
    <x:row r="7" ht="42" customHeight="1">
      <x:c r="A7" s="18" t="str">
        <x:v>BL</x:v>
      </x:c>
      <x:c r="B7" s="18" t="str">
        <x:v>0xff02 (hex)</x:v>
      </x:c>
      <x:c r="C7" s="18" t="str">
        <x:v>MB_CMD_ID_BL_OTP_READ</x:v>
      </x:c>
      <x:c r="D7" s="18" t="str">
        <x:v>OTP/eFuse</x:v>
      </x:c>
      <x:c r="E7" s="18" t="str">
        <x:v>C_SECURITY_SENSITIVE</x:v>
      </x:c>
      <x:c r="F7" s="18" t="str">
        <x:v>TARGET_HEADER_BASELINE</x:v>
      </x:c>
      <x:c r="G7" s="18" t="str">
        <x:v>VENDOR_IMPLEMENTATION</x:v>
      </x:c>
      <x:c r="H7" s="18" t="str">
        <x:v>REQUIRED</x:v>
      </x:c>
      <x:c r="I7" s="18" t="str">
        <x:v>COVERED_BY_EHSM_NEGATIVE_FAMILY</x:v>
      </x:c>
      <x:c r="J7" s="18" t="str">
        <x:v>HOST_LOCAL_NEGATIVE_NOT_PLANNED</x:v>
      </x:c>
      <x:c r="K7" s="18" t="str">
        <x:v>MEDIUM_HIGH</x:v>
      </x:c>
      <x:c r="L7" s="18" t="str">
        <x:v>MUST_PASS_BASIC</x:v>
      </x:c>
      <x:c r="M7" s="18" t="str">
        <x:v>eHSM BL 2.3.5-4019-72f8fdc/inc/mb.h</x:v>
      </x:c>
      <x:c r="N7" s="18" t="str">
        <x:v>Command ID for bl_otp_read</x:v>
      </x:c>
    </x:row>
    <x:row r="8" ht="42" customHeight="1">
      <x:c r="A8" s="18" t="str">
        <x:v>BL</x:v>
      </x:c>
      <x:c r="B8" s="18" t="str">
        <x:v>0xff03 (hex)</x:v>
      </x:c>
      <x:c r="C8" s="18" t="str">
        <x:v>MB_CMD_ID_BL_GET_CHALLENGE</x:v>
      </x:c>
      <x:c r="D8" s="18" t="str">
        <x:v>调试/鉴权</x:v>
      </x:c>
      <x:c r="E8" s="18" t="str">
        <x:v>C_SECURITY_SENSITIVE</x:v>
      </x:c>
      <x:c r="F8" s="18" t="str">
        <x:v>TARGET_HEADER_BASELINE</x:v>
      </x:c>
      <x:c r="G8" s="18" t="str">
        <x:v>VENDOR_IMPLEMENTATION</x:v>
      </x:c>
      <x:c r="H8" s="18" t="str">
        <x:v>REQUIRED</x:v>
      </x:c>
      <x:c r="I8" s="18" t="str">
        <x:v>BASIC_ONLY_CURRENT_SCOPE</x:v>
      </x:c>
      <x:c r="J8" s="18" t="str">
        <x:v>HOST_LOCAL_NEGATIVE_NOT_PLANNED</x:v>
      </x:c>
      <x:c r="K8" s="18" t="str">
        <x:v>MEDIUM_HIGH</x:v>
      </x:c>
      <x:c r="L8" s="18" t="str">
        <x:v>MUST_PASS_BASIC</x:v>
      </x:c>
      <x:c r="M8" s="18" t="str">
        <x:v>eHSM BL 2.3.5-4019-72f8fdc/inc/mb.h</x:v>
      </x:c>
      <x:c r="N8" s="18" t="str">
        <x:v>Command ID for bl_get_challenge</x:v>
      </x:c>
    </x:row>
    <x:row r="9" ht="42" customHeight="1">
      <x:c r="A9" s="18" t="str">
        <x:v>BL</x:v>
      </x:c>
      <x:c r="B9" s="18" t="str">
        <x:v>0xff04 (hex)</x:v>
      </x:c>
      <x:c r="C9" s="18" t="str">
        <x:v>MB_CMD_ID_BL_DEBUG_AUTH</x:v>
      </x:c>
      <x:c r="D9" s="18" t="str">
        <x:v>调试/鉴权</x:v>
      </x:c>
      <x:c r="E9" s="18" t="str">
        <x:v>C_SECURITY_SENSITIVE</x:v>
      </x:c>
      <x:c r="F9" s="18" t="str">
        <x:v>TARGET_HEADER_BASELINE</x:v>
      </x:c>
      <x:c r="G9" s="18" t="str">
        <x:v>VENDOR_IMPLEMENTATION</x:v>
      </x:c>
      <x:c r="H9" s="18" t="str">
        <x:v>REQUIRED</x:v>
      </x:c>
      <x:c r="I9" s="18" t="str">
        <x:v>COVERED_BY_EHSM_NEGATIVE_FAMILY</x:v>
      </x:c>
      <x:c r="J9" s="18" t="str">
        <x:v>HOST_LOCAL_NEGATIVE_NOT_PLANNED</x:v>
      </x:c>
      <x:c r="K9" s="18" t="str">
        <x:v>MEDIUM_HIGH</x:v>
      </x:c>
      <x:c r="L9" s="18" t="str">
        <x:v>MUST_PASS_BASIC</x:v>
      </x:c>
      <x:c r="M9" s="18" t="str">
        <x:v>eHSM BL 2.3.5-4019-72f8fdc/inc/mb.h</x:v>
      </x:c>
      <x:c r="N9" s="18" t="str">
        <x:v>Command ID for bl_debug_auth</x:v>
      </x:c>
    </x:row>
    <x:row r="10" ht="42" customHeight="1">
      <x:c r="A10" s="18" t="str">
        <x:v>BL</x:v>
      </x:c>
      <x:c r="B10" s="18" t="str">
        <x:v>0xff05 (hex)</x:v>
      </x:c>
      <x:c r="C10" s="18" t="str">
        <x:v>MB_CMD_ID_BL_FW_UPGRADE</x:v>
      </x:c>
      <x:c r="D10" s="18" t="str">
        <x:v>启动/升级/验签</x:v>
      </x:c>
      <x:c r="E10" s="18" t="str">
        <x:v>D_IRREVERSIBLE_DESTRUCTIVE</x:v>
      </x:c>
      <x:c r="F10" s="18" t="str">
        <x:v>TARGET_HEADER_BASELINE</x:v>
      </x:c>
      <x:c r="G10" s="18" t="str">
        <x:v>VENDOR_IMPLEMENTATION</x:v>
      </x:c>
      <x:c r="H10" s="18" t="str">
        <x:v>REQUIRED</x:v>
      </x:c>
      <x:c r="I10" s="18" t="str">
        <x:v>COVERED_BY_EHSM_NEGATIVE_FAMILY</x:v>
      </x:c>
      <x:c r="J10" s="18" t="str">
        <x:v>HOST_LOCAL_NEGATIVE_NOT_PLANNED</x:v>
      </x:c>
      <x:c r="K10" s="18" t="str">
        <x:v>HIGH</x:v>
      </x:c>
      <x:c r="L10" s="18" t="str">
        <x:v>DEDICATED_FIXTURE_OR_INCONCLUSIVE</x:v>
      </x:c>
      <x:c r="M10" s="18" t="str">
        <x:v>eHSM BL 2.3.5-4019-72f8fdc/inc/mb.h</x:v>
      </x:c>
      <x:c r="N10" s="18" t="str">
        <x:v>Command ID for bl_fw_upgrade</x:v>
      </x:c>
    </x:row>
    <x:row r="11" ht="42" customHeight="1">
      <x:c r="A11" s="18" t="str">
        <x:v>BL</x:v>
      </x:c>
      <x:c r="B11" s="18" t="str">
        <x:v>0xff06 (hex)</x:v>
      </x:c>
      <x:c r="C11" s="18" t="str">
        <x:v>MB_CMD_ID_BL_VERIFY_IMAGE</x:v>
      </x:c>
      <x:c r="D11" s="18" t="str">
        <x:v>启动/升级/验签</x:v>
      </x:c>
      <x:c r="E11" s="18" t="str">
        <x:v>C_SECURITY_SENSITIVE</x:v>
      </x:c>
      <x:c r="F11" s="18" t="str">
        <x:v>TARGET_HEADER_BASELINE</x:v>
      </x:c>
      <x:c r="G11" s="18" t="str">
        <x:v>VENDOR_IMPLEMENTATION</x:v>
      </x:c>
      <x:c r="H11" s="18" t="str">
        <x:v>REQUIRED</x:v>
      </x:c>
      <x:c r="I11" s="18" t="str">
        <x:v>COVERED_BY_EHSM_NEGATIVE_FAMILY</x:v>
      </x:c>
      <x:c r="J11" s="18" t="str">
        <x:v>HOST_LOCAL_NEGATIVE_NOT_PLANNED</x:v>
      </x:c>
      <x:c r="K11" s="18" t="str">
        <x:v>MEDIUM_HIGH</x:v>
      </x:c>
      <x:c r="L11" s="18" t="str">
        <x:v>MUST_PASS_BASIC</x:v>
      </x:c>
      <x:c r="M11" s="18" t="str">
        <x:v>eHSM BL 2.3.5-4019-72f8fdc/inc/mb.h</x:v>
      </x:c>
      <x:c r="N11" s="18" t="str">
        <x:v>Command ID for bl_verify_image</x:v>
      </x:c>
    </x:row>
    <x:row r="12" ht="42" customHeight="1">
      <x:c r="A12" s="18" t="str">
        <x:v>BL</x:v>
      </x:c>
      <x:c r="B12" s="18" t="str">
        <x:v>0xff08 (hex)</x:v>
      </x:c>
      <x:c r="C12" s="18" t="str">
        <x:v>MB_CMD_ID_BL_GET_RANDOM_KEY</x:v>
      </x:c>
      <x:c r="D12" s="18" t="str">
        <x:v>密钥管理</x:v>
      </x:c>
      <x:c r="E12" s="18" t="str">
        <x:v>C_SECURITY_SENSITIVE</x:v>
      </x:c>
      <x:c r="F12" s="18" t="str">
        <x:v>TARGET_HEADER_BASELINE</x:v>
      </x:c>
      <x:c r="G12" s="18" t="str">
        <x:v>VENDOR_IMPLEMENTATION</x:v>
      </x:c>
      <x:c r="H12" s="18" t="str">
        <x:v>REQUIRED</x:v>
      </x:c>
      <x:c r="I12" s="18" t="str">
        <x:v>BASIC_ONLY_CURRENT_SCOPE</x:v>
      </x:c>
      <x:c r="J12" s="18" t="str">
        <x:v>HOST_LOCAL_NEGATIVE_NOT_PLANNED</x:v>
      </x:c>
      <x:c r="K12" s="18" t="str">
        <x:v>MEDIUM_HIGH</x:v>
      </x:c>
      <x:c r="L12" s="18" t="str">
        <x:v>MUST_PASS_BASIC</x:v>
      </x:c>
      <x:c r="M12" s="18" t="str">
        <x:v>eHSM BL 2.3.5-4019-72f8fdc/inc/mb.h</x:v>
      </x:c>
      <x:c r="N12" s="18" t="str">
        <x:v>Command ID for bl_get_random_key</x:v>
      </x:c>
    </x:row>
    <x:row r="13" ht="42" customHeight="1">
      <x:c r="A13" s="18" t="str">
        <x:v>BL</x:v>
      </x:c>
      <x:c r="B13" s="18" t="str">
        <x:v>0xff09 (hex)</x:v>
      </x:c>
      <x:c r="C13" s="18" t="str">
        <x:v>MB_CMD_ID_BL_ENCRYPT_KEY</x:v>
      </x:c>
      <x:c r="D13" s="18" t="str">
        <x:v>密钥管理</x:v>
      </x:c>
      <x:c r="E13" s="18" t="str">
        <x:v>C_SECURITY_SENSITIVE</x:v>
      </x:c>
      <x:c r="F13" s="18" t="str">
        <x:v>TARGET_HEADER_BASELINE</x:v>
      </x:c>
      <x:c r="G13" s="18" t="str">
        <x:v>VENDOR_IMPLEMENTATION</x:v>
      </x:c>
      <x:c r="H13" s="18" t="str">
        <x:v>REQUIRED</x:v>
      </x:c>
      <x:c r="I13" s="18" t="str">
        <x:v>BASIC_ONLY_CURRENT_SCOPE</x:v>
      </x:c>
      <x:c r="J13" s="18" t="str">
        <x:v>HOST_LOCAL_NEGATIVE_NOT_PLANNED</x:v>
      </x:c>
      <x:c r="K13" s="18" t="str">
        <x:v>MEDIUM_HIGH</x:v>
      </x:c>
      <x:c r="L13" s="18" t="str">
        <x:v>MUST_PASS_BASIC</x:v>
      </x:c>
      <x:c r="M13" s="18" t="str">
        <x:v>eHSM BL 2.3.5-4019-72f8fdc/inc/mb.h</x:v>
      </x:c>
      <x:c r="N13" s="18" t="str">
        <x:v>Command ID for bl_encrypt_key</x:v>
      </x:c>
    </x:row>
    <x:row r="14" ht="42" customHeight="1">
      <x:c r="A14" s="18" t="str">
        <x:v>BL</x:v>
      </x:c>
      <x:c r="B14" s="18" t="str">
        <x:v>0xff0e (hex)</x:v>
      </x:c>
      <x:c r="C14" s="18" t="str">
        <x:v>MB_CMD_ID_BL_CLOSE_DEBUG</x:v>
      </x:c>
      <x:c r="D14" s="18" t="str">
        <x:v>调试/鉴权</x:v>
      </x:c>
      <x:c r="E14" s="18" t="str">
        <x:v>C_SECURITY_SENSITIVE</x:v>
      </x:c>
      <x:c r="F14" s="18" t="str">
        <x:v>TARGET_HEADER_BASELINE</x:v>
      </x:c>
      <x:c r="G14" s="18" t="str">
        <x:v>VENDOR_IMPLEMENTATION</x:v>
      </x:c>
      <x:c r="H14" s="18" t="str">
        <x:v>REQUIRED</x:v>
      </x:c>
      <x:c r="I14" s="18" t="str">
        <x:v>BASIC_ONLY_CURRENT_SCOPE</x:v>
      </x:c>
      <x:c r="J14" s="18" t="str">
        <x:v>HOST_LOCAL_NEGATIVE_NOT_PLANNED</x:v>
      </x:c>
      <x:c r="K14" s="18" t="str">
        <x:v>MEDIUM_HIGH</x:v>
      </x:c>
      <x:c r="L14" s="18" t="str">
        <x:v>MUST_PASS_BASIC</x:v>
      </x:c>
      <x:c r="M14" s="18" t="str">
        <x:v>eHSM BL 2.3.5-4019-72f8fdc/inc/mb.h</x:v>
      </x:c>
      <x:c r="N14" s="18" t="str">
        <x:v>Command ID for bl_close_debug</x:v>
      </x:c>
    </x:row>
    <x:row r="15" ht="42" customHeight="1">
      <x:c r="A15" s="18" t="str">
        <x:v>BL</x:v>
      </x:c>
      <x:c r="B15" s="18" t="str">
        <x:v>0xff10 (hex)</x:v>
      </x:c>
      <x:c r="C15" s="18" t="str">
        <x:v>MB_CMD_ID_BL_READ_VER</x:v>
      </x:c>
      <x:c r="D15" s="18" t="str">
        <x:v>自检/状态/版本</x:v>
      </x:c>
      <x:c r="E15" s="18" t="str">
        <x:v>A_PUBLIC_READ_ONLY</x:v>
      </x:c>
      <x:c r="F15" s="18" t="str">
        <x:v>TARGET_HEADER_BASELINE</x:v>
      </x:c>
      <x:c r="G15" s="18" t="str">
        <x:v>VENDOR_IMPLEMENTATION</x:v>
      </x:c>
      <x:c r="H15" s="18" t="str">
        <x:v>REQUIRED</x:v>
      </x:c>
      <x:c r="I15" s="18" t="str">
        <x:v>BASIC_ONLY_CURRENT_SCOPE</x:v>
      </x:c>
      <x:c r="J15" s="18" t="str">
        <x:v>HOST_LOCAL_NEGATIVE_NOT_PLANNED</x:v>
      </x:c>
      <x:c r="K15" s="18" t="str">
        <x:v>LOW</x:v>
      </x:c>
      <x:c r="L15" s="18" t="str">
        <x:v>MUST_PASS_BASIC</x:v>
      </x:c>
      <x:c r="M15" s="18" t="str">
        <x:v>eHSM BL 2.3.5-4019-72f8fdc/inc/mb.h</x:v>
      </x:c>
      <x:c r="N15" s="18" t="str">
        <x:v>Command ID for bl_read_ver</x:v>
      </x:c>
    </x:row>
    <x:row r="16" ht="42" customHeight="1">
      <x:c r="A16" s="18" t="str">
        <x:v>BL</x:v>
      </x:c>
      <x:c r="B16" s="18" t="str">
        <x:v>0xff11 (hex)</x:v>
      </x:c>
      <x:c r="C16" s="18" t="str">
        <x:v>MB_CMD_ID_BL_READ_SELF_TEST_RESULT</x:v>
      </x:c>
      <x:c r="D16" s="18" t="str">
        <x:v>自检/状态/版本</x:v>
      </x:c>
      <x:c r="E16" s="18" t="str">
        <x:v>B_DATA_PROCESSING</x:v>
      </x:c>
      <x:c r="F16" s="18" t="str">
        <x:v>TARGET_HEADER_BASELINE</x:v>
      </x:c>
      <x:c r="G16" s="18" t="str">
        <x:v>VENDOR_IMPLEMENTATION</x:v>
      </x:c>
      <x:c r="H16" s="18" t="str">
        <x:v>REQUIRED</x:v>
      </x:c>
      <x:c r="I16" s="18" t="str">
        <x:v>BASIC_ONLY_CURRENT_SCOPE</x:v>
      </x:c>
      <x:c r="J16" s="18" t="str">
        <x:v>HOST_LOCAL_NEGATIVE_NOT_PLANNED</x:v>
      </x:c>
      <x:c r="K16" s="18" t="str">
        <x:v>MEDIUM</x:v>
      </x:c>
      <x:c r="L16" s="18" t="str">
        <x:v>MUST_PASS_BASIC</x:v>
      </x:c>
      <x:c r="M16" s="18" t="str">
        <x:v>eHSM BL 2.3.5-4019-72f8fdc/inc/mb.h</x:v>
      </x:c>
      <x:c r="N16" s="18" t="str">
        <x:v>Command ID for bl_read_self_test_result</x:v>
      </x:c>
    </x:row>
    <x:row r="17" ht="42" customHeight="1">
      <x:c r="A17" s="18" t="str">
        <x:v>BL</x:v>
      </x:c>
      <x:c r="B17" s="18" t="str">
        <x:v>0xff23 (hex)</x:v>
      </x:c>
      <x:c r="C17" s="18" t="str">
        <x:v>MB_CMD_ID_BL_REG_WR</x:v>
      </x:c>
      <x:c r="D17" s="18" t="str">
        <x:v>平台/诊断</x:v>
      </x:c>
      <x:c r="E17" s="18" t="str">
        <x:v>C_SECURITY_SENSITIVE</x:v>
      </x:c>
      <x:c r="F17" s="18" t="str">
        <x:v>TARGET_HEADER_BASELINE</x:v>
      </x:c>
      <x:c r="G17" s="18" t="str">
        <x:v>VENDOR_IMPLEMENTATION</x:v>
      </x:c>
      <x:c r="H17" s="18" t="str">
        <x:v>REQUIRED</x:v>
      </x:c>
      <x:c r="I17" s="18" t="str">
        <x:v>BASIC_ONLY_CURRENT_SCOPE</x:v>
      </x:c>
      <x:c r="J17" s="18" t="str">
        <x:v>HOST_LOCAL_NEGATIVE_NOT_PLANNED</x:v>
      </x:c>
      <x:c r="K17" s="18" t="str">
        <x:v>MEDIUM_HIGH</x:v>
      </x:c>
      <x:c r="L17" s="18" t="str">
        <x:v>MUST_PASS_BASIC</x:v>
      </x:c>
      <x:c r="M17" s="18" t="str">
        <x:v>eHSM BL 2.3.5-4019-72f8fdc/inc/mb.h</x:v>
      </x:c>
      <x:c r="N17" s="18" t="str">
        <x:v>Command ID for bl_reg_wr</x:v>
      </x:c>
    </x:row>
    <x:row r="18" ht="42" customHeight="1">
      <x:c r="A18" s="18" t="str">
        <x:v>BL</x:v>
      </x:c>
      <x:c r="B18" s="18" t="str">
        <x:v>0xff24 (hex)</x:v>
      </x:c>
      <x:c r="C18" s="18" t="str">
        <x:v>MB_CMD_ID_BL_REG_RD</x:v>
      </x:c>
      <x:c r="D18" s="18" t="str">
        <x:v>平台/诊断</x:v>
      </x:c>
      <x:c r="E18" s="18" t="str">
        <x:v>C_SECURITY_SENSITIVE</x:v>
      </x:c>
      <x:c r="F18" s="18" t="str">
        <x:v>TARGET_HEADER_BASELINE</x:v>
      </x:c>
      <x:c r="G18" s="18" t="str">
        <x:v>VENDOR_IMPLEMENTATION</x:v>
      </x:c>
      <x:c r="H18" s="18" t="str">
        <x:v>REQUIRED</x:v>
      </x:c>
      <x:c r="I18" s="18" t="str">
        <x:v>BASIC_ONLY_CURRENT_SCOPE</x:v>
      </x:c>
      <x:c r="J18" s="18" t="str">
        <x:v>HOST_LOCAL_NEGATIVE_NOT_PLANNED</x:v>
      </x:c>
      <x:c r="K18" s="18" t="str">
        <x:v>MEDIUM_HIGH</x:v>
      </x:c>
      <x:c r="L18" s="18" t="str">
        <x:v>MUST_PASS_BASIC</x:v>
      </x:c>
      <x:c r="M18" s="18" t="str">
        <x:v>eHSM BL 2.3.5-4019-72f8fdc/inc/mb.h</x:v>
      </x:c>
      <x:c r="N18" s="18" t="str">
        <x:v>Command ID for bl_reg_rd</x:v>
      </x:c>
    </x:row>
    <x:row r="19" ht="42" customHeight="1">
      <x:c r="A19" s="18" t="str">
        <x:v>FW</x:v>
      </x:c>
      <x:c r="B19" s="18" t="str">
        <x:v>0x0070 (hex)</x:v>
      </x:c>
      <x:c r="C19" s="18" t="str">
        <x:v>MB_CMD_ID_GET_EMU</x:v>
      </x:c>
      <x:c r="D19" s="18" t="str">
        <x:v>自检/状态/版本</x:v>
      </x:c>
      <x:c r="E19" s="18" t="str">
        <x:v>A_PUBLIC_READ_ONLY</x:v>
      </x:c>
      <x:c r="F19" s="18" t="str">
        <x:v>TARGET_HEADER_BASELINE</x:v>
      </x:c>
      <x:c r="G19" s="18" t="str">
        <x:v>VENDOR_IMPLEMENTATION</x:v>
      </x:c>
      <x:c r="H19" s="18" t="str">
        <x:v>REQUIRED</x:v>
      </x:c>
      <x:c r="I19" s="18" t="str">
        <x:v>BASIC_ONLY_CURRENT_SCOPE</x:v>
      </x:c>
      <x:c r="J19" s="18" t="str">
        <x:v>HOST_LOCAL_NEGATIVE_NOT_PLANNED</x:v>
      </x:c>
      <x:c r="K19" s="18" t="str">
        <x:v>LOW</x:v>
      </x:c>
      <x:c r="L19" s="18" t="str">
        <x:v>MUST_PASS_BASIC</x:v>
      </x:c>
      <x:c r="M19" s="18" t="str">
        <x:v>eHSM FW 2.3.3-4019-6234423/inc/mb.h</x:v>
      </x:c>
      <x:c r="N19" s="18" t="str">
        <x:v>Command ID for get_emu</x:v>
      </x:c>
    </x:row>
    <x:row r="20" ht="42" customHeight="1">
      <x:c r="A20" s="18" t="str">
        <x:v>FW</x:v>
      </x:c>
      <x:c r="B20" s="18" t="str">
        <x:v>0x0101 (hex)</x:v>
      </x:c>
      <x:c r="C20" s="18" t="str">
        <x:v>MB_CMD_ID_SYMM_CIPHER</x:v>
      </x:c>
      <x:c r="D20" s="18" t="str">
        <x:v>对称密码</x:v>
      </x:c>
      <x:c r="E20" s="18" t="str">
        <x:v>B_DATA_PROCESSING</x:v>
      </x:c>
      <x:c r="F20" s="18" t="str">
        <x:v>TARGET_HEADER_BASELINE</x:v>
      </x:c>
      <x:c r="G20" s="18" t="str">
        <x:v>VENDOR_IMPLEMENTATION</x:v>
      </x:c>
      <x:c r="H20" s="18" t="str">
        <x:v>REQUIRED</x:v>
      </x:c>
      <x:c r="I20" s="18" t="str">
        <x:v>COVERED_BY_EHSM_NEGATIVE_FAMILY</x:v>
      </x:c>
      <x:c r="J20" s="18" t="str">
        <x:v>HOST_LOCAL_NEGATIVE_NOT_PLANNED</x:v>
      </x:c>
      <x:c r="K20" s="18" t="str">
        <x:v>MEDIUM</x:v>
      </x:c>
      <x:c r="L20" s="18" t="str">
        <x:v>MUST_PASS_BASIC</x:v>
      </x:c>
      <x:c r="M20" s="18" t="str">
        <x:v>eHSM FW 2.3.3-4019-6234423/inc/mb.h</x:v>
      </x:c>
      <x:c r="N20" s="18" t="str">
        <x:v>Command ID for symm_cipher</x:v>
      </x:c>
    </x:row>
    <x:row r="21" ht="42" customHeight="1">
      <x:c r="A21" s="18" t="str">
        <x:v>FW</x:v>
      </x:c>
      <x:c r="B21" s="18" t="str">
        <x:v>0x0102 (hex)</x:v>
      </x:c>
      <x:c r="C21" s="18" t="str">
        <x:v>MB_CMD_ID_AEAD_GCM</x:v>
      </x:c>
      <x:c r="D21" s="18" t="str">
        <x:v>对称密码</x:v>
      </x:c>
      <x:c r="E21" s="18" t="str">
        <x:v>B_DATA_PROCESSING</x:v>
      </x:c>
      <x:c r="F21" s="18" t="str">
        <x:v>TARGET_HEADER_BASELINE</x:v>
      </x:c>
      <x:c r="G21" s="18" t="str">
        <x:v>VENDOR_IMPLEMENTATION</x:v>
      </x:c>
      <x:c r="H21" s="18" t="str">
        <x:v>REQUIRED</x:v>
      </x:c>
      <x:c r="I21" s="18" t="str">
        <x:v>COVERED_BY_EHSM_NEGATIVE_FAMILY</x:v>
      </x:c>
      <x:c r="J21" s="18" t="str">
        <x:v>HOST_LOCAL_NEGATIVE_NOT_PLANNED</x:v>
      </x:c>
      <x:c r="K21" s="18" t="str">
        <x:v>MEDIUM</x:v>
      </x:c>
      <x:c r="L21" s="18" t="str">
        <x:v>MUST_PASS_BASIC</x:v>
      </x:c>
      <x:c r="M21" s="18" t="str">
        <x:v>eHSM FW 2.3.3-4019-6234423/inc/mb.h</x:v>
      </x:c>
      <x:c r="N21" s="18" t="str">
        <x:v>Command ID for aead_gcm</x:v>
      </x:c>
    </x:row>
    <x:row r="22" ht="42" customHeight="1">
      <x:c r="A22" s="18" t="str">
        <x:v>FW</x:v>
      </x:c>
      <x:c r="B22" s="18" t="str">
        <x:v>0x0103 (hex)</x:v>
      </x:c>
      <x:c r="C22" s="18" t="str">
        <x:v>MB_CMD_ID_AEAD_CCM</x:v>
      </x:c>
      <x:c r="D22" s="18" t="str">
        <x:v>对称密码</x:v>
      </x:c>
      <x:c r="E22" s="18" t="str">
        <x:v>B_DATA_PROCESSING</x:v>
      </x:c>
      <x:c r="F22" s="18" t="str">
        <x:v>TARGET_HEADER_BASELINE</x:v>
      </x:c>
      <x:c r="G22" s="18" t="str">
        <x:v>VENDOR_IMPLEMENTATION</x:v>
      </x:c>
      <x:c r="H22" s="18" t="str">
        <x:v>REQUIRED</x:v>
      </x:c>
      <x:c r="I22" s="18" t="str">
        <x:v>COVERED_BY_EHSM_NEGATIVE_FAMILY</x:v>
      </x:c>
      <x:c r="J22" s="18" t="str">
        <x:v>HOST_LOCAL_NEGATIVE_NOT_PLANNED</x:v>
      </x:c>
      <x:c r="K22" s="18" t="str">
        <x:v>MEDIUM</x:v>
      </x:c>
      <x:c r="L22" s="18" t="str">
        <x:v>MUST_PASS_BASIC</x:v>
      </x:c>
      <x:c r="M22" s="18" t="str">
        <x:v>eHSM FW 2.3.3-4019-6234423/inc/mb.h</x:v>
      </x:c>
      <x:c r="N22" s="18" t="str">
        <x:v>Command ID for aead_ccm</x:v>
      </x:c>
    </x:row>
    <x:row r="23" ht="42" customHeight="1">
      <x:c r="A23" s="18" t="str">
        <x:v>FW</x:v>
      </x:c>
      <x:c r="B23" s="18" t="str">
        <x:v>0x0201 (hex)</x:v>
      </x:c>
      <x:c r="C23" s="18" t="str">
        <x:v>MB_CMD_ID_MAC</x:v>
      </x:c>
      <x:c r="D23" s="18" t="str">
        <x:v>对称密码</x:v>
      </x:c>
      <x:c r="E23" s="18" t="str">
        <x:v>B_DATA_PROCESSING</x:v>
      </x:c>
      <x:c r="F23" s="18" t="str">
        <x:v>TARGET_HEADER_BASELINE</x:v>
      </x:c>
      <x:c r="G23" s="18" t="str">
        <x:v>VENDOR_IMPLEMENTATION</x:v>
      </x:c>
      <x:c r="H23" s="18" t="str">
        <x:v>REQUIRED</x:v>
      </x:c>
      <x:c r="I23" s="18" t="str">
        <x:v>COVERED_BY_EHSM_NEGATIVE_FAMILY</x:v>
      </x:c>
      <x:c r="J23" s="18" t="str">
        <x:v>HOST_LOCAL_NEGATIVE_NOT_PLANNED</x:v>
      </x:c>
      <x:c r="K23" s="18" t="str">
        <x:v>MEDIUM</x:v>
      </x:c>
      <x:c r="L23" s="18" t="str">
        <x:v>MUST_PASS_BASIC</x:v>
      </x:c>
      <x:c r="M23" s="18" t="str">
        <x:v>eHSM FW 2.3.3-4019-6234423/inc/mb.h</x:v>
      </x:c>
      <x:c r="N23" s="18" t="str">
        <x:v>Command ID for mac</x:v>
      </x:c>
    </x:row>
    <x:row r="24" ht="42" customHeight="1">
      <x:c r="A24" s="18" t="str">
        <x:v>FW</x:v>
      </x:c>
      <x:c r="B24" s="18" t="str">
        <x:v>0x0301 (hex)</x:v>
      </x:c>
      <x:c r="C24" s="18" t="str">
        <x:v>MB_CMD_ID_HASH</x:v>
      </x:c>
      <x:c r="D24" s="18" t="str">
        <x:v>摘要/HMAC</x:v>
      </x:c>
      <x:c r="E24" s="18" t="str">
        <x:v>B_DATA_PROCESSING</x:v>
      </x:c>
      <x:c r="F24" s="18" t="str">
        <x:v>TARGET_HEADER_BASELINE</x:v>
      </x:c>
      <x:c r="G24" s="18" t="str">
        <x:v>VENDOR_IMPLEMENTATION</x:v>
      </x:c>
      <x:c r="H24" s="18" t="str">
        <x:v>REQUIRED</x:v>
      </x:c>
      <x:c r="I24" s="18" t="str">
        <x:v>BASIC_ONLY_CURRENT_SCOPE</x:v>
      </x:c>
      <x:c r="J24" s="18" t="str">
        <x:v>HOST_LOCAL_NEGATIVE_NOT_PLANNED</x:v>
      </x:c>
      <x:c r="K24" s="18" t="str">
        <x:v>MEDIUM</x:v>
      </x:c>
      <x:c r="L24" s="18" t="str">
        <x:v>MUST_PASS_BASIC</x:v>
      </x:c>
      <x:c r="M24" s="18" t="str">
        <x:v>eHSM FW 2.3.3-4019-6234423/inc/mb.h</x:v>
      </x:c>
      <x:c r="N24" s="18" t="str">
        <x:v>Command ID for hash</x:v>
      </x:c>
    </x:row>
    <x:row r="25" ht="42" customHeight="1">
      <x:c r="A25" s="18" t="str">
        <x:v>FW</x:v>
      </x:c>
      <x:c r="B25" s="18" t="str">
        <x:v>0x0302 (hex)</x:v>
      </x:c>
      <x:c r="C25" s="18" t="str">
        <x:v>MB_CMD_ID_HMAC</x:v>
      </x:c>
      <x:c r="D25" s="18" t="str">
        <x:v>摘要/HMAC</x:v>
      </x:c>
      <x:c r="E25" s="18" t="str">
        <x:v>B_DATA_PROCESSING</x:v>
      </x:c>
      <x:c r="F25" s="18" t="str">
        <x:v>TARGET_HEADER_BASELINE</x:v>
      </x:c>
      <x:c r="G25" s="18" t="str">
        <x:v>VENDOR_IMPLEMENTATION</x:v>
      </x:c>
      <x:c r="H25" s="18" t="str">
        <x:v>REQUIRED</x:v>
      </x:c>
      <x:c r="I25" s="18" t="str">
        <x:v>COVERED_BY_EHSM_NEGATIVE_FAMILY</x:v>
      </x:c>
      <x:c r="J25" s="18" t="str">
        <x:v>HOST_LOCAL_NEGATIVE_NOT_PLANNED</x:v>
      </x:c>
      <x:c r="K25" s="18" t="str">
        <x:v>MEDIUM</x:v>
      </x:c>
      <x:c r="L25" s="18" t="str">
        <x:v>MUST_PASS_BASIC</x:v>
      </x:c>
      <x:c r="M25" s="18" t="str">
        <x:v>eHSM FW 2.3.3-4019-6234423/inc/mb.h</x:v>
      </x:c>
      <x:c r="N25" s="18" t="str">
        <x:v>Command ID for hmac</x:v>
      </x:c>
    </x:row>
    <x:row r="26" ht="42" customHeight="1">
      <x:c r="A26" s="18" t="str">
        <x:v>FW</x:v>
      </x:c>
      <x:c r="B26" s="18" t="str">
        <x:v>0x0401 (hex)</x:v>
      </x:c>
      <x:c r="C26" s="18" t="str">
        <x:v>MB_CMD_ID_SM2_CIPHER</x:v>
      </x:c>
      <x:c r="D26" s="18" t="str">
        <x:v>非对称/PQC</x:v>
      </x:c>
      <x:c r="E26" s="18" t="str">
        <x:v>B_DATA_PROCESSING</x:v>
      </x:c>
      <x:c r="F26" s="18" t="str">
        <x:v>TARGET_HEADER_BASELINE</x:v>
      </x:c>
      <x:c r="G26" s="18" t="str">
        <x:v>VENDOR_IMPLEMENTATION</x:v>
      </x:c>
      <x:c r="H26" s="18" t="str">
        <x:v>REQUIRED</x:v>
      </x:c>
      <x:c r="I26" s="18" t="str">
        <x:v>BASIC_ONLY_CURRENT_SCOPE</x:v>
      </x:c>
      <x:c r="J26" s="18" t="str">
        <x:v>HOST_LOCAL_NEGATIVE_NOT_PLANNED</x:v>
      </x:c>
      <x:c r="K26" s="18" t="str">
        <x:v>MEDIUM</x:v>
      </x:c>
      <x:c r="L26" s="18" t="str">
        <x:v>MUST_PASS_BASIC</x:v>
      </x:c>
      <x:c r="M26" s="18" t="str">
        <x:v>eHSM FW 2.3.3-4019-6234423/inc/mb.h</x:v>
      </x:c>
      <x:c r="N26" s="18" t="str">
        <x:v>Command ID for sm2_cipher</x:v>
      </x:c>
    </x:row>
    <x:row r="27" ht="42" customHeight="1">
      <x:c r="A27" s="18" t="str">
        <x:v>FW</x:v>
      </x:c>
      <x:c r="B27" s="18" t="str">
        <x:v>0x0402 (hex)</x:v>
      </x:c>
      <x:c r="C27" s="18" t="str">
        <x:v>MB_CMD_ID_SM2_SIGN</x:v>
      </x:c>
      <x:c r="D27" s="18" t="str">
        <x:v>非对称/PQC</x:v>
      </x:c>
      <x:c r="E27" s="18" t="str">
        <x:v>B_DATA_PROCESSING</x:v>
      </x:c>
      <x:c r="F27" s="18" t="str">
        <x:v>TARGET_HEADER_BASELINE</x:v>
      </x:c>
      <x:c r="G27" s="18" t="str">
        <x:v>VENDOR_IMPLEMENTATION</x:v>
      </x:c>
      <x:c r="H27" s="18" t="str">
        <x:v>REQUIRED</x:v>
      </x:c>
      <x:c r="I27" s="18" t="str">
        <x:v>COVERED_BY_EHSM_NEGATIVE_FAMILY</x:v>
      </x:c>
      <x:c r="J27" s="18" t="str">
        <x:v>HOST_LOCAL_NEGATIVE_NOT_PLANNED</x:v>
      </x:c>
      <x:c r="K27" s="18" t="str">
        <x:v>MEDIUM</x:v>
      </x:c>
      <x:c r="L27" s="18" t="str">
        <x:v>MUST_PASS_BASIC</x:v>
      </x:c>
      <x:c r="M27" s="18" t="str">
        <x:v>eHSM FW 2.3.3-4019-6234423/inc/mb.h</x:v>
      </x:c>
      <x:c r="N27" s="18" t="str">
        <x:v>Command ID for sm2_sign</x:v>
      </x:c>
    </x:row>
    <x:row r="28" ht="42" customHeight="1">
      <x:c r="A28" s="18" t="str">
        <x:v>FW</x:v>
      </x:c>
      <x:c r="B28" s="18" t="str">
        <x:v>0x0501 (hex)</x:v>
      </x:c>
      <x:c r="C28" s="18" t="str">
        <x:v>MB_CMD_ID_RSA_CIPHER</x:v>
      </x:c>
      <x:c r="D28" s="18" t="str">
        <x:v>非对称/PQC</x:v>
      </x:c>
      <x:c r="E28" s="18" t="str">
        <x:v>B_DATA_PROCESSING</x:v>
      </x:c>
      <x:c r="F28" s="18" t="str">
        <x:v>TARGET_HEADER_BASELINE</x:v>
      </x:c>
      <x:c r="G28" s="18" t="str">
        <x:v>VENDOR_IMPLEMENTATION</x:v>
      </x:c>
      <x:c r="H28" s="18" t="str">
        <x:v>REQUIRED</x:v>
      </x:c>
      <x:c r="I28" s="18" t="str">
        <x:v>BASIC_ONLY_CURRENT_SCOPE</x:v>
      </x:c>
      <x:c r="J28" s="18" t="str">
        <x:v>HOST_LOCAL_NEGATIVE_NOT_PLANNED</x:v>
      </x:c>
      <x:c r="K28" s="18" t="str">
        <x:v>MEDIUM</x:v>
      </x:c>
      <x:c r="L28" s="18" t="str">
        <x:v>MUST_PASS_BASIC</x:v>
      </x:c>
      <x:c r="M28" s="18" t="str">
        <x:v>eHSM FW 2.3.3-4019-6234423/inc/mb.h</x:v>
      </x:c>
      <x:c r="N28" s="18" t="str">
        <x:v>Command ID for Rsa_cipher</x:v>
      </x:c>
    </x:row>
    <x:row r="29" ht="42" customHeight="1">
      <x:c r="A29" s="18" t="str">
        <x:v>FW</x:v>
      </x:c>
      <x:c r="B29" s="18" t="str">
        <x:v>0x0502 (hex)</x:v>
      </x:c>
      <x:c r="C29" s="18" t="str">
        <x:v>MB_CMD_ID_RSA_SIGN</x:v>
      </x:c>
      <x:c r="D29" s="18" t="str">
        <x:v>非对称/PQC</x:v>
      </x:c>
      <x:c r="E29" s="18" t="str">
        <x:v>B_DATA_PROCESSING</x:v>
      </x:c>
      <x:c r="F29" s="18" t="str">
        <x:v>TARGET_HEADER_BASELINE</x:v>
      </x:c>
      <x:c r="G29" s="18" t="str">
        <x:v>VENDOR_IMPLEMENTATION</x:v>
      </x:c>
      <x:c r="H29" s="18" t="str">
        <x:v>REQUIRED</x:v>
      </x:c>
      <x:c r="I29" s="18" t="str">
        <x:v>COVERED_BY_EHSM_NEGATIVE_FAMILY</x:v>
      </x:c>
      <x:c r="J29" s="18" t="str">
        <x:v>HOST_LOCAL_NEGATIVE_NOT_PLANNED</x:v>
      </x:c>
      <x:c r="K29" s="18" t="str">
        <x:v>MEDIUM</x:v>
      </x:c>
      <x:c r="L29" s="18" t="str">
        <x:v>MUST_PASS_BASIC</x:v>
      </x:c>
      <x:c r="M29" s="18" t="str">
        <x:v>eHSM FW 2.3.3-4019-6234423/inc/mb.h</x:v>
      </x:c>
      <x:c r="N29" s="18" t="str">
        <x:v>Command ID for Rsa_sign</x:v>
      </x:c>
    </x:row>
    <x:row r="30" ht="42" customHeight="1">
      <x:c r="A30" s="18" t="str">
        <x:v>FW</x:v>
      </x:c>
      <x:c r="B30" s="18" t="str">
        <x:v>0x0601 (hex)</x:v>
      </x:c>
      <x:c r="C30" s="18" t="str">
        <x:v>MB_CMD_ID_ECDSA</x:v>
      </x:c>
      <x:c r="D30" s="18" t="str">
        <x:v>非对称/PQC</x:v>
      </x:c>
      <x:c r="E30" s="18" t="str">
        <x:v>B_DATA_PROCESSING</x:v>
      </x:c>
      <x:c r="F30" s="18" t="str">
        <x:v>TARGET_HEADER_BASELINE</x:v>
      </x:c>
      <x:c r="G30" s="18" t="str">
        <x:v>VENDOR_IMPLEMENTATION</x:v>
      </x:c>
      <x:c r="H30" s="18" t="str">
        <x:v>REQUIRED</x:v>
      </x:c>
      <x:c r="I30" s="18" t="str">
        <x:v>COVERED_BY_EHSM_NEGATIVE_FAMILY</x:v>
      </x:c>
      <x:c r="J30" s="18" t="str">
        <x:v>HOST_LOCAL_NEGATIVE_NOT_PLANNED</x:v>
      </x:c>
      <x:c r="K30" s="18" t="str">
        <x:v>MEDIUM</x:v>
      </x:c>
      <x:c r="L30" s="18" t="str">
        <x:v>MUST_PASS_BASIC</x:v>
      </x:c>
      <x:c r="M30" s="18" t="str">
        <x:v>eHSM FW 2.3.3-4019-6234423/inc/mb.h</x:v>
      </x:c>
      <x:c r="N30" s="18" t="str">
        <x:v>Command ID for Ecdsa</x:v>
      </x:c>
    </x:row>
    <x:row r="31" ht="42" customHeight="1">
      <x:c r="A31" s="18" t="str">
        <x:v>FW</x:v>
      </x:c>
      <x:c r="B31" s="18" t="str">
        <x:v>0x0801 (hex)</x:v>
      </x:c>
      <x:c r="C31" s="18" t="str">
        <x:v>MB_CMD_ID_EHSM_IMPORT_KEY</x:v>
      </x:c>
      <x:c r="D31" s="18" t="str">
        <x:v>密钥管理</x:v>
      </x:c>
      <x:c r="E31" s="18" t="str">
        <x:v>C_SECURITY_SENSITIVE</x:v>
      </x:c>
      <x:c r="F31" s="18" t="str">
        <x:v>TARGET_HEADER_BASELINE</x:v>
      </x:c>
      <x:c r="G31" s="18" t="str">
        <x:v>VENDOR_IMPLEMENTATION</x:v>
      </x:c>
      <x:c r="H31" s="18" t="str">
        <x:v>REQUIRED</x:v>
      </x:c>
      <x:c r="I31" s="18" t="str">
        <x:v>COVERED_BY_EHSM_NEGATIVE_FAMILY</x:v>
      </x:c>
      <x:c r="J31" s="18" t="str">
        <x:v>HOST_LOCAL_NEGATIVE_NOT_PLANNED</x:v>
      </x:c>
      <x:c r="K31" s="18" t="str">
        <x:v>MEDIUM_HIGH</x:v>
      </x:c>
      <x:c r="L31" s="18" t="str">
        <x:v>MUST_PASS_BASIC</x:v>
      </x:c>
      <x:c r="M31" s="18" t="str">
        <x:v>eHSM FW 2.3.3-4019-6234423/inc/mb.h</x:v>
      </x:c>
      <x:c r="N31" s="18" t="str">
        <x:v>Command ID for ehsm_import_key</x:v>
      </x:c>
    </x:row>
    <x:row r="32" ht="42" customHeight="1">
      <x:c r="A32" s="18" t="str">
        <x:v>FW</x:v>
      </x:c>
      <x:c r="B32" s="18" t="str">
        <x:v>0x0802 (hex)</x:v>
      </x:c>
      <x:c r="C32" s="18" t="str">
        <x:v>MB_CMD_ID_EHSM_EXPORT_KEY</x:v>
      </x:c>
      <x:c r="D32" s="18" t="str">
        <x:v>密钥管理</x:v>
      </x:c>
      <x:c r="E32" s="18" t="str">
        <x:v>C_SECURITY_SENSITIVE</x:v>
      </x:c>
      <x:c r="F32" s="18" t="str">
        <x:v>TARGET_HEADER_BASELINE</x:v>
      </x:c>
      <x:c r="G32" s="18" t="str">
        <x:v>VENDOR_IMPLEMENTATION</x:v>
      </x:c>
      <x:c r="H32" s="18" t="str">
        <x:v>REQUIRED</x:v>
      </x:c>
      <x:c r="I32" s="18" t="str">
        <x:v>COVERED_BY_EHSM_NEGATIVE_FAMILY</x:v>
      </x:c>
      <x:c r="J32" s="18" t="str">
        <x:v>HOST_LOCAL_NEGATIVE_NOT_PLANNED</x:v>
      </x:c>
      <x:c r="K32" s="18" t="str">
        <x:v>MEDIUM_HIGH</x:v>
      </x:c>
      <x:c r="L32" s="18" t="str">
        <x:v>MUST_PASS_BASIC</x:v>
      </x:c>
      <x:c r="M32" s="18" t="str">
        <x:v>eHSM FW 2.3.3-4019-6234423/inc/mb.h</x:v>
      </x:c>
      <x:c r="N32" s="18" t="str">
        <x:v>Command ID for ehsm_export_key</x:v>
      </x:c>
    </x:row>
    <x:row r="33" ht="42" customHeight="1">
      <x:c r="A33" s="18" t="str">
        <x:v>FW</x:v>
      </x:c>
      <x:c r="B33" s="18" t="str">
        <x:v>0x0805 (hex)</x:v>
      </x:c>
      <x:c r="C33" s="18" t="str">
        <x:v>MB_CMD_ID_EHSM_GET_PUB_FROM_PRIV</x:v>
      </x:c>
      <x:c r="D33" s="18" t="str">
        <x:v>其他</x:v>
      </x:c>
      <x:c r="E33" s="18" t="str">
        <x:v>A_PUBLIC_READ_ONLY</x:v>
      </x:c>
      <x:c r="F33" s="18" t="str">
        <x:v>TARGET_HEADER_BASELINE</x:v>
      </x:c>
      <x:c r="G33" s="18" t="str">
        <x:v>VENDOR_IMPLEMENTATION</x:v>
      </x:c>
      <x:c r="H33" s="18" t="str">
        <x:v>REQUIRED</x:v>
      </x:c>
      <x:c r="I33" s="18" t="str">
        <x:v>BASIC_ONLY_CURRENT_SCOPE</x:v>
      </x:c>
      <x:c r="J33" s="18" t="str">
        <x:v>HOST_LOCAL_NEGATIVE_NOT_PLANNED</x:v>
      </x:c>
      <x:c r="K33" s="18" t="str">
        <x:v>LOW</x:v>
      </x:c>
      <x:c r="L33" s="18" t="str">
        <x:v>MUST_PASS_BASIC</x:v>
      </x:c>
      <x:c r="M33" s="18" t="str">
        <x:v>eHSM FW 2.3.3-4019-6234423/inc/mb.h</x:v>
      </x:c>
      <x:c r="N33" s="18" t="str">
        <x:v>Command ID for ehsm_get_pub_from_priv</x:v>
      </x:c>
    </x:row>
    <x:row r="34" ht="42" customHeight="1">
      <x:c r="A34" s="18" t="str">
        <x:v>FW</x:v>
      </x:c>
      <x:c r="B34" s="18" t="str">
        <x:v>0x0806 (hex)</x:v>
      </x:c>
      <x:c r="C34" s="18" t="str">
        <x:v>MB_CMD_ID_EHSM_REMOVE_KEY</x:v>
      </x:c>
      <x:c r="D34" s="18" t="str">
        <x:v>密钥管理</x:v>
      </x:c>
      <x:c r="E34" s="18" t="str">
        <x:v>C_SECURITY_SENSITIVE</x:v>
      </x:c>
      <x:c r="F34" s="18" t="str">
        <x:v>TARGET_HEADER_BASELINE</x:v>
      </x:c>
      <x:c r="G34" s="18" t="str">
        <x:v>VENDOR_IMPLEMENTATION</x:v>
      </x:c>
      <x:c r="H34" s="18" t="str">
        <x:v>REQUIRED</x:v>
      </x:c>
      <x:c r="I34" s="18" t="str">
        <x:v>BASIC_ONLY_CURRENT_SCOPE</x:v>
      </x:c>
      <x:c r="J34" s="18" t="str">
        <x:v>HOST_LOCAL_NEGATIVE_NOT_PLANNED</x:v>
      </x:c>
      <x:c r="K34" s="18" t="str">
        <x:v>MEDIUM_HIGH</x:v>
      </x:c>
      <x:c r="L34" s="18" t="str">
        <x:v>MUST_PASS_BASIC</x:v>
      </x:c>
      <x:c r="M34" s="18" t="str">
        <x:v>eHSM FW 2.3.3-4019-6234423/inc/mb.h</x:v>
      </x:c>
      <x:c r="N34" s="18" t="str">
        <x:v>Command ID for ehsm_remove_key</x:v>
      </x:c>
    </x:row>
    <x:row r="35" ht="42" customHeight="1">
      <x:c r="A35" s="18" t="str">
        <x:v>FW</x:v>
      </x:c>
      <x:c r="B35" s="18" t="str">
        <x:v>0x080d (hex)</x:v>
      </x:c>
      <x:c r="C35" s="18" t="str">
        <x:v>MB_CMD_ID_EHSM_GEN_KEY</x:v>
      </x:c>
      <x:c r="D35" s="18" t="str">
        <x:v>密钥管理</x:v>
      </x:c>
      <x:c r="E35" s="18" t="str">
        <x:v>C_SECURITY_SENSITIVE</x:v>
      </x:c>
      <x:c r="F35" s="18" t="str">
        <x:v>TARGET_HEADER_BASELINE</x:v>
      </x:c>
      <x:c r="G35" s="18" t="str">
        <x:v>VENDOR_IMPLEMENTATION</x:v>
      </x:c>
      <x:c r="H35" s="18" t="str">
        <x:v>REQUIRED</x:v>
      </x:c>
      <x:c r="I35" s="18" t="str">
        <x:v>BASIC_ONLY_CURRENT_SCOPE</x:v>
      </x:c>
      <x:c r="J35" s="18" t="str">
        <x:v>HOST_LOCAL_NEGATIVE_NOT_PLANNED</x:v>
      </x:c>
      <x:c r="K35" s="18" t="str">
        <x:v>MEDIUM_HIGH</x:v>
      </x:c>
      <x:c r="L35" s="18" t="str">
        <x:v>MUST_PASS_BASIC</x:v>
      </x:c>
      <x:c r="M35" s="18" t="str">
        <x:v>eHSM FW 2.3.3-4019-6234423/inc/mb.h</x:v>
      </x:c>
      <x:c r="N35" s="18" t="str">
        <x:v>Command ID for ehsm_gen_key</x:v>
      </x:c>
    </x:row>
    <x:row r="36" ht="42" customHeight="1">
      <x:c r="A36" s="18" t="str">
        <x:v>FW</x:v>
      </x:c>
      <x:c r="B36" s="18" t="str">
        <x:v>0x080e (hex)</x:v>
      </x:c>
      <x:c r="C36" s="18" t="str">
        <x:v>MB_CMD_ID_EHSM_KEY_DERIVE</x:v>
      </x:c>
      <x:c r="D36" s="18" t="str">
        <x:v>密钥管理</x:v>
      </x:c>
      <x:c r="E36" s="18" t="str">
        <x:v>C_SECURITY_SENSITIVE</x:v>
      </x:c>
      <x:c r="F36" s="18" t="str">
        <x:v>TARGET_HEADER_BASELINE</x:v>
      </x:c>
      <x:c r="G36" s="18" t="str">
        <x:v>VENDOR_IMPLEMENTATION</x:v>
      </x:c>
      <x:c r="H36" s="18" t="str">
        <x:v>REQUIRED</x:v>
      </x:c>
      <x:c r="I36" s="18" t="str">
        <x:v>BASIC_ONLY_CURRENT_SCOPE</x:v>
      </x:c>
      <x:c r="J36" s="18" t="str">
        <x:v>HOST_LOCAL_NEGATIVE_NOT_PLANNED</x:v>
      </x:c>
      <x:c r="K36" s="18" t="str">
        <x:v>MEDIUM_HIGH</x:v>
      </x:c>
      <x:c r="L36" s="18" t="str">
        <x:v>MUST_PASS_BASIC</x:v>
      </x:c>
      <x:c r="M36" s="18" t="str">
        <x:v>eHSM FW 2.3.3-4019-6234423/inc/mb.h</x:v>
      </x:c>
      <x:c r="N36" s="18" t="str">
        <x:v>Command ID for ehsm_key_derive</x:v>
      </x:c>
    </x:row>
    <x:row r="37" ht="42" customHeight="1">
      <x:c r="A37" s="18" t="str">
        <x:v>FW</x:v>
      </x:c>
      <x:c r="B37" s="18" t="str">
        <x:v>0x080f (hex)</x:v>
      </x:c>
      <x:c r="C37" s="18" t="str">
        <x:v>MB_CMD_ID_EHSM_KEY_EXCHANGE</x:v>
      </x:c>
      <x:c r="D37" s="18" t="str">
        <x:v>密钥管理</x:v>
      </x:c>
      <x:c r="E37" s="18" t="str">
        <x:v>C_SECURITY_SENSITIVE</x:v>
      </x:c>
      <x:c r="F37" s="18" t="str">
        <x:v>TARGET_HEADER_BASELINE</x:v>
      </x:c>
      <x:c r="G37" s="18" t="str">
        <x:v>VENDOR_IMPLEMENTATION</x:v>
      </x:c>
      <x:c r="H37" s="18" t="str">
        <x:v>REQUIRED</x:v>
      </x:c>
      <x:c r="I37" s="18" t="str">
        <x:v>BASIC_ONLY_CURRENT_SCOPE</x:v>
      </x:c>
      <x:c r="J37" s="18" t="str">
        <x:v>HOST_LOCAL_NEGATIVE_NOT_PLANNED</x:v>
      </x:c>
      <x:c r="K37" s="18" t="str">
        <x:v>MEDIUM_HIGH</x:v>
      </x:c>
      <x:c r="L37" s="18" t="str">
        <x:v>MUST_PASS_BASIC</x:v>
      </x:c>
      <x:c r="M37" s="18" t="str">
        <x:v>eHSM FW 2.3.3-4019-6234423/inc/mb.h</x:v>
      </x:c>
      <x:c r="N37" s="18" t="str">
        <x:v>Command ID for ehsm_key_exchange</x:v>
      </x:c>
    </x:row>
    <x:row r="38" ht="42" customHeight="1">
      <x:c r="A38" s="18" t="str">
        <x:v>FW</x:v>
      </x:c>
      <x:c r="B38" s="18" t="str">
        <x:v>0x0a01 (hex)</x:v>
      </x:c>
      <x:c r="C38" s="18" t="str">
        <x:v>MB_CMD_ID_RNG</x:v>
      </x:c>
      <x:c r="D38" s="18" t="str">
        <x:v>随机数</x:v>
      </x:c>
      <x:c r="E38" s="18" t="str">
        <x:v>B_DATA_PROCESSING</x:v>
      </x:c>
      <x:c r="F38" s="18" t="str">
        <x:v>TARGET_HEADER_BASELINE</x:v>
      </x:c>
      <x:c r="G38" s="18" t="str">
        <x:v>VENDOR_IMPLEMENTATION</x:v>
      </x:c>
      <x:c r="H38" s="18" t="str">
        <x:v>REQUIRED</x:v>
      </x:c>
      <x:c r="I38" s="18" t="str">
        <x:v>BASIC_ONLY_CURRENT_SCOPE</x:v>
      </x:c>
      <x:c r="J38" s="18" t="str">
        <x:v>HOST_LOCAL_NEGATIVE_NOT_PLANNED</x:v>
      </x:c>
      <x:c r="K38" s="18" t="str">
        <x:v>MEDIUM</x:v>
      </x:c>
      <x:c r="L38" s="18" t="str">
        <x:v>MUST_PASS_BASIC</x:v>
      </x:c>
      <x:c r="M38" s="18" t="str">
        <x:v>eHSM FW 2.3.3-4019-6234423/inc/mb.h</x:v>
      </x:c>
      <x:c r="N38" s="18" t="str">
        <x:v>Command ID for rng</x:v>
      </x:c>
    </x:row>
    <x:row r="39" ht="42" customHeight="1">
      <x:c r="A39" s="18" t="str">
        <x:v>FW</x:v>
      </x:c>
      <x:c r="B39" s="18" t="str">
        <x:v>0x0f01 (hex)</x:v>
      </x:c>
      <x:c r="C39" s="18" t="str">
        <x:v>MB_CMD_ID_CHANGE_LIFECYCLE</x:v>
      </x:c>
      <x:c r="D39" s="18" t="str">
        <x:v>生命周期/控制域</x:v>
      </x:c>
      <x:c r="E39" s="18" t="str">
        <x:v>D_IRREVERSIBLE_DESTRUCTIVE</x:v>
      </x:c>
      <x:c r="F39" s="18" t="str">
        <x:v>TARGET_HEADER_BASELINE</x:v>
      </x:c>
      <x:c r="G39" s="18" t="str">
        <x:v>VENDOR_IMPLEMENTATION</x:v>
      </x:c>
      <x:c r="H39" s="18" t="str">
        <x:v>REQUIRED</x:v>
      </x:c>
      <x:c r="I39" s="18" t="str">
        <x:v>COVERED_BY_EHSM_NEGATIVE_FAMILY</x:v>
      </x:c>
      <x:c r="J39" s="18" t="str">
        <x:v>HOST_LOCAL_NEGATIVE_NOT_PLANNED</x:v>
      </x:c>
      <x:c r="K39" s="18" t="str">
        <x:v>HIGH</x:v>
      </x:c>
      <x:c r="L39" s="18" t="str">
        <x:v>DEDICATED_FIXTURE_OR_INCONCLUSIVE</x:v>
      </x:c>
      <x:c r="M39" s="18" t="str">
        <x:v>eHSM FW 2.3.3-4019-6234423/inc/mb.h</x:v>
      </x:c>
      <x:c r="N39" s="18" t="str">
        <x:v>Command ID for change_lifecycle</x:v>
      </x:c>
    </x:row>
    <x:row r="40" ht="42" customHeight="1">
      <x:c r="A40" s="18" t="str">
        <x:v>FW</x:v>
      </x:c>
      <x:c r="B40" s="18" t="str">
        <x:v>0x0f02 (hex)</x:v>
      </x:c>
      <x:c r="C40" s="18" t="str">
        <x:v>MB_CMD_ID_CHANGE_CONTROL_FIELD</x:v>
      </x:c>
      <x:c r="D40" s="18" t="str">
        <x:v>生命周期/控制域</x:v>
      </x:c>
      <x:c r="E40" s="18" t="str">
        <x:v>D_IRREVERSIBLE_DESTRUCTIVE</x:v>
      </x:c>
      <x:c r="F40" s="18" t="str">
        <x:v>TARGET_HEADER_BASELINE</x:v>
      </x:c>
      <x:c r="G40" s="18" t="str">
        <x:v>VENDOR_IMPLEMENTATION</x:v>
      </x:c>
      <x:c r="H40" s="18" t="str">
        <x:v>REQUIRED</x:v>
      </x:c>
      <x:c r="I40" s="18" t="str">
        <x:v>COVERED_BY_EHSM_NEGATIVE_FAMILY</x:v>
      </x:c>
      <x:c r="J40" s="18" t="str">
        <x:v>HOST_LOCAL_NEGATIVE_NOT_PLANNED</x:v>
      </x:c>
      <x:c r="K40" s="18" t="str">
        <x:v>HIGH</x:v>
      </x:c>
      <x:c r="L40" s="18" t="str">
        <x:v>DEDICATED_FIXTURE_OR_INCONCLUSIVE</x:v>
      </x:c>
      <x:c r="M40" s="18" t="str">
        <x:v>eHSM FW 2.3.3-4019-6234423/inc/mb.h</x:v>
      </x:c>
      <x:c r="N40" s="18" t="str">
        <x:v>Command ID for change_control_field</x:v>
      </x:c>
    </x:row>
    <x:row r="41" ht="42" customHeight="1">
      <x:c r="A41" s="18" t="str">
        <x:v>FW</x:v>
      </x:c>
      <x:c r="B41" s="18" t="str">
        <x:v>0x0f04 (hex)</x:v>
      </x:c>
      <x:c r="C41" s="18" t="str">
        <x:v>MB_CMD_ID_SET_UART_BAUDRATE</x:v>
      </x:c>
      <x:c r="D41" s="18" t="str">
        <x:v>平台/诊断</x:v>
      </x:c>
      <x:c r="E41" s="18" t="str">
        <x:v>B_DATA_PROCESSING</x:v>
      </x:c>
      <x:c r="F41" s="18" t="str">
        <x:v>TARGET_HEADER_BASELINE</x:v>
      </x:c>
      <x:c r="G41" s="18" t="str">
        <x:v>VENDOR_IMPLEMENTATION</x:v>
      </x:c>
      <x:c r="H41" s="18" t="str">
        <x:v>REQUIRED</x:v>
      </x:c>
      <x:c r="I41" s="18" t="str">
        <x:v>BASIC_ONLY_CURRENT_SCOPE</x:v>
      </x:c>
      <x:c r="J41" s="18" t="str">
        <x:v>HOST_LOCAL_NEGATIVE_NOT_PLANNED</x:v>
      </x:c>
      <x:c r="K41" s="18" t="str">
        <x:v>MEDIUM</x:v>
      </x:c>
      <x:c r="L41" s="18" t="str">
        <x:v>MUST_PASS_BASIC</x:v>
      </x:c>
      <x:c r="M41" s="18" t="str">
        <x:v>eHSM FW 2.3.3-4019-6234423/inc/mb.h</x:v>
      </x:c>
      <x:c r="N41" s="18" t="str">
        <x:v>Command ID for set_uart_baudrate</x:v>
      </x:c>
    </x:row>
    <x:row r="42" ht="42" customHeight="1">
      <x:c r="A42" s="18" t="str">
        <x:v>FW</x:v>
      </x:c>
      <x:c r="B42" s="18" t="str">
        <x:v>0xff01 (hex)</x:v>
      </x:c>
      <x:c r="C42" s="18" t="str">
        <x:v>MB_CMD_ID_OTP_WRITE</x:v>
      </x:c>
      <x:c r="D42" s="18" t="str">
        <x:v>OTP/eFuse</x:v>
      </x:c>
      <x:c r="E42" s="18" t="str">
        <x:v>D_IRREVERSIBLE_DESTRUCTIVE</x:v>
      </x:c>
      <x:c r="F42" s="18" t="str">
        <x:v>TARGET_HEADER_BASELINE</x:v>
      </x:c>
      <x:c r="G42" s="18" t="str">
        <x:v>VENDOR_IMPLEMENTATION</x:v>
      </x:c>
      <x:c r="H42" s="18" t="str">
        <x:v>REQUIRED</x:v>
      </x:c>
      <x:c r="I42" s="18" t="str">
        <x:v>COVERED_BY_EHSM_NEGATIVE_FAMILY</x:v>
      </x:c>
      <x:c r="J42" s="18" t="str">
        <x:v>HOST_LOCAL_NEGATIVE_NOT_PLANNED</x:v>
      </x:c>
      <x:c r="K42" s="18" t="str">
        <x:v>HIGH</x:v>
      </x:c>
      <x:c r="L42" s="18" t="str">
        <x:v>DEDICATED_FIXTURE_OR_INCONCLUSIVE</x:v>
      </x:c>
      <x:c r="M42" s="18" t="str">
        <x:v>eHSM FW 2.3.3-4019-6234423/inc/mb.h</x:v>
      </x:c>
      <x:c r="N42" s="18" t="str">
        <x:v>Command ID for otp_write</x:v>
      </x:c>
    </x:row>
    <x:row r="43" ht="42" customHeight="1">
      <x:c r="A43" s="18" t="str">
        <x:v>FW</x:v>
      </x:c>
      <x:c r="B43" s="18" t="str">
        <x:v>0xff02 (hex)</x:v>
      </x:c>
      <x:c r="C43" s="18" t="str">
        <x:v>MB_CMD_ID_OTP_READ</x:v>
      </x:c>
      <x:c r="D43" s="18" t="str">
        <x:v>OTP/eFuse</x:v>
      </x:c>
      <x:c r="E43" s="18" t="str">
        <x:v>C_SECURITY_SENSITIVE</x:v>
      </x:c>
      <x:c r="F43" s="18" t="str">
        <x:v>TARGET_HEADER_BASELINE</x:v>
      </x:c>
      <x:c r="G43" s="18" t="str">
        <x:v>VENDOR_IMPLEMENTATION</x:v>
      </x:c>
      <x:c r="H43" s="18" t="str">
        <x:v>REQUIRED</x:v>
      </x:c>
      <x:c r="I43" s="18" t="str">
        <x:v>COVERED_BY_EHSM_NEGATIVE_FAMILY</x:v>
      </x:c>
      <x:c r="J43" s="18" t="str">
        <x:v>HOST_LOCAL_NEGATIVE_NOT_PLANNED</x:v>
      </x:c>
      <x:c r="K43" s="18" t="str">
        <x:v>MEDIUM_HIGH</x:v>
      </x:c>
      <x:c r="L43" s="18" t="str">
        <x:v>MUST_PASS_BASIC</x:v>
      </x:c>
      <x:c r="M43" s="18" t="str">
        <x:v>eHSM FW 2.3.3-4019-6234423/inc/mb.h</x:v>
      </x:c>
      <x:c r="N43" s="18" t="str">
        <x:v>Command ID for otp_read</x:v>
      </x:c>
    </x:row>
    <x:row r="44" ht="42" customHeight="1">
      <x:c r="A44" s="18" t="str">
        <x:v>FW</x:v>
      </x:c>
      <x:c r="B44" s="18" t="str">
        <x:v>0xff03 (hex)</x:v>
      </x:c>
      <x:c r="C44" s="18" t="str">
        <x:v>MB_CMD_ID_GET_CHALLENGE</x:v>
      </x:c>
      <x:c r="D44" s="18" t="str">
        <x:v>调试/鉴权</x:v>
      </x:c>
      <x:c r="E44" s="18" t="str">
        <x:v>C_SECURITY_SENSITIVE</x:v>
      </x:c>
      <x:c r="F44" s="18" t="str">
        <x:v>TARGET_HEADER_BASELINE</x:v>
      </x:c>
      <x:c r="G44" s="18" t="str">
        <x:v>VENDOR_IMPLEMENTATION</x:v>
      </x:c>
      <x:c r="H44" s="18" t="str">
        <x:v>REQUIRED</x:v>
      </x:c>
      <x:c r="I44" s="18" t="str">
        <x:v>BASIC_ONLY_CURRENT_SCOPE</x:v>
      </x:c>
      <x:c r="J44" s="18" t="str">
        <x:v>HOST_LOCAL_NEGATIVE_NOT_PLANNED</x:v>
      </x:c>
      <x:c r="K44" s="18" t="str">
        <x:v>MEDIUM_HIGH</x:v>
      </x:c>
      <x:c r="L44" s="18" t="str">
        <x:v>MUST_PASS_BASIC</x:v>
      </x:c>
      <x:c r="M44" s="18" t="str">
        <x:v>eHSM FW 2.3.3-4019-6234423/inc/mb.h</x:v>
      </x:c>
      <x:c r="N44" s="18" t="str">
        <x:v>Command ID for get_challenge</x:v>
      </x:c>
    </x:row>
    <x:row r="45" ht="42" customHeight="1">
      <x:c r="A45" s="18" t="str">
        <x:v>FW</x:v>
      </x:c>
      <x:c r="B45" s="18" t="str">
        <x:v>0xff04 (hex)</x:v>
      </x:c>
      <x:c r="C45" s="18" t="str">
        <x:v>MB_CMD_ID_AUTH</x:v>
      </x:c>
      <x:c r="D45" s="18" t="str">
        <x:v>调试/鉴权</x:v>
      </x:c>
      <x:c r="E45" s="18" t="str">
        <x:v>C_SECURITY_SENSITIVE</x:v>
      </x:c>
      <x:c r="F45" s="18" t="str">
        <x:v>TARGET_HEADER_BASELINE</x:v>
      </x:c>
      <x:c r="G45" s="18" t="str">
        <x:v>VENDOR_IMPLEMENTATION</x:v>
      </x:c>
      <x:c r="H45" s="18" t="str">
        <x:v>REQUIRED</x:v>
      </x:c>
      <x:c r="I45" s="18" t="str">
        <x:v>COVERED_BY_EHSM_NEGATIVE_FAMILY</x:v>
      </x:c>
      <x:c r="J45" s="18" t="str">
        <x:v>HOST_LOCAL_NEGATIVE_NOT_PLANNED</x:v>
      </x:c>
      <x:c r="K45" s="18" t="str">
        <x:v>MEDIUM_HIGH</x:v>
      </x:c>
      <x:c r="L45" s="18" t="str">
        <x:v>MUST_PASS_BASIC</x:v>
      </x:c>
      <x:c r="M45" s="18" t="str">
        <x:v>eHSM FW 2.3.3-4019-6234423/inc/mb.h</x:v>
      </x:c>
      <x:c r="N45" s="18" t="str">
        <x:v>Command ID for auth</x:v>
      </x:c>
    </x:row>
    <x:row r="46" ht="42" customHeight="1">
      <x:c r="A46" s="18" t="str">
        <x:v>FW</x:v>
      </x:c>
      <x:c r="B46" s="18" t="str">
        <x:v>0xff05 (hex)</x:v>
      </x:c>
      <x:c r="C46" s="18" t="str">
        <x:v>MB_CMD_ID_FW_UPGRADE</x:v>
      </x:c>
      <x:c r="D46" s="18" t="str">
        <x:v>启动/升级/验签</x:v>
      </x:c>
      <x:c r="E46" s="18" t="str">
        <x:v>D_IRREVERSIBLE_DESTRUCTIVE</x:v>
      </x:c>
      <x:c r="F46" s="18" t="str">
        <x:v>TARGET_HEADER_BASELINE</x:v>
      </x:c>
      <x:c r="G46" s="18" t="str">
        <x:v>VENDOR_IMPLEMENTATION</x:v>
      </x:c>
      <x:c r="H46" s="18" t="str">
        <x:v>REQUIRED</x:v>
      </x:c>
      <x:c r="I46" s="18" t="str">
        <x:v>COVERED_BY_EHSM_NEGATIVE_FAMILY</x:v>
      </x:c>
      <x:c r="J46" s="18" t="str">
        <x:v>HOST_LOCAL_NEGATIVE_NOT_PLANNED</x:v>
      </x:c>
      <x:c r="K46" s="18" t="str">
        <x:v>HIGH</x:v>
      </x:c>
      <x:c r="L46" s="18" t="str">
        <x:v>DEDICATED_FIXTURE_OR_INCONCLUSIVE</x:v>
      </x:c>
      <x:c r="M46" s="18" t="str">
        <x:v>eHSM FW 2.3.3-4019-6234423/inc/mb.h</x:v>
      </x:c>
      <x:c r="N46" s="18" t="str">
        <x:v>Command ID for fw_upgrade</x:v>
      </x:c>
    </x:row>
    <x:row r="47" ht="42" customHeight="1">
      <x:c r="A47" s="18" t="str">
        <x:v>FW</x:v>
      </x:c>
      <x:c r="B47" s="18" t="str">
        <x:v>0xff06 (hex)</x:v>
      </x:c>
      <x:c r="C47" s="18" t="str">
        <x:v>MB_CMD_ID_SOC_VERIFY</x:v>
      </x:c>
      <x:c r="D47" s="18" t="str">
        <x:v>启动/升级/验签</x:v>
      </x:c>
      <x:c r="E47" s="18" t="str">
        <x:v>C_SECURITY_SENSITIVE</x:v>
      </x:c>
      <x:c r="F47" s="18" t="str">
        <x:v>TARGET_HEADER_BASELINE</x:v>
      </x:c>
      <x:c r="G47" s="18" t="str">
        <x:v>VENDOR_IMPLEMENTATION</x:v>
      </x:c>
      <x:c r="H47" s="18" t="str">
        <x:v>REQUIRED</x:v>
      </x:c>
      <x:c r="I47" s="18" t="str">
        <x:v>COVERED_BY_EHSM_NEGATIVE_FAMILY</x:v>
      </x:c>
      <x:c r="J47" s="18" t="str">
        <x:v>HOST_LOCAL_NEGATIVE_NOT_PLANNED</x:v>
      </x:c>
      <x:c r="K47" s="18" t="str">
        <x:v>MEDIUM_HIGH</x:v>
      </x:c>
      <x:c r="L47" s="18" t="str">
        <x:v>MUST_PASS_BASIC</x:v>
      </x:c>
      <x:c r="M47" s="18" t="str">
        <x:v>eHSM FW 2.3.3-4019-6234423/inc/mb.h</x:v>
      </x:c>
      <x:c r="N47" s="18" t="str">
        <x:v>Command ID for soc_verify</x:v>
      </x:c>
    </x:row>
    <x:row r="48" ht="42" customHeight="1">
      <x:c r="A48" s="18" t="str">
        <x:v>FW</x:v>
      </x:c>
      <x:c r="B48" s="18" t="str">
        <x:v>0xff08 (hex)</x:v>
      </x:c>
      <x:c r="C48" s="18" t="str">
        <x:v>MB_CMD_ID_INSTALL_RANDOM_KEY</x:v>
      </x:c>
      <x:c r="D48" s="18" t="str">
        <x:v>密钥管理</x:v>
      </x:c>
      <x:c r="E48" s="18" t="str">
        <x:v>C_SECURITY_SENSITIVE</x:v>
      </x:c>
      <x:c r="F48" s="18" t="str">
        <x:v>TARGET_HEADER_BASELINE</x:v>
      </x:c>
      <x:c r="G48" s="18" t="str">
        <x:v>VENDOR_IMPLEMENTATION</x:v>
      </x:c>
      <x:c r="H48" s="18" t="str">
        <x:v>REQUIRED</x:v>
      </x:c>
      <x:c r="I48" s="18" t="str">
        <x:v>COVERED_BY_EHSM_NEGATIVE_FAMILY</x:v>
      </x:c>
      <x:c r="J48" s="18" t="str">
        <x:v>HOST_LOCAL_NEGATIVE_NOT_PLANNED</x:v>
      </x:c>
      <x:c r="K48" s="18" t="str">
        <x:v>MEDIUM_HIGH</x:v>
      </x:c>
      <x:c r="L48" s="18" t="str">
        <x:v>MUST_PASS_BASIC</x:v>
      </x:c>
      <x:c r="M48" s="18" t="str">
        <x:v>eHSM FW 2.3.3-4019-6234423/inc/mb.h</x:v>
      </x:c>
      <x:c r="N48" s="18" t="str">
        <x:v>Command ID for install_random_key</x:v>
      </x:c>
    </x:row>
    <x:row r="49" ht="42" customHeight="1">
      <x:c r="A49" s="18" t="str">
        <x:v>FW</x:v>
      </x:c>
      <x:c r="B49" s="18" t="str">
        <x:v>0xff09 (hex)</x:v>
      </x:c>
      <x:c r="C49" s="18" t="str">
        <x:v>MB_CMD_ID_INSTALL_ENCRYPT_KEY</x:v>
      </x:c>
      <x:c r="D49" s="18" t="str">
        <x:v>密钥管理</x:v>
      </x:c>
      <x:c r="E49" s="18" t="str">
        <x:v>C_SECURITY_SENSITIVE</x:v>
      </x:c>
      <x:c r="F49" s="18" t="str">
        <x:v>TARGET_HEADER_BASELINE</x:v>
      </x:c>
      <x:c r="G49" s="18" t="str">
        <x:v>VENDOR_IMPLEMENTATION</x:v>
      </x:c>
      <x:c r="H49" s="18" t="str">
        <x:v>REQUIRED</x:v>
      </x:c>
      <x:c r="I49" s="18" t="str">
        <x:v>COVERED_BY_EHSM_NEGATIVE_FAMILY</x:v>
      </x:c>
      <x:c r="J49" s="18" t="str">
        <x:v>HOST_LOCAL_NEGATIVE_NOT_PLANNED</x:v>
      </x:c>
      <x:c r="K49" s="18" t="str">
        <x:v>MEDIUM_HIGH</x:v>
      </x:c>
      <x:c r="L49" s="18" t="str">
        <x:v>MUST_PASS_BASIC</x:v>
      </x:c>
      <x:c r="M49" s="18" t="str">
        <x:v>eHSM FW 2.3.3-4019-6234423/inc/mb.h</x:v>
      </x:c>
      <x:c r="N49" s="18" t="str">
        <x:v>Command ID for install_encrypt_key</x:v>
      </x:c>
    </x:row>
    <x:row r="50" ht="42" customHeight="1">
      <x:c r="A50" s="18" t="str">
        <x:v>FW</x:v>
      </x:c>
      <x:c r="B50" s="18" t="str">
        <x:v>0xff0e (hex)</x:v>
      </x:c>
      <x:c r="C50" s="18" t="str">
        <x:v>MB_CMD_ID_CLOSE_DEBUG</x:v>
      </x:c>
      <x:c r="D50" s="18" t="str">
        <x:v>调试/鉴权</x:v>
      </x:c>
      <x:c r="E50" s="18" t="str">
        <x:v>C_SECURITY_SENSITIVE</x:v>
      </x:c>
      <x:c r="F50" s="18" t="str">
        <x:v>TARGET_HEADER_BASELINE</x:v>
      </x:c>
      <x:c r="G50" s="18" t="str">
        <x:v>VENDOR_IMPLEMENTATION</x:v>
      </x:c>
      <x:c r="H50" s="18" t="str">
        <x:v>REQUIRED</x:v>
      </x:c>
      <x:c r="I50" s="18" t="str">
        <x:v>BASIC_ONLY_CURRENT_SCOPE</x:v>
      </x:c>
      <x:c r="J50" s="18" t="str">
        <x:v>HOST_LOCAL_NEGATIVE_NOT_PLANNED</x:v>
      </x:c>
      <x:c r="K50" s="18" t="str">
        <x:v>MEDIUM_HIGH</x:v>
      </x:c>
      <x:c r="L50" s="18" t="str">
        <x:v>MUST_PASS_BASIC</x:v>
      </x:c>
      <x:c r="M50" s="18" t="str">
        <x:v>eHSM FW 2.3.3-4019-6234423/inc/mb.h</x:v>
      </x:c>
      <x:c r="N50" s="18" t="str">
        <x:v>Command ID for close_debug</x:v>
      </x:c>
    </x:row>
    <x:row r="51" ht="42" customHeight="1">
      <x:c r="A51" s="18" t="str">
        <x:v>FW</x:v>
      </x:c>
      <x:c r="B51" s="18" t="str">
        <x:v>0xff10 (hex)</x:v>
      </x:c>
      <x:c r="C51" s="18" t="str">
        <x:v>MB_CMD_ID_EHSM_READ_VER</x:v>
      </x:c>
      <x:c r="D51" s="18" t="str">
        <x:v>自检/状态/版本</x:v>
      </x:c>
      <x:c r="E51" s="18" t="str">
        <x:v>A_PUBLIC_READ_ONLY</x:v>
      </x:c>
      <x:c r="F51" s="18" t="str">
        <x:v>TARGET_HEADER_BASELINE</x:v>
      </x:c>
      <x:c r="G51" s="18" t="str">
        <x:v>VENDOR_IMPLEMENTATION</x:v>
      </x:c>
      <x:c r="H51" s="18" t="str">
        <x:v>REQUIRED</x:v>
      </x:c>
      <x:c r="I51" s="18" t="str">
        <x:v>BASIC_ONLY_CURRENT_SCOPE</x:v>
      </x:c>
      <x:c r="J51" s="18" t="str">
        <x:v>HOST_LOCAL_NEGATIVE_NOT_PLANNED</x:v>
      </x:c>
      <x:c r="K51" s="18" t="str">
        <x:v>LOW</x:v>
      </x:c>
      <x:c r="L51" s="18" t="str">
        <x:v>MUST_PASS_BASIC</x:v>
      </x:c>
      <x:c r="M51" s="18" t="str">
        <x:v>eHSM FW 2.3.3-4019-6234423/inc/mb.h</x:v>
      </x:c>
      <x:c r="N51" s="18" t="str">
        <x:v>Command ID for ehsm_read_ver</x:v>
      </x:c>
    </x:row>
    <x:row r="52" ht="42" customHeight="1">
      <x:c r="A52" s="18" t="str">
        <x:v>FW</x:v>
      </x:c>
      <x:c r="B52" s="18" t="str">
        <x:v>0xff23 (hex)</x:v>
      </x:c>
      <x:c r="C52" s="18" t="str">
        <x:v>MB_CMD_ID_FW_REG_WR</x:v>
      </x:c>
      <x:c r="D52" s="18" t="str">
        <x:v>平台/诊断</x:v>
      </x:c>
      <x:c r="E52" s="18" t="str">
        <x:v>C_SECURITY_SENSITIVE</x:v>
      </x:c>
      <x:c r="F52" s="18" t="str">
        <x:v>TARGET_HEADER_BASELINE</x:v>
      </x:c>
      <x:c r="G52" s="18" t="str">
        <x:v>VENDOR_IMPLEMENTATION</x:v>
      </x:c>
      <x:c r="H52" s="18" t="str">
        <x:v>REQUIRED</x:v>
      </x:c>
      <x:c r="I52" s="18" t="str">
        <x:v>BASIC_ONLY_CURRENT_SCOPE</x:v>
      </x:c>
      <x:c r="J52" s="18" t="str">
        <x:v>HOST_LOCAL_NEGATIVE_NOT_PLANNED</x:v>
      </x:c>
      <x:c r="K52" s="18" t="str">
        <x:v>MEDIUM_HIGH</x:v>
      </x:c>
      <x:c r="L52" s="18" t="str">
        <x:v>MUST_PASS_BASIC</x:v>
      </x:c>
      <x:c r="M52" s="18" t="str">
        <x:v>eHSM FW 2.3.3-4019-6234423/inc/mb.h</x:v>
      </x:c>
      <x:c r="N52" s="18" t="str">
        <x:v>Command ID for fw_reg_wr</x:v>
      </x:c>
    </x:row>
    <x:row r="53" ht="42" customHeight="1">
      <x:c r="A53" s="18" t="str">
        <x:v>FW</x:v>
      </x:c>
      <x:c r="B53" s="18" t="str">
        <x:v>0xff24 (hex)</x:v>
      </x:c>
      <x:c r="C53" s="18" t="str">
        <x:v>MB_CMD_ID_FW_REG_RD</x:v>
      </x:c>
      <x:c r="D53" s="18" t="str">
        <x:v>平台/诊断</x:v>
      </x:c>
      <x:c r="E53" s="18" t="str">
        <x:v>C_SECURITY_SENSITIVE</x:v>
      </x:c>
      <x:c r="F53" s="18" t="str">
        <x:v>TARGET_HEADER_BASELINE</x:v>
      </x:c>
      <x:c r="G53" s="18" t="str">
        <x:v>VENDOR_IMPLEMENTATION</x:v>
      </x:c>
      <x:c r="H53" s="18" t="str">
        <x:v>REQUIRED</x:v>
      </x:c>
      <x:c r="I53" s="18" t="str">
        <x:v>BASIC_ONLY_CURRENT_SCOPE</x:v>
      </x:c>
      <x:c r="J53" s="18" t="str">
        <x:v>HOST_LOCAL_NEGATIVE_NOT_PLANNED</x:v>
      </x:c>
      <x:c r="K53" s="18" t="str">
        <x:v>MEDIUM_HIGH</x:v>
      </x:c>
      <x:c r="L53" s="18" t="str">
        <x:v>MUST_PASS_BASIC</x:v>
      </x:c>
      <x:c r="M53" s="18" t="str">
        <x:v>eHSM FW 2.3.3-4019-6234423/inc/mb.h</x:v>
      </x:c>
      <x:c r="N53" s="18" t="str">
        <x:v>Command ID for fw_reg_rd</x:v>
      </x:c>
    </x:row>
    <x:row r="54" ht="42" customHeight="1">
      <x:c r="A54" s="18" t="str">
        <x:v>FW</x:v>
      </x:c>
      <x:c r="B54" s="18" t="str">
        <x:v>0xff26 (hex)</x:v>
      </x:c>
      <x:c r="C54" s="18" t="str">
        <x:v>MB_CMD_ID_ENTER_WFI</x:v>
      </x:c>
      <x:c r="D54" s="18" t="str">
        <x:v>平台/诊断</x:v>
      </x:c>
      <x:c r="E54" s="18" t="str">
        <x:v>C_SECURITY_SENSITIVE</x:v>
      </x:c>
      <x:c r="F54" s="18" t="str">
        <x:v>TARGET_HEADER_BASELINE</x:v>
      </x:c>
      <x:c r="G54" s="18" t="str">
        <x:v>VENDOR_IMPLEMENTATION</x:v>
      </x:c>
      <x:c r="H54" s="18" t="str">
        <x:v>REQUIRED</x:v>
      </x:c>
      <x:c r="I54" s="18" t="str">
        <x:v>BASIC_ONLY_CURRENT_SCOPE</x:v>
      </x:c>
      <x:c r="J54" s="18" t="str">
        <x:v>HOST_LOCAL_NEGATIVE_NOT_PLANNED</x:v>
      </x:c>
      <x:c r="K54" s="18" t="str">
        <x:v>MEDIUM_HIGH</x:v>
      </x:c>
      <x:c r="L54" s="18" t="str">
        <x:v>MUST_PASS_BASIC</x:v>
      </x:c>
      <x:c r="M54" s="18" t="str">
        <x:v>eHSM FW 2.3.3-4019-6234423/inc/mb.h</x:v>
      </x:c>
      <x:c r="N54" s="18" t="str">
        <x:v>Command ID for enter_wfi</x:v>
      </x:c>
    </x:row>
    <x:row r="55" ht="42" customHeight="1">
      <x:c r="A55" s="18" t="str">
        <x:v>FW</x:v>
      </x:c>
      <x:c r="B55" s="18" t="str">
        <x:v>0xfffe (hex)</x:v>
      </x:c>
      <x:c r="C55" s="18" t="str">
        <x:v>MB_CMD_ID_OTP_WRITE_FOR_TEST</x:v>
      </x:c>
      <x:c r="D55" s="18" t="str">
        <x:v>OTP/eFuse</x:v>
      </x:c>
      <x:c r="E55" s="18" t="str">
        <x:v>D_IRREVERSIBLE_DESTRUCTIVE</x:v>
      </x:c>
      <x:c r="F55" s="18" t="str">
        <x:v>TARGET_TEST_ONLY</x:v>
      </x:c>
      <x:c r="G55" s="18" t="str">
        <x:v>VENDOR_IMPLEMENTATION</x:v>
      </x:c>
      <x:c r="H55" s="18" t="str">
        <x:v>REQUIRED</x:v>
      </x:c>
      <x:c r="I55" s="18" t="str">
        <x:v>BASIC_ONLY_CURRENT_SCOPE</x:v>
      </x:c>
      <x:c r="J55" s="18" t="str">
        <x:v>HOST_LOCAL_NEGATIVE_NOT_PLANNED</x:v>
      </x:c>
      <x:c r="K55" s="18" t="str">
        <x:v>HIGH</x:v>
      </x:c>
      <x:c r="L55" s="18" t="str">
        <x:v>DEDICATED_FIXTURE_OR_INCONCLUSIVE</x:v>
      </x:c>
      <x:c r="M55" s="18" t="str">
        <x:v>eHSM FW 2.3.3-4019-6234423/inc/mb.h</x:v>
      </x:c>
      <x:c r="N55" s="18" t="str">
        <x:v>Command ID for otp_write_for_test</x:v>
      </x:c>
    </x:row>
    <x:row r="56" ht="42" customHeight="1">
      <x:c r="A56" s="18" t="str">
        <x:v>HOST_HEADER_ONLY_CANDIDATE</x:v>
      </x:c>
      <x:c r="B56" s="18" t="str">
        <x:v>0x0003 (hex)</x:v>
      </x:c>
      <x:c r="C56" s="18" t="str">
        <x:v>MB_CMD_ID_SET_UTC_TIME</x:v>
      </x:c>
      <x:c r="D56" s="18" t="str">
        <x:v>计数器/时间</x:v>
      </x:c>
      <x:c r="E56" s="18" t="str">
        <x:v>SCOPE_UNCONFIRMED</x:v>
      </x:c>
      <x:c r="F56" s="18" t="str">
        <x:v>NEEDS_PROFILE_CONFIRMATION</x:v>
      </x:c>
      <x:c r="G56" s="18" t="str">
        <x:v>ASSUMPTION</x:v>
      </x:c>
      <x:c r="H56" s="18" t="str">
        <x:v>NOT_PLANNED</x:v>
      </x:c>
      <x:c r="I56" s="18" t="str">
        <x:v>N/A_UNTIL_APPLICABLE</x:v>
      </x:c>
      <x:c r="J56" s="18" t="str">
        <x:v>HOST_LOCAL_NEGATIVE_NOT_PLANNED</x:v>
      </x:c>
      <x:c r="K56" s="18" t="str">
        <x:v>UNKNOWN</x:v>
      </x:c>
      <x:c r="L56" s="18" t="str">
        <x:v>NOT_IN_SCOPE</x:v>
      </x:c>
      <x:c r="M56" s="18" t="str">
        <x:v>eHSM Host 2.3.1-4019-2ee044d/src/mb.h</x:v>
      </x:c>
      <x:c r="N56" s="18" t="str">
        <x:v>Command ID for set_utc_time</x:v>
      </x:c>
    </x:row>
    <x:row r="57" ht="42" customHeight="1">
      <x:c r="A57" s="18" t="str">
        <x:v>HOST_HEADER_ONLY_CANDIDATE</x:v>
      </x:c>
      <x:c r="B57" s="18" t="str">
        <x:v>0x0004 (hex)</x:v>
      </x:c>
      <x:c r="C57" s="18" t="str">
        <x:v>MB_CMD_ID_GET_UTC_TIME</x:v>
      </x:c>
      <x:c r="D57" s="18" t="str">
        <x:v>计数器/时间</x:v>
      </x:c>
      <x:c r="E57" s="18" t="str">
        <x:v>SCOPE_UNCONFIRMED</x:v>
      </x:c>
      <x:c r="F57" s="18" t="str">
        <x:v>NEEDS_PROFILE_CONFIRMATION</x:v>
      </x:c>
      <x:c r="G57" s="18" t="str">
        <x:v>ASSUMPTION</x:v>
      </x:c>
      <x:c r="H57" s="18" t="str">
        <x:v>NOT_PLANNED</x:v>
      </x:c>
      <x:c r="I57" s="18" t="str">
        <x:v>N/A_UNTIL_APPLICABLE</x:v>
      </x:c>
      <x:c r="J57" s="18" t="str">
        <x:v>HOST_LOCAL_NEGATIVE_NOT_PLANNED</x:v>
      </x:c>
      <x:c r="K57" s="18" t="str">
        <x:v>UNKNOWN</x:v>
      </x:c>
      <x:c r="L57" s="18" t="str">
        <x:v>NOT_IN_SCOPE</x:v>
      </x:c>
      <x:c r="M57" s="18" t="str">
        <x:v>eHSM Host 2.3.1-4019-2ee044d/src/mb.h</x:v>
      </x:c>
      <x:c r="N57" s="18" t="str">
        <x:v>Command ID for get_utc_time</x:v>
      </x:c>
    </x:row>
    <x:row r="58" ht="42" customHeight="1">
      <x:c r="A58" s="18" t="str">
        <x:v>HOST_HEADER_ONLY_CANDIDATE</x:v>
      </x:c>
      <x:c r="B58" s="18" t="str">
        <x:v>0x0010 (hex)</x:v>
      </x:c>
      <x:c r="C58" s="18" t="str">
        <x:v>MB_CMD_ID_CREATE_COUNTER</x:v>
      </x:c>
      <x:c r="D58" s="18" t="str">
        <x:v>计数器/时间</x:v>
      </x:c>
      <x:c r="E58" s="18" t="str">
        <x:v>SCOPE_UNCONFIRMED</x:v>
      </x:c>
      <x:c r="F58" s="18" t="str">
        <x:v>NEEDS_PROFILE_CONFIRMATION</x:v>
      </x:c>
      <x:c r="G58" s="18" t="str">
        <x:v>ASSUMPTION</x:v>
      </x:c>
      <x:c r="H58" s="18" t="str">
        <x:v>NOT_PLANNED</x:v>
      </x:c>
      <x:c r="I58" s="18" t="str">
        <x:v>N/A_UNTIL_APPLICABLE</x:v>
      </x:c>
      <x:c r="J58" s="18" t="str">
        <x:v>HOST_LOCAL_NEGATIVE_NOT_PLANNED</x:v>
      </x:c>
      <x:c r="K58" s="18" t="str">
        <x:v>UNKNOWN</x:v>
      </x:c>
      <x:c r="L58" s="18" t="str">
        <x:v>NOT_IN_SCOPE</x:v>
      </x:c>
      <x:c r="M58" s="18" t="str">
        <x:v>eHSM Host 2.3.1-4019-2ee044d/src/mb.h</x:v>
      </x:c>
      <x:c r="N58" s="18" t="str">
        <x:v>Command ID for create_counter</x:v>
      </x:c>
    </x:row>
    <x:row r="59" ht="42" customHeight="1">
      <x:c r="A59" s="18" t="str">
        <x:v>HOST_HEADER_ONLY_CANDIDATE</x:v>
      </x:c>
      <x:c r="B59" s="18" t="str">
        <x:v>0x0011 (hex)</x:v>
      </x:c>
      <x:c r="C59" s="18" t="str">
        <x:v>MB_CMD_ID_READ_COUNTER</x:v>
      </x:c>
      <x:c r="D59" s="18" t="str">
        <x:v>计数器/时间</x:v>
      </x:c>
      <x:c r="E59" s="18" t="str">
        <x:v>SCOPE_UNCONFIRMED</x:v>
      </x:c>
      <x:c r="F59" s="18" t="str">
        <x:v>NEEDS_PROFILE_CONFIRMATION</x:v>
      </x:c>
      <x:c r="G59" s="18" t="str">
        <x:v>ASSUMPTION</x:v>
      </x:c>
      <x:c r="H59" s="18" t="str">
        <x:v>NOT_PLANNED</x:v>
      </x:c>
      <x:c r="I59" s="18" t="str">
        <x:v>N/A_UNTIL_APPLICABLE</x:v>
      </x:c>
      <x:c r="J59" s="18" t="str">
        <x:v>HOST_LOCAL_NEGATIVE_NOT_PLANNED</x:v>
      </x:c>
      <x:c r="K59" s="18" t="str">
        <x:v>UNKNOWN</x:v>
      </x:c>
      <x:c r="L59" s="18" t="str">
        <x:v>NOT_IN_SCOPE</x:v>
      </x:c>
      <x:c r="M59" s="18" t="str">
        <x:v>eHSM Host 2.3.1-4019-2ee044d/src/mb.h</x:v>
      </x:c>
      <x:c r="N59" s="18" t="str">
        <x:v>Command ID for read_counter</x:v>
      </x:c>
    </x:row>
    <x:row r="60" ht="42" customHeight="1">
      <x:c r="A60" s="18" t="str">
        <x:v>HOST_HEADER_ONLY_CANDIDATE</x:v>
      </x:c>
      <x:c r="B60" s="18" t="str">
        <x:v>0x0012 (hex)</x:v>
      </x:c>
      <x:c r="C60" s="18" t="str">
        <x:v>MB_CMD_ID_INCREASE_COUNTER_VALUE</x:v>
      </x:c>
      <x:c r="D60" s="18" t="str">
        <x:v>计数器/时间</x:v>
      </x:c>
      <x:c r="E60" s="18" t="str">
        <x:v>SCOPE_UNCONFIRMED</x:v>
      </x:c>
      <x:c r="F60" s="18" t="str">
        <x:v>NEEDS_PROFILE_CONFIRMATION</x:v>
      </x:c>
      <x:c r="G60" s="18" t="str">
        <x:v>ASSUMPTION</x:v>
      </x:c>
      <x:c r="H60" s="18" t="str">
        <x:v>NOT_PLANNED</x:v>
      </x:c>
      <x:c r="I60" s="18" t="str">
        <x:v>N/A_UNTIL_APPLICABLE</x:v>
      </x:c>
      <x:c r="J60" s="18" t="str">
        <x:v>HOST_LOCAL_NEGATIVE_NOT_PLANNED</x:v>
      </x:c>
      <x:c r="K60" s="18" t="str">
        <x:v>UNKNOWN</x:v>
      </x:c>
      <x:c r="L60" s="18" t="str">
        <x:v>NOT_IN_SCOPE</x:v>
      </x:c>
      <x:c r="M60" s="18" t="str">
        <x:v>eHSM Host 2.3.1-4019-2ee044d/src/mb.h</x:v>
      </x:c>
      <x:c r="N60" s="18" t="str">
        <x:v>Command ID for increase_counter_value</x:v>
      </x:c>
    </x:row>
    <x:row r="61" ht="42" customHeight="1">
      <x:c r="A61" s="18" t="str">
        <x:v>HOST_HEADER_ONLY_CANDIDATE</x:v>
      </x:c>
      <x:c r="B61" s="18" t="str">
        <x:v>0x0013 (hex)</x:v>
      </x:c>
      <x:c r="C61" s="18" t="str">
        <x:v>MB_CMD_ID_DELETE_COUNTER</x:v>
      </x:c>
      <x:c r="D61" s="18" t="str">
        <x:v>计数器/时间</x:v>
      </x:c>
      <x:c r="E61" s="18" t="str">
        <x:v>SCOPE_UNCONFIRMED</x:v>
      </x:c>
      <x:c r="F61" s="18" t="str">
        <x:v>NEEDS_PROFILE_CONFIRMATION</x:v>
      </x:c>
      <x:c r="G61" s="18" t="str">
        <x:v>ASSUMPTION</x:v>
      </x:c>
      <x:c r="H61" s="18" t="str">
        <x:v>NOT_PLANNED</x:v>
      </x:c>
      <x:c r="I61" s="18" t="str">
        <x:v>N/A_UNTIL_APPLICABLE</x:v>
      </x:c>
      <x:c r="J61" s="18" t="str">
        <x:v>HOST_LOCAL_NEGATIVE_NOT_PLANNED</x:v>
      </x:c>
      <x:c r="K61" s="18" t="str">
        <x:v>UNKNOWN</x:v>
      </x:c>
      <x:c r="L61" s="18" t="str">
        <x:v>NOT_IN_SCOPE</x:v>
      </x:c>
      <x:c r="M61" s="18" t="str">
        <x:v>eHSM Host 2.3.1-4019-2ee044d/src/mb.h</x:v>
      </x:c>
      <x:c r="N61" s="18" t="str">
        <x:v>Command ID for delete_counter</x:v>
      </x:c>
    </x:row>
    <x:row r="62" ht="42" customHeight="1">
      <x:c r="A62" s="18" t="str">
        <x:v>HOST_HEADER_ONLY_CANDIDATE</x:v>
      </x:c>
      <x:c r="B62" s="18" t="str">
        <x:v>0x0040 (hex)</x:v>
      </x:c>
      <x:c r="C62" s="18" t="str">
        <x:v>MB_CMD_ID_SHE_GET_STATUS</x:v>
      </x:c>
      <x:c r="D62" s="18" t="str">
        <x:v>密钥管理</x:v>
      </x:c>
      <x:c r="E62" s="18" t="str">
        <x:v>SCOPE_UNCONFIRMED</x:v>
      </x:c>
      <x:c r="F62" s="18" t="str">
        <x:v>NEEDS_PROFILE_CONFIRMATION</x:v>
      </x:c>
      <x:c r="G62" s="18" t="str">
        <x:v>ASSUMPTION</x:v>
      </x:c>
      <x:c r="H62" s="18" t="str">
        <x:v>NOT_PLANNED</x:v>
      </x:c>
      <x:c r="I62" s="18" t="str">
        <x:v>N/A_UNTIL_APPLICABLE</x:v>
      </x:c>
      <x:c r="J62" s="18" t="str">
        <x:v>HOST_LOCAL_NEGATIVE_NOT_PLANNED</x:v>
      </x:c>
      <x:c r="K62" s="18" t="str">
        <x:v>UNKNOWN</x:v>
      </x:c>
      <x:c r="L62" s="18" t="str">
        <x:v>NOT_IN_SCOPE</x:v>
      </x:c>
      <x:c r="M62" s="18" t="str">
        <x:v>eHSM Host 2.3.1-4019-2ee044d/src/mb.h</x:v>
      </x:c>
      <x:c r="N62" s="18" t="str">
        <x:v>Command ID for she_get_status</x:v>
      </x:c>
    </x:row>
    <x:row r="63" ht="42" customHeight="1">
      <x:c r="A63" s="18" t="str">
        <x:v>HOST_HEADER_ONLY_CANDIDATE</x:v>
      </x:c>
      <x:c r="B63" s="18" t="str">
        <x:v>0x0060 (hex)</x:v>
      </x:c>
      <x:c r="C63" s="18" t="str">
        <x:v>MB_CMD_ID_SHE_GET_ID</x:v>
      </x:c>
      <x:c r="D63" s="18" t="str">
        <x:v>密钥管理</x:v>
      </x:c>
      <x:c r="E63" s="18" t="str">
        <x:v>SCOPE_UNCONFIRMED</x:v>
      </x:c>
      <x:c r="F63" s="18" t="str">
        <x:v>NEEDS_PROFILE_CONFIRMATION</x:v>
      </x:c>
      <x:c r="G63" s="18" t="str">
        <x:v>ASSUMPTION</x:v>
      </x:c>
      <x:c r="H63" s="18" t="str">
        <x:v>NOT_PLANNED</x:v>
      </x:c>
      <x:c r="I63" s="18" t="str">
        <x:v>N/A_UNTIL_APPLICABLE</x:v>
      </x:c>
      <x:c r="J63" s="18" t="str">
        <x:v>HOST_LOCAL_NEGATIVE_NOT_PLANNED</x:v>
      </x:c>
      <x:c r="K63" s="18" t="str">
        <x:v>UNKNOWN</x:v>
      </x:c>
      <x:c r="L63" s="18" t="str">
        <x:v>NOT_IN_SCOPE</x:v>
      </x:c>
      <x:c r="M63" s="18" t="str">
        <x:v>eHSM Host 2.3.1-4019-2ee044d/src/mb.h</x:v>
      </x:c>
      <x:c r="N63" s="18" t="str">
        <x:v>Command ID for she_get_id</x:v>
      </x:c>
    </x:row>
    <x:row r="64" ht="42" customHeight="1">
      <x:c r="A64" s="18" t="str">
        <x:v>HOST_HEADER_ONLY_CANDIDATE</x:v>
      </x:c>
      <x:c r="B64" s="18" t="str">
        <x:v>0x0104 (hex)</x:v>
      </x:c>
      <x:c r="C64" s="18" t="str">
        <x:v>MB_CMD_ID_CHACHA_CIPHER</x:v>
      </x:c>
      <x:c r="D64" s="18" t="str">
        <x:v>对称密码</x:v>
      </x:c>
      <x:c r="E64" s="18" t="str">
        <x:v>SCOPE_UNCONFIRMED</x:v>
      </x:c>
      <x:c r="F64" s="18" t="str">
        <x:v>NEEDS_PROFILE_CONFIRMATION</x:v>
      </x:c>
      <x:c r="G64" s="18" t="str">
        <x:v>ASSUMPTION</x:v>
      </x:c>
      <x:c r="H64" s="18" t="str">
        <x:v>NOT_PLANNED</x:v>
      </x:c>
      <x:c r="I64" s="18" t="str">
        <x:v>N/A_UNTIL_APPLICABLE</x:v>
      </x:c>
      <x:c r="J64" s="18" t="str">
        <x:v>HOST_LOCAL_NEGATIVE_NOT_PLANNED</x:v>
      </x:c>
      <x:c r="K64" s="18" t="str">
        <x:v>UNKNOWN</x:v>
      </x:c>
      <x:c r="L64" s="18" t="str">
        <x:v>NOT_IN_SCOPE</x:v>
      </x:c>
      <x:c r="M64" s="18" t="str">
        <x:v>eHSM Host 2.3.1-4019-2ee044d/src/mb.h</x:v>
      </x:c>
      <x:c r="N64" s="18" t="str">
        <x:v>Command ID for chacha_cipher</x:v>
      </x:c>
    </x:row>
    <x:row r="65" ht="42" customHeight="1">
      <x:c r="A65" s="18" t="str">
        <x:v>HOST_HEADER_ONLY_CANDIDATE</x:v>
      </x:c>
      <x:c r="B65" s="18" t="str">
        <x:v>0x0701 (hex)</x:v>
      </x:c>
      <x:c r="C65" s="18" t="str">
        <x:v>MB_CMD_ID_SM9_CIPHER</x:v>
      </x:c>
      <x:c r="D65" s="18" t="str">
        <x:v>非对称/PQC</x:v>
      </x:c>
      <x:c r="E65" s="18" t="str">
        <x:v>SCOPE_UNCONFIRMED</x:v>
      </x:c>
      <x:c r="F65" s="18" t="str">
        <x:v>NEEDS_PROFILE_CONFIRMATION</x:v>
      </x:c>
      <x:c r="G65" s="18" t="str">
        <x:v>ASSUMPTION</x:v>
      </x:c>
      <x:c r="H65" s="18" t="str">
        <x:v>NOT_PLANNED</x:v>
      </x:c>
      <x:c r="I65" s="18" t="str">
        <x:v>N/A_UNTIL_APPLICABLE</x:v>
      </x:c>
      <x:c r="J65" s="18" t="str">
        <x:v>HOST_LOCAL_NEGATIVE_NOT_PLANNED</x:v>
      </x:c>
      <x:c r="K65" s="18" t="str">
        <x:v>UNKNOWN</x:v>
      </x:c>
      <x:c r="L65" s="18" t="str">
        <x:v>NOT_IN_SCOPE</x:v>
      </x:c>
      <x:c r="M65" s="18" t="str">
        <x:v>eHSM Host 2.3.1-4019-2ee044d/src/mb.h</x:v>
      </x:c>
      <x:c r="N65" s="18" t="str">
        <x:v>Command ID for sm9_cipher</x:v>
      </x:c>
    </x:row>
    <x:row r="66" ht="42" customHeight="1">
      <x:c r="A66" s="18" t="str">
        <x:v>HOST_HEADER_ONLY_CANDIDATE</x:v>
      </x:c>
      <x:c r="B66" s="18" t="str">
        <x:v>0x0702 (hex)</x:v>
      </x:c>
      <x:c r="C66" s="18" t="str">
        <x:v>MB_CMD_ID_SM9_SIGN</x:v>
      </x:c>
      <x:c r="D66" s="18" t="str">
        <x:v>非对称/PQC</x:v>
      </x:c>
      <x:c r="E66" s="18" t="str">
        <x:v>SCOPE_UNCONFIRMED</x:v>
      </x:c>
      <x:c r="F66" s="18" t="str">
        <x:v>NEEDS_PROFILE_CONFIRMATION</x:v>
      </x:c>
      <x:c r="G66" s="18" t="str">
        <x:v>ASSUMPTION</x:v>
      </x:c>
      <x:c r="H66" s="18" t="str">
        <x:v>NOT_PLANNED</x:v>
      </x:c>
      <x:c r="I66" s="18" t="str">
        <x:v>N/A_UNTIL_APPLICABLE</x:v>
      </x:c>
      <x:c r="J66" s="18" t="str">
        <x:v>HOST_LOCAL_NEGATIVE_NOT_PLANNED</x:v>
      </x:c>
      <x:c r="K66" s="18" t="str">
        <x:v>UNKNOWN</x:v>
      </x:c>
      <x:c r="L66" s="18" t="str">
        <x:v>NOT_IN_SCOPE</x:v>
      </x:c>
      <x:c r="M66" s="18" t="str">
        <x:v>eHSM Host 2.3.1-4019-2ee044d/src/mb.h</x:v>
      </x:c>
      <x:c r="N66" s="18" t="str">
        <x:v>Command ID for sm9_sign</x:v>
      </x:c>
    </x:row>
    <x:row r="67" ht="42" customHeight="1">
      <x:c r="A67" s="18" t="str">
        <x:v>HOST_HEADER_ONLY_CANDIDATE</x:v>
      </x:c>
      <x:c r="B67" s="18" t="str">
        <x:v>0x070c (hex)</x:v>
      </x:c>
      <x:c r="C67" s="18" t="str">
        <x:v>MB_CMD_ID_EHSM_SM9_EXCHG_KEY</x:v>
      </x:c>
      <x:c r="D67" s="18" t="str">
        <x:v>密钥管理</x:v>
      </x:c>
      <x:c r="E67" s="18" t="str">
        <x:v>SCOPE_UNCONFIRMED</x:v>
      </x:c>
      <x:c r="F67" s="18" t="str">
        <x:v>NEEDS_PROFILE_CONFIRMATION</x:v>
      </x:c>
      <x:c r="G67" s="18" t="str">
        <x:v>ASSUMPTION</x:v>
      </x:c>
      <x:c r="H67" s="18" t="str">
        <x:v>NOT_PLANNED</x:v>
      </x:c>
      <x:c r="I67" s="18" t="str">
        <x:v>N/A_UNTIL_APPLICABLE</x:v>
      </x:c>
      <x:c r="J67" s="18" t="str">
        <x:v>HOST_LOCAL_NEGATIVE_NOT_PLANNED</x:v>
      </x:c>
      <x:c r="K67" s="18" t="str">
        <x:v>UNKNOWN</x:v>
      </x:c>
      <x:c r="L67" s="18" t="str">
        <x:v>NOT_IN_SCOPE</x:v>
      </x:c>
      <x:c r="M67" s="18" t="str">
        <x:v>eHSM Host 2.3.1-4019-2ee044d/src/mb.h</x:v>
      </x:c>
      <x:c r="N67" s="18" t="str">
        <x:v>Command ID for ehsm_sm9_exchg_key</x:v>
      </x:c>
    </x:row>
    <x:row r="68" ht="42" customHeight="1">
      <x:c r="A68" s="18" t="str">
        <x:v>HOST_HEADER_ONLY_CANDIDATE</x:v>
      </x:c>
      <x:c r="B68" s="18" t="str">
        <x:v>0x0808 (hex)</x:v>
      </x:c>
      <x:c r="C68" s="18" t="str">
        <x:v>MB_CMD_ID_EHSM_SHE_LOAD_KEY_CMD</x:v>
      </x:c>
      <x:c r="D68" s="18" t="str">
        <x:v>密钥管理</x:v>
      </x:c>
      <x:c r="E68" s="18" t="str">
        <x:v>SCOPE_UNCONFIRMED</x:v>
      </x:c>
      <x:c r="F68" s="18" t="str">
        <x:v>NEEDS_PROFILE_CONFIRMATION</x:v>
      </x:c>
      <x:c r="G68" s="18" t="str">
        <x:v>ASSUMPTION</x:v>
      </x:c>
      <x:c r="H68" s="18" t="str">
        <x:v>NOT_PLANNED</x:v>
      </x:c>
      <x:c r="I68" s="18" t="str">
        <x:v>N/A_UNTIL_APPLICABLE</x:v>
      </x:c>
      <x:c r="J68" s="18" t="str">
        <x:v>HOST_LOCAL_NEGATIVE_NOT_PLANNED</x:v>
      </x:c>
      <x:c r="K68" s="18" t="str">
        <x:v>UNKNOWN</x:v>
      </x:c>
      <x:c r="L68" s="18" t="str">
        <x:v>NOT_IN_SCOPE</x:v>
      </x:c>
      <x:c r="M68" s="18" t="str">
        <x:v>eHSM Host 2.3.1-4019-2ee044d/src/mb.h</x:v>
      </x:c>
      <x:c r="N68" s="18" t="str">
        <x:v>Command ID for ehsm_she_load_key_cmd</x:v>
      </x:c>
    </x:row>
    <x:row r="69" ht="42" customHeight="1">
      <x:c r="A69" s="18" t="str">
        <x:v>HOST_HEADER_ONLY_CANDIDATE</x:v>
      </x:c>
      <x:c r="B69" s="18" t="str">
        <x:v>0x0809 (hex)</x:v>
      </x:c>
      <x:c r="C69" s="18" t="str">
        <x:v>MB_CMD_ID_EHSM_SHE_LOAD_PLAIN_KEY_CMD</x:v>
      </x:c>
      <x:c r="D69" s="18" t="str">
        <x:v>密钥管理</x:v>
      </x:c>
      <x:c r="E69" s="18" t="str">
        <x:v>SCOPE_UNCONFIRMED</x:v>
      </x:c>
      <x:c r="F69" s="18" t="str">
        <x:v>NEEDS_PROFILE_CONFIRMATION</x:v>
      </x:c>
      <x:c r="G69" s="18" t="str">
        <x:v>ASSUMPTION</x:v>
      </x:c>
      <x:c r="H69" s="18" t="str">
        <x:v>NOT_PLANNED</x:v>
      </x:c>
      <x:c r="I69" s="18" t="str">
        <x:v>N/A_UNTIL_APPLICABLE</x:v>
      </x:c>
      <x:c r="J69" s="18" t="str">
        <x:v>HOST_LOCAL_NEGATIVE_NOT_PLANNED</x:v>
      </x:c>
      <x:c r="K69" s="18" t="str">
        <x:v>UNKNOWN</x:v>
      </x:c>
      <x:c r="L69" s="18" t="str">
        <x:v>NOT_IN_SCOPE</x:v>
      </x:c>
      <x:c r="M69" s="18" t="str">
        <x:v>eHSM Host 2.3.1-4019-2ee044d/src/mb.h</x:v>
      </x:c>
      <x:c r="N69" s="18" t="str">
        <x:v>Command ID for ehsm_she_load_plain_key_cmd</x:v>
      </x:c>
    </x:row>
    <x:row r="70" ht="42" customHeight="1">
      <x:c r="A70" s="18" t="str">
        <x:v>HOST_HEADER_ONLY_CANDIDATE</x:v>
      </x:c>
      <x:c r="B70" s="18" t="str">
        <x:v>0x080a (hex)</x:v>
      </x:c>
      <x:c r="C70" s="18" t="str">
        <x:v>MB_CMD_ID_EHSM_SHE_RAM_KEY_EXPORT_CMD</x:v>
      </x:c>
      <x:c r="D70" s="18" t="str">
        <x:v>密钥管理</x:v>
      </x:c>
      <x:c r="E70" s="18" t="str">
        <x:v>SCOPE_UNCONFIRMED</x:v>
      </x:c>
      <x:c r="F70" s="18" t="str">
        <x:v>NEEDS_PROFILE_CONFIRMATION</x:v>
      </x:c>
      <x:c r="G70" s="18" t="str">
        <x:v>ASSUMPTION</x:v>
      </x:c>
      <x:c r="H70" s="18" t="str">
        <x:v>NOT_PLANNED</x:v>
      </x:c>
      <x:c r="I70" s="18" t="str">
        <x:v>N/A_UNTIL_APPLICABLE</x:v>
      </x:c>
      <x:c r="J70" s="18" t="str">
        <x:v>HOST_LOCAL_NEGATIVE_NOT_PLANNED</x:v>
      </x:c>
      <x:c r="K70" s="18" t="str">
        <x:v>UNKNOWN</x:v>
      </x:c>
      <x:c r="L70" s="18" t="str">
        <x:v>NOT_IN_SCOPE</x:v>
      </x:c>
      <x:c r="M70" s="18" t="str">
        <x:v>eHSM Host 2.3.1-4019-2ee044d/src/mb.h</x:v>
      </x:c>
      <x:c r="N70" s="18" t="str">
        <x:v>Command ID for ehsm_she_ram_key_export_cmd</x:v>
      </x:c>
    </x:row>
    <x:row r="71" ht="42" customHeight="1">
      <x:c r="A71" s="18" t="str">
        <x:v>HOST_HEADER_ONLY_CANDIDATE</x:v>
      </x:c>
      <x:c r="B71" s="18" t="str">
        <x:v>0x0820 (hex)</x:v>
      </x:c>
      <x:c r="C71" s="18" t="str">
        <x:v>MB_CMD_ID_EHSM_SHE_EXPORT_TOTAL_NVM_KEYS</x:v>
      </x:c>
      <x:c r="D71" s="18" t="str">
        <x:v>密钥管理</x:v>
      </x:c>
      <x:c r="E71" s="18" t="str">
        <x:v>SCOPE_UNCONFIRMED</x:v>
      </x:c>
      <x:c r="F71" s="18" t="str">
        <x:v>NEEDS_PROFILE_CONFIRMATION</x:v>
      </x:c>
      <x:c r="G71" s="18" t="str">
        <x:v>ASSUMPTION</x:v>
      </x:c>
      <x:c r="H71" s="18" t="str">
        <x:v>NOT_PLANNED</x:v>
      </x:c>
      <x:c r="I71" s="18" t="str">
        <x:v>N/A_UNTIL_APPLICABLE</x:v>
      </x:c>
      <x:c r="J71" s="18" t="str">
        <x:v>HOST_LOCAL_NEGATIVE_NOT_PLANNED</x:v>
      </x:c>
      <x:c r="K71" s="18" t="str">
        <x:v>UNKNOWN</x:v>
      </x:c>
      <x:c r="L71" s="18" t="str">
        <x:v>NOT_IN_SCOPE</x:v>
      </x:c>
      <x:c r="M71" s="18" t="str">
        <x:v>eHSM Host 2.3.1-4019-2ee044d/src/mb.h</x:v>
      </x:c>
      <x:c r="N71" s="18" t="str">
        <x:v>Command ID for ehsm_she_export_total_nvm_keys</x:v>
      </x:c>
    </x:row>
    <x:row r="72" ht="42" customHeight="1">
      <x:c r="A72" s="18" t="str">
        <x:v>HOST_HEADER_ONLY_CANDIDATE</x:v>
      </x:c>
      <x:c r="B72" s="18" t="str">
        <x:v>0x0821 (hex)</x:v>
      </x:c>
      <x:c r="C72" s="18" t="str">
        <x:v>MB_CMD_ID_EHSM_SHE_IMPORT_TOTAL_NVM_KEYS</x:v>
      </x:c>
      <x:c r="D72" s="18" t="str">
        <x:v>密钥管理</x:v>
      </x:c>
      <x:c r="E72" s="18" t="str">
        <x:v>SCOPE_UNCONFIRMED</x:v>
      </x:c>
      <x:c r="F72" s="18" t="str">
        <x:v>NEEDS_PROFILE_CONFIRMATION</x:v>
      </x:c>
      <x:c r="G72" s="18" t="str">
        <x:v>ASSUMPTION</x:v>
      </x:c>
      <x:c r="H72" s="18" t="str">
        <x:v>NOT_PLANNED</x:v>
      </x:c>
      <x:c r="I72" s="18" t="str">
        <x:v>N/A_UNTIL_APPLICABLE</x:v>
      </x:c>
      <x:c r="J72" s="18" t="str">
        <x:v>HOST_LOCAL_NEGATIVE_NOT_PLANNED</x:v>
      </x:c>
      <x:c r="K72" s="18" t="str">
        <x:v>UNKNOWN</x:v>
      </x:c>
      <x:c r="L72" s="18" t="str">
        <x:v>NOT_IN_SCOPE</x:v>
      </x:c>
      <x:c r="M72" s="18" t="str">
        <x:v>eHSM Host 2.3.1-4019-2ee044d/src/mb.h</x:v>
      </x:c>
      <x:c r="N72" s="18" t="str">
        <x:v>Command ID for ehsm_she_import_total_nvm_keys</x:v>
      </x:c>
    </x:row>
    <x:row r="73" ht="42" customHeight="1">
      <x:c r="A73" s="18" t="str">
        <x:v>HOST_HEADER_ONLY_CANDIDATE</x:v>
      </x:c>
      <x:c r="B73" s="18" t="str">
        <x:v>0xff04 (hex)</x:v>
      </x:c>
      <x:c r="C73" s="18" t="str">
        <x:v>MB_CMD_ID_DEBUG_AUTH</x:v>
      </x:c>
      <x:c r="D73" s="18" t="str">
        <x:v>调试/鉴权</x:v>
      </x:c>
      <x:c r="E73" s="18" t="str">
        <x:v>SCOPE_UNCONFIRMED</x:v>
      </x:c>
      <x:c r="F73" s="18" t="str">
        <x:v>NEEDS_PROFILE_CONFIRMATION</x:v>
      </x:c>
      <x:c r="G73" s="18" t="str">
        <x:v>ASSUMPTION</x:v>
      </x:c>
      <x:c r="H73" s="18" t="str">
        <x:v>NOT_PLANNED</x:v>
      </x:c>
      <x:c r="I73" s="18" t="str">
        <x:v>N/A_UNTIL_APPLICABLE</x:v>
      </x:c>
      <x:c r="J73" s="18" t="str">
        <x:v>HOST_LOCAL_NEGATIVE_NOT_PLANNED</x:v>
      </x:c>
      <x:c r="K73" s="18" t="str">
        <x:v>UNKNOWN</x:v>
      </x:c>
      <x:c r="L73" s="18" t="str">
        <x:v>NOT_IN_SCOPE</x:v>
      </x:c>
      <x:c r="M73" s="18" t="str">
        <x:v>eHSM Host 2.3.1-4019-2ee044d/src/mb.h</x:v>
      </x:c>
      <x:c r="N73" s="18" t="str">
        <x:v>Command ID for debug_auth</x:v>
      </x:c>
    </x:row>
  </x:sheetData>
  <x:mergeCells>
    <x:mergeCell ref="A1:N1"/>
  </x:mergeCells>
  <x:conditionalFormatting sqref="E4:L73">
    <x:cfRule type="containsText" dxfId="6" priority="1" operator="containsText" text="BLOCK"/>
    <x:cfRule type="containsText" dxfId="7" priority="2" operator="containsText" text="NEEDS"/>
    <x:cfRule type="containsText" dxfId="8" priority="3" operator="containsText" text="READY"/>
    <x:cfRule type="containsText" dxfId="9" priority="4" operator="containsText" text="COMPLETED"/>
    <x:cfRule type="containsText" dxfId="10" priority="5" operator="containsText" text="SUPERSEDED"/>
    <x:cfRule type="containsText" dxfId="11" priority="6" operator="containsText" text="N/A"/>
  </x:conditionalFormatting>
  <x:pageMargins left="0.7" right="0.7" top="0.75" bottom="0.75" header="0.3" footer="0.3"/>
  <x:tableParts count="1">
    <x:tablePart xmlns:r="http://schemas.openxmlformats.org/officeDocument/2006/relationships" r:id="R9a03490c43f74ff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44" hidden="0" customWidth="1"/>
    <x:col min="7" max="7" width="38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38" hidden="0" customWidth="1"/>
    <x:col min="13" max="13" width="38" hidden="0" customWidth="1"/>
    <x:col min="14" max="14" width="38" hidden="0" customWidth="1"/>
    <x:col min="15" max="15" width="10" hidden="0" customWidth="1"/>
    <x:col min="16" max="16" width="24" hidden="0" customWidth="1"/>
    <x:col min="17" max="17" width="24" hidden="0" customWidth="1"/>
    <x:col min="18" max="18" width="24" hidden="0" customWidth="1"/>
    <x:col min="19" max="19" width="16" hidden="0" customWidth="1"/>
    <x:col min="20" max="20" width="16" hidden="0" customWidth="1"/>
    <x:col min="21" max="21" width="16" hidden="0" customWidth="1"/>
    <x:col min="22" max="22" width="34" hidden="0" customWidth="1"/>
    <x:col min="23" max="23" width="34" hidden="0" customWidth="1"/>
    <x:col min="24" max="24" width="34" hidden="0" customWidth="1"/>
  </x:cols>
  <x:sheetData>
    <x:row r="1" ht="30" customHeight="1">
      <x:c r="A1" s="3" t="str">
        <x:v>Mailbox BASIC 与 eHSM 负向测试用例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</x:row>
    <x:row r="3" ht="30" customHeight="1">
      <x:c r="A3" s="10" t="str">
        <x:v>用例 ID</x:v>
      </x:c>
      <x:c r="B3" s="22" t="str">
        <x:v>用例类型</x:v>
      </x:c>
      <x:c r="C3" s="22" t="str">
        <x:v>覆盖范围</x:v>
      </x:c>
      <x:c r="D3" s="22" t="str">
        <x:v>阶段</x:v>
      </x:c>
      <x:c r="E3" s="22" t="str">
        <x:v>命令 ID</x:v>
      </x:c>
      <x:c r="F3" s="22" t="str">
        <x:v>命令/适用命令</x:v>
      </x:c>
      <x:c r="G3" s="22" t="str">
        <x:v>测试点/Vector策略</x:v>
      </x:c>
      <x:c r="H3" s="22" t="str">
        <x:v>目标</x:v>
      </x:c>
      <x:c r="I3" s="22" t="str">
        <x:v>必要性</x:v>
      </x:c>
      <x:c r="J3" s="22" t="str">
        <x:v>前置条件</x:v>
      </x:c>
      <x:c r="K3" s="22" t="str">
        <x:v>步骤</x:v>
      </x:c>
      <x:c r="L3" s="22" t="str">
        <x:v>输入/激励</x:v>
      </x:c>
      <x:c r="M3" s="22" t="str">
        <x:v>预期结果</x:v>
      </x:c>
      <x:c r="N3" s="22" t="str">
        <x:v>安全判据</x:v>
      </x:c>
      <x:c r="O3" s="22" t="str">
        <x:v>优先级</x:v>
      </x:c>
      <x:c r="P3" s="22" t="str">
        <x:v>验证层级</x:v>
      </x:c>
      <x:c r="Q3" s="22" t="str">
        <x:v>实现难度</x:v>
      </x:c>
      <x:c r="R3" s="22" t="str">
        <x:v>波次</x:v>
      </x:c>
      <x:c r="S3" s="22" t="str">
        <x:v>Owner</x:v>
      </x:c>
      <x:c r="T3" s="22" t="str">
        <x:v>自动化</x:v>
      </x:c>
      <x:c r="U3" s="22" t="str">
        <x:v>状态</x:v>
      </x:c>
      <x:c r="V3" s="22" t="str">
        <x:v>流片前门禁</x:v>
      </x:c>
      <x:c r="W3" s="22" t="str">
        <x:v>准入门禁</x:v>
      </x:c>
      <x:c r="X3" s="11" t="str">
        <x:v>来源</x:v>
      </x:c>
    </x:row>
    <x:row r="4" ht="72" customHeight="1">
      <x:c r="A4" s="17" t="str">
        <x:v>MB-BL-001-BASIC</x:v>
      </x:c>
      <x:c r="B4" s="17" t="str">
        <x:v>BASIC</x:v>
      </x:c>
      <x:c r="C4" s="17" t="str">
        <x:v>COMMAND</x:v>
      </x:c>
      <x:c r="D4" s="17" t="str">
        <x:v>BL</x:v>
      </x:c>
      <x:c r="E4" s="17" t="str">
        <x:v>0xff10 (hex)</x:v>
      </x:c>
      <x:c r="F4" s="17" t="str">
        <x:v>MB_CMD_ID_BL_READ_VER</x:v>
      </x:c>
      <x:c r="G4" s="17" t="str">
        <x:v>1条批准的代表性合法向量；Vendor Demo已有算法/模式向量经二级盘点后参数化复用，不复制Demo总入口</x:v>
      </x:c>
      <x:c r="H4" s="17" t="str">
        <x:v>验证合法请求能够按命令合同完成，raw返回、输出和Mailbox事务闭环一致</x:v>
      </x:c>
      <x:c r="I4" s="17" t="str">
        <x:v>每条适用命令的流片前功能冒烟基线；不代表拒绝路径已经验证</x:v>
      </x:c>
      <x:c r="J4" s="17" t="str">
        <x:v>BL镜像与匹配Host版本已就绪；eHSM ready；使用批准输入</x:v>
      </x:c>
      <x:c r="K4" s="17" t="str">
        <x:v>准备合法输入；确认Mailbox空闲；调用Vendor正式Host API；保存raw返回/输出；清理完成状态；执行健康查询确认后续事务</x:v>
      </x:c>
      <x:c r="L4" s="17" t="str">
        <x:v>代表性合法参数、固定向量或可重复种子；地址/长度/权限满足合同</x:v>
      </x:c>
      <x:c r="M4" s="17" t="str">
        <x:v>返回成功；输出与批准oracle一致；Mailbox可清理并继续处理后续事务</x:v>
      </x:c>
      <x:c r="N4" s="17" t="str">
        <x:v>真实eHSM raw响应+输出+事务状态；不以Demo最终success打印替代子case判定</x:v>
      </x:c>
      <x:c r="O4" s="17" t="str">
        <x:v>P0</x:v>
      </x:c>
      <x:c r="P4" s="17" t="str">
        <x:v>L3_EMU_INTEGRATION</x:v>
      </x:c>
      <x:c r="Q4" s="17" t="str">
        <x:v>LOW</x:v>
      </x:c>
      <x:c r="R4" s="17" t="str">
        <x:v>WAVE0_DAY0_SMOKE</x:v>
      </x:c>
      <x:c r="S4" s="17" t="str">
        <x:v>GSP</x:v>
      </x:c>
      <x:c r="T4" s="17" t="str">
        <x:v>待移植</x:v>
      </x:c>
      <x:c r="U4" s="17" t="str">
        <x:v>PLANNED</x:v>
      </x:c>
      <x:c r="V4" s="17" t="str">
        <x:v>MUST_PASS_BASIC</x:v>
      </x:c>
      <x:c r="W4" s="17" t="str">
        <x:v>READY_AFTER_BASELINE</x:v>
      </x:c>
      <x:c r="X4" s="17" t="str">
        <x:v>eHSM BL 2.3.5-4019-72f8fdc/inc/mb.h; SRC-0018; Host API/TRM; TASK-SEC-BAREMETAL-EHSM-001</x:v>
      </x:c>
    </x:row>
    <x:row r="5" ht="72" customHeight="1">
      <x:c r="A5" s="18" t="str">
        <x:v>MB-BL-002-BASIC</x:v>
      </x:c>
      <x:c r="B5" s="18" t="str">
        <x:v>BASIC</x:v>
      </x:c>
      <x:c r="C5" s="18" t="str">
        <x:v>COMMAND</x:v>
      </x:c>
      <x:c r="D5" s="18" t="str">
        <x:v>BL</x:v>
      </x:c>
      <x:c r="E5" s="18" t="str">
        <x:v>0xff02 (hex)</x:v>
      </x:c>
      <x:c r="F5" s="18" t="str">
        <x:v>MB_CMD_ID_BL_OTP_READ</x:v>
      </x:c>
      <x:c r="G5" s="18" t="str">
        <x:v>1条批准的代表性合法向量；Vendor Demo已有算法/模式向量经二级盘点后参数化复用，不复制Demo总入口</x:v>
      </x:c>
      <x:c r="H5" s="18" t="str">
        <x:v>验证合法请求能够按命令合同完成，raw返回、输出和Mailbox事务闭环一致</x:v>
      </x:c>
      <x:c r="I5" s="18" t="str">
        <x:v>每条适用命令的流片前功能冒烟基线；不代表拒绝路径已经验证</x:v>
      </x:c>
      <x:c r="J5" s="18" t="str">
        <x:v>BL镜像与匹配Host版本已就绪；eHSM ready；使用批准输入</x:v>
      </x:c>
      <x:c r="K5" s="18" t="str">
        <x:v>准备合法输入；确认Mailbox空闲；调用Vendor正式Host API；保存raw返回/输出；清理完成状态；执行健康查询确认后续事务</x:v>
      </x:c>
      <x:c r="L5" s="18" t="str">
        <x:v>代表性合法参数、固定向量或可重复种子；地址/长度/权限满足合同</x:v>
      </x:c>
      <x:c r="M5" s="18" t="str">
        <x:v>返回成功；输出与批准oracle一致；Mailbox可清理并继续处理后续事务</x:v>
      </x:c>
      <x:c r="N5" s="18" t="str">
        <x:v>真实eHSM raw响应+输出+事务状态；不以Demo最终success打印替代子case判定</x:v>
      </x:c>
      <x:c r="O5" s="18" t="str">
        <x:v>P0</x:v>
      </x:c>
      <x:c r="P5" s="18" t="str">
        <x:v>L3_EMU_INTEGRATION</x:v>
      </x:c>
      <x:c r="Q5" s="18" t="str">
        <x:v>MEDIUM_HIGH</x:v>
      </x:c>
      <x:c r="R5" s="18" t="str">
        <x:v>WAVE1_ROOT_OF_TRUST</x:v>
      </x:c>
      <x:c r="S5" s="18" t="str">
        <x:v>GSP</x:v>
      </x:c>
      <x:c r="T5" s="18" t="str">
        <x:v>待移植</x:v>
      </x:c>
      <x:c r="U5" s="18" t="str">
        <x:v>PLANNED</x:v>
      </x:c>
      <x:c r="V5" s="18" t="str">
        <x:v>MUST_PASS_BASIC</x:v>
      </x:c>
      <x:c r="W5" s="18" t="str">
        <x:v>READY_AFTER_BASELINE</x:v>
      </x:c>
      <x:c r="X5" s="18" t="str">
        <x:v>eHSM BL 2.3.5-4019-72f8fdc/inc/mb.h; SRC-0018; Host API/TRM; TASK-SEC-BAREMETAL-EHSM-001</x:v>
      </x:c>
    </x:row>
    <x:row r="6" ht="72" customHeight="1">
      <x:c r="A6" s="18" t="str">
        <x:v>MB-BL-003-BASIC</x:v>
      </x:c>
      <x:c r="B6" s="18" t="str">
        <x:v>BASIC</x:v>
      </x:c>
      <x:c r="C6" s="18" t="str">
        <x:v>COMMAND</x:v>
      </x:c>
      <x:c r="D6" s="18" t="str">
        <x:v>BL</x:v>
      </x:c>
      <x:c r="E6" s="18" t="str">
        <x:v>0xff01 (hex)</x:v>
      </x:c>
      <x:c r="F6" s="18" t="str">
        <x:v>MB_CMD_ID_BL_OTP_WRITE</x:v>
      </x:c>
      <x:c r="G6" s="18" t="str">
        <x:v>1条批准的代表性合法向量；Vendor Demo已有算法/模式向量经二级盘点后参数化复用，不复制Demo总入口</x:v>
      </x:c>
      <x:c r="H6" s="18" t="str">
        <x:v>验证合法请求能够按命令合同完成，raw返回、输出和Mailbox事务闭环一致</x:v>
      </x:c>
      <x:c r="I6" s="18" t="str">
        <x:v>每条适用命令的流片前功能冒烟基线；不代表拒绝路径已经验证</x:v>
      </x:c>
      <x:c r="J6" s="18" t="str">
        <x:v>BL镜像与匹配Host版本已就绪；eHSM ready；使用批准输入；危险/不可逆命令使用专用fixture并获批准</x:v>
      </x:c>
      <x:c r="K6" s="18" t="str">
        <x:v>准备合法输入；确认Mailbox空闲；调用Vendor正式Host API；保存raw返回/输出；清理完成状态；执行健康查询确认后续事务</x:v>
      </x:c>
      <x:c r="L6" s="18" t="str">
        <x:v>代表性合法参数、固定向量或可重复种子；地址/长度/权限满足合同</x:v>
      </x:c>
      <x:c r="M6" s="18" t="str">
        <x:v>仅在批准fixture执行；成功时结果和持久副作用完全符合合同；无fixture时为INCONCLUSIVE而不是跳过后PASS</x:v>
      </x:c>
      <x:c r="N6" s="18" t="str">
        <x:v>真实eHSM raw响应+输出+事务状态；不以Demo最终success打印替代子case判定</x:v>
      </x:c>
      <x:c r="O6" s="18" t="str">
        <x:v>P0</x:v>
      </x:c>
      <x:c r="P6" s="18" t="str">
        <x:v>L3_EMU_INTEGRATION</x:v>
      </x:c>
      <x:c r="Q6" s="18" t="str">
        <x:v>HIGH</x:v>
      </x:c>
      <x:c r="R6" s="18" t="str">
        <x:v>WAVE1_ROOT_OF_TRUST</x:v>
      </x:c>
      <x:c r="S6" s="18" t="str">
        <x:v>GSP</x:v>
      </x:c>
      <x:c r="T6" s="18" t="str">
        <x:v>待移植</x:v>
      </x:c>
      <x:c r="U6" s="18" t="str">
        <x:v>PLANNED</x:v>
      </x:c>
      <x:c r="V6" s="18" t="str">
        <x:v>DEDICATED_FIXTURE_OR_INCONCLUSIVE</x:v>
      </x:c>
      <x:c r="W6" s="18" t="str">
        <x:v>NEEDS_DEDICATED_FIXTURE_AND_APPROVAL</x:v>
      </x:c>
      <x:c r="X6" s="18" t="str">
        <x:v>eHSM BL 2.3.5-4019-72f8fdc/inc/mb.h; SRC-0018; Host API/TRM; TASK-SEC-BAREMETAL-EHSM-001</x:v>
      </x:c>
    </x:row>
    <x:row r="7" ht="72" customHeight="1">
      <x:c r="A7" s="18" t="str">
        <x:v>MB-BL-004-BASIC</x:v>
      </x:c>
      <x:c r="B7" s="18" t="str">
        <x:v>BASIC</x:v>
      </x:c>
      <x:c r="C7" s="18" t="str">
        <x:v>COMMAND</x:v>
      </x:c>
      <x:c r="D7" s="18" t="str">
        <x:v>BL</x:v>
      </x:c>
      <x:c r="E7" s="18" t="str">
        <x:v>0xff24 (hex)</x:v>
      </x:c>
      <x:c r="F7" s="18" t="str">
        <x:v>MB_CMD_ID_BL_REG_RD</x:v>
      </x:c>
      <x:c r="G7" s="18" t="str">
        <x:v>1条批准的代表性合法向量；Vendor Demo已有算法/模式向量经二级盘点后参数化复用，不复制Demo总入口</x:v>
      </x:c>
      <x:c r="H7" s="18" t="str">
        <x:v>验证合法请求能够按命令合同完成，raw返回、输出和Mailbox事务闭环一致</x:v>
      </x:c>
      <x:c r="I7" s="18" t="str">
        <x:v>每条适用命令的流片前功能冒烟基线；不代表拒绝路径已经验证</x:v>
      </x:c>
      <x:c r="J7" s="18" t="str">
        <x:v>BL镜像与匹配Host版本已就绪；eHSM ready；使用批准输入</x:v>
      </x:c>
      <x:c r="K7" s="18" t="str">
        <x:v>准备合法输入；确认Mailbox空闲；调用Vendor正式Host API；保存raw返回/输出；清理完成状态；执行健康查询确认后续事务</x:v>
      </x:c>
      <x:c r="L7" s="18" t="str">
        <x:v>代表性合法参数、固定向量或可重复种子；地址/长度/权限满足合同</x:v>
      </x:c>
      <x:c r="M7" s="18" t="str">
        <x:v>返回成功；输出与批准oracle一致；Mailbox可清理并继续处理后续事务</x:v>
      </x:c>
      <x:c r="N7" s="18" t="str">
        <x:v>真实eHSM raw响应+输出+事务状态；不以Demo最终success打印替代子case判定</x:v>
      </x:c>
      <x:c r="O7" s="18" t="str">
        <x:v>P0</x:v>
      </x:c>
      <x:c r="P7" s="18" t="str">
        <x:v>L3_EMU_INTEGRATION</x:v>
      </x:c>
      <x:c r="Q7" s="18" t="str">
        <x:v>MEDIUM_HIGH</x:v>
      </x:c>
      <x:c r="R7" s="18" t="str">
        <x:v>WAVE4_CRYPTO_COMPAT_VENDOR</x:v>
      </x:c>
      <x:c r="S7" s="18" t="str">
        <x:v>GSP</x:v>
      </x:c>
      <x:c r="T7" s="18" t="str">
        <x:v>待移植</x:v>
      </x:c>
      <x:c r="U7" s="18" t="str">
        <x:v>PLANNED</x:v>
      </x:c>
      <x:c r="V7" s="18" t="str">
        <x:v>MUST_PASS_BASIC</x:v>
      </x:c>
      <x:c r="W7" s="18" t="str">
        <x:v>READY_AFTER_BASELINE</x:v>
      </x:c>
      <x:c r="X7" s="18" t="str">
        <x:v>eHSM BL 2.3.5-4019-72f8fdc/inc/mb.h; SRC-0018; Host API/TRM; TASK-SEC-BAREMETAL-EHSM-001</x:v>
      </x:c>
    </x:row>
    <x:row r="8" ht="72" customHeight="1">
      <x:c r="A8" s="18" t="str">
        <x:v>MB-BL-005-BASIC</x:v>
      </x:c>
      <x:c r="B8" s="18" t="str">
        <x:v>BASIC</x:v>
      </x:c>
      <x:c r="C8" s="18" t="str">
        <x:v>COMMAND</x:v>
      </x:c>
      <x:c r="D8" s="18" t="str">
        <x:v>BL</x:v>
      </x:c>
      <x:c r="E8" s="18" t="str">
        <x:v>0xff23 (hex)</x:v>
      </x:c>
      <x:c r="F8" s="18" t="str">
        <x:v>MB_CMD_ID_BL_REG_WR</x:v>
      </x:c>
      <x:c r="G8" s="18" t="str">
        <x:v>1条批准的代表性合法向量；Vendor Demo已有算法/模式向量经二级盘点后参数化复用，不复制Demo总入口</x:v>
      </x:c>
      <x:c r="H8" s="18" t="str">
        <x:v>验证合法请求能够按命令合同完成，raw返回、输出和Mailbox事务闭环一致</x:v>
      </x:c>
      <x:c r="I8" s="18" t="str">
        <x:v>每条适用命令的流片前功能冒烟基线；不代表拒绝路径已经验证</x:v>
      </x:c>
      <x:c r="J8" s="18" t="str">
        <x:v>BL镜像与匹配Host版本已就绪；eHSM ready；使用批准输入；危险/不可逆命令使用专用fixture并获批准</x:v>
      </x:c>
      <x:c r="K8" s="18" t="str">
        <x:v>准备合法输入；确认Mailbox空闲；调用Vendor正式Host API；保存raw返回/输出；清理完成状态；执行健康查询确认后续事务</x:v>
      </x:c>
      <x:c r="L8" s="18" t="str">
        <x:v>代表性合法参数、固定向量或可重复种子；地址/长度/权限满足合同</x:v>
      </x:c>
      <x:c r="M8" s="18" t="str">
        <x:v>仅在批准fixture执行；成功时结果和持久副作用完全符合合同；无fixture时为INCONCLUSIVE而不是跳过后PASS</x:v>
      </x:c>
      <x:c r="N8" s="18" t="str">
        <x:v>真实eHSM raw响应+输出+事务状态；不以Demo最终success打印替代子case判定</x:v>
      </x:c>
      <x:c r="O8" s="18" t="str">
        <x:v>P0</x:v>
      </x:c>
      <x:c r="P8" s="18" t="str">
        <x:v>L3_EMU_INTEGRATION</x:v>
      </x:c>
      <x:c r="Q8" s="18" t="str">
        <x:v>MEDIUM_HIGH</x:v>
      </x:c>
      <x:c r="R8" s="18" t="str">
        <x:v>WAVE4_CRYPTO_COMPAT_VENDOR</x:v>
      </x:c>
      <x:c r="S8" s="18" t="str">
        <x:v>GSP</x:v>
      </x:c>
      <x:c r="T8" s="18" t="str">
        <x:v>待移植</x:v>
      </x:c>
      <x:c r="U8" s="18" t="str">
        <x:v>PLANNED</x:v>
      </x:c>
      <x:c r="V8" s="18" t="str">
        <x:v>MUST_PASS_BASIC</x:v>
      </x:c>
      <x:c r="W8" s="18" t="str">
        <x:v>NEEDS_DEDICATED_FIXTURE_AND_APPROVAL</x:v>
      </x:c>
      <x:c r="X8" s="18" t="str">
        <x:v>eHSM BL 2.3.5-4019-72f8fdc/inc/mb.h; SRC-0018; Host API/TRM; TASK-SEC-BAREMETAL-EHSM-001</x:v>
      </x:c>
    </x:row>
    <x:row r="9" ht="72" customHeight="1">
      <x:c r="A9" s="18" t="str">
        <x:v>MB-BL-006-BASIC</x:v>
      </x:c>
      <x:c r="B9" s="18" t="str">
        <x:v>BASIC</x:v>
      </x:c>
      <x:c r="C9" s="18" t="str">
        <x:v>COMMAND</x:v>
      </x:c>
      <x:c r="D9" s="18" t="str">
        <x:v>BL</x:v>
      </x:c>
      <x:c r="E9" s="18" t="str">
        <x:v>0xff05 (hex)</x:v>
      </x:c>
      <x:c r="F9" s="18" t="str">
        <x:v>MB_CMD_ID_BL_FW_UPGRADE</x:v>
      </x:c>
      <x:c r="G9" s="18" t="str">
        <x:v>1条批准的代表性合法向量；Vendor Demo已有算法/模式向量经二级盘点后参数化复用，不复制Demo总入口</x:v>
      </x:c>
      <x:c r="H9" s="18" t="str">
        <x:v>验证合法请求能够按命令合同完成，raw返回、输出和Mailbox事务闭环一致</x:v>
      </x:c>
      <x:c r="I9" s="18" t="str">
        <x:v>每条适用命令的流片前功能冒烟基线；不代表拒绝路径已经验证</x:v>
      </x:c>
      <x:c r="J9" s="18" t="str">
        <x:v>BL镜像与匹配Host版本已就绪；eHSM ready；使用批准输入；危险/不可逆命令使用专用fixture并获批准</x:v>
      </x:c>
      <x:c r="K9" s="18" t="str">
        <x:v>准备合法输入；确认Mailbox空闲；调用Vendor正式Host API；保存raw返回/输出；清理完成状态；执行健康查询确认后续事务</x:v>
      </x:c>
      <x:c r="L9" s="18" t="str">
        <x:v>代表性合法参数、固定向量或可重复种子；地址/长度/权限满足合同</x:v>
      </x:c>
      <x:c r="M9" s="18" t="str">
        <x:v>仅在批准fixture执行；成功时结果和持久副作用完全符合合同；无fixture时为INCONCLUSIVE而不是跳过后PASS</x:v>
      </x:c>
      <x:c r="N9" s="18" t="str">
        <x:v>真实eHSM raw响应+输出+事务状态；不以Demo最终success打印替代子case判定</x:v>
      </x:c>
      <x:c r="O9" s="18" t="str">
        <x:v>P0</x:v>
      </x:c>
      <x:c r="P9" s="18" t="str">
        <x:v>L3_EMU_INTEGRATION</x:v>
      </x:c>
      <x:c r="Q9" s="18" t="str">
        <x:v>HIGH</x:v>
      </x:c>
      <x:c r="R9" s="18" t="str">
        <x:v>WAVE1_ROOT_OF_TRUST</x:v>
      </x:c>
      <x:c r="S9" s="18" t="str">
        <x:v>GSP</x:v>
      </x:c>
      <x:c r="T9" s="18" t="str">
        <x:v>待移植</x:v>
      </x:c>
      <x:c r="U9" s="18" t="str">
        <x:v>PLANNED</x:v>
      </x:c>
      <x:c r="V9" s="18" t="str">
        <x:v>DEDICATED_FIXTURE_OR_INCONCLUSIVE</x:v>
      </x:c>
      <x:c r="W9" s="18" t="str">
        <x:v>NEEDS_DEDICATED_FIXTURE_AND_APPROVAL</x:v>
      </x:c>
      <x:c r="X9" s="18" t="str">
        <x:v>eHSM BL 2.3.5-4019-72f8fdc/inc/mb.h; SRC-0018; Host API/TRM; TASK-SEC-BAREMETAL-EHSM-001</x:v>
      </x:c>
    </x:row>
    <x:row r="10" ht="72" customHeight="1">
      <x:c r="A10" s="18" t="str">
        <x:v>MB-BL-007-BASIC</x:v>
      </x:c>
      <x:c r="B10" s="18" t="str">
        <x:v>BASIC</x:v>
      </x:c>
      <x:c r="C10" s="18" t="str">
        <x:v>COMMAND</x:v>
      </x:c>
      <x:c r="D10" s="18" t="str">
        <x:v>BL</x:v>
      </x:c>
      <x:c r="E10" s="18" t="str">
        <x:v>0xff06 (hex)</x:v>
      </x:c>
      <x:c r="F10" s="18" t="str">
        <x:v>MB_CMD_ID_BL_VERIFY_IMAGE</x:v>
      </x:c>
      <x:c r="G10" s="18" t="str">
        <x:v>1条批准的代表性合法向量；Vendor Demo已有算法/模式向量经二级盘点后参数化复用，不复制Demo总入口</x:v>
      </x:c>
      <x:c r="H10" s="18" t="str">
        <x:v>验证合法请求能够按命令合同完成，raw返回、输出和Mailbox事务闭环一致</x:v>
      </x:c>
      <x:c r="I10" s="18" t="str">
        <x:v>每条适用命令的流片前功能冒烟基线；不代表拒绝路径已经验证</x:v>
      </x:c>
      <x:c r="J10" s="18" t="str">
        <x:v>BL镜像与匹配Host版本已就绪；eHSM ready；使用批准输入</x:v>
      </x:c>
      <x:c r="K10" s="18" t="str">
        <x:v>准备合法输入；确认Mailbox空闲；调用Vendor正式Host API；保存raw返回/输出；清理完成状态；执行健康查询确认后续事务</x:v>
      </x:c>
      <x:c r="L10" s="18" t="str">
        <x:v>代表性合法参数、固定向量或可重复种子；地址/长度/权限满足合同</x:v>
      </x:c>
      <x:c r="M10" s="18" t="str">
        <x:v>返回成功；输出与批准oracle一致；Mailbox可清理并继续处理后续事务</x:v>
      </x:c>
      <x:c r="N10" s="18" t="str">
        <x:v>真实eHSM raw响应+输出+事务状态；不以Demo最终success打印替代子case判定</x:v>
      </x:c>
      <x:c r="O10" s="18" t="str">
        <x:v>P0</x:v>
      </x:c>
      <x:c r="P10" s="18" t="str">
        <x:v>L3_EMU_INTEGRATION</x:v>
      </x:c>
      <x:c r="Q10" s="18" t="str">
        <x:v>MEDIUM_HIGH</x:v>
      </x:c>
      <x:c r="R10" s="18" t="str">
        <x:v>WAVE1_ROOT_OF_TRUST</x:v>
      </x:c>
      <x:c r="S10" s="18" t="str">
        <x:v>GSP</x:v>
      </x:c>
      <x:c r="T10" s="18" t="str">
        <x:v>待移植</x:v>
      </x:c>
      <x:c r="U10" s="18" t="str">
        <x:v>PLANNED</x:v>
      </x:c>
      <x:c r="V10" s="18" t="str">
        <x:v>MUST_PASS_BASIC</x:v>
      </x:c>
      <x:c r="W10" s="18" t="str">
        <x:v>READY_AFTER_BASELINE</x:v>
      </x:c>
      <x:c r="X10" s="18" t="str">
        <x:v>eHSM BL 2.3.5-4019-72f8fdc/inc/mb.h; SRC-0018; Host API/TRM; TASK-SEC-BAREMETAL-EHSM-001</x:v>
      </x:c>
    </x:row>
    <x:row r="11" ht="72" customHeight="1">
      <x:c r="A11" s="18" t="str">
        <x:v>MB-BL-008-BASIC</x:v>
      </x:c>
      <x:c r="B11" s="18" t="str">
        <x:v>BASIC</x:v>
      </x:c>
      <x:c r="C11" s="18" t="str">
        <x:v>COMMAND</x:v>
      </x:c>
      <x:c r="D11" s="18" t="str">
        <x:v>BL</x:v>
      </x:c>
      <x:c r="E11" s="18" t="str">
        <x:v>0xff08 (hex)</x:v>
      </x:c>
      <x:c r="F11" s="18" t="str">
        <x:v>MB_CMD_ID_BL_GET_RANDOM_KEY</x:v>
      </x:c>
      <x:c r="G11" s="18" t="str">
        <x:v>1条批准的代表性合法向量；Vendor Demo已有算法/模式向量经二级盘点后参数化复用，不复制Demo总入口</x:v>
      </x:c>
      <x:c r="H11" s="18" t="str">
        <x:v>验证合法请求能够按命令合同完成，raw返回、输出和Mailbox事务闭环一致</x:v>
      </x:c>
      <x:c r="I11" s="18" t="str">
        <x:v>每条适用命令的流片前功能冒烟基线；不代表拒绝路径已经验证</x:v>
      </x:c>
      <x:c r="J11" s="18" t="str">
        <x:v>BL镜像与匹配Host版本已就绪；eHSM ready；使用批准输入</x:v>
      </x:c>
      <x:c r="K11" s="18" t="str">
        <x:v>准备合法输入；确认Mailbox空闲；调用Vendor正式Host API；保存raw返回/输出；清理完成状态；执行健康查询确认后续事务</x:v>
      </x:c>
      <x:c r="L11" s="18" t="str">
        <x:v>代表性合法参数、固定向量或可重复种子；地址/长度/权限满足合同</x:v>
      </x:c>
      <x:c r="M11" s="18" t="str">
        <x:v>返回成功；输出与批准oracle一致；Mailbox可清理并继续处理后续事务</x:v>
      </x:c>
      <x:c r="N11" s="18" t="str">
        <x:v>真实eHSM raw响应+输出+事务状态；不以Demo最终success打印替代子case判定</x:v>
      </x:c>
      <x:c r="O11" s="18" t="str">
        <x:v>P0</x:v>
      </x:c>
      <x:c r="P11" s="18" t="str">
        <x:v>L3_EMU_INTEGRATION</x:v>
      </x:c>
      <x:c r="Q11" s="18" t="str">
        <x:v>MEDIUM_HIGH</x:v>
      </x:c>
      <x:c r="R11" s="18" t="str">
        <x:v>WAVE2_IDENTITY_KEY_PERMISSION</x:v>
      </x:c>
      <x:c r="S11" s="18" t="str">
        <x:v>GSP</x:v>
      </x:c>
      <x:c r="T11" s="18" t="str">
        <x:v>待移植</x:v>
      </x:c>
      <x:c r="U11" s="18" t="str">
        <x:v>PLANNED</x:v>
      </x:c>
      <x:c r="V11" s="18" t="str">
        <x:v>MUST_PASS_BASIC</x:v>
      </x:c>
      <x:c r="W11" s="18" t="str">
        <x:v>READY_AFTER_BASELINE</x:v>
      </x:c>
      <x:c r="X11" s="18" t="str">
        <x:v>eHSM BL 2.3.5-4019-72f8fdc/inc/mb.h; SRC-0018; Host API/TRM; TASK-SEC-BAREMETAL-EHSM-001</x:v>
      </x:c>
    </x:row>
    <x:row r="12" ht="72" customHeight="1">
      <x:c r="A12" s="18" t="str">
        <x:v>MB-BL-009-BASIC</x:v>
      </x:c>
      <x:c r="B12" s="18" t="str">
        <x:v>BASIC</x:v>
      </x:c>
      <x:c r="C12" s="18" t="str">
        <x:v>COMMAND</x:v>
      </x:c>
      <x:c r="D12" s="18" t="str">
        <x:v>BL</x:v>
      </x:c>
      <x:c r="E12" s="18" t="str">
        <x:v>0xff09 (hex)</x:v>
      </x:c>
      <x:c r="F12" s="18" t="str">
        <x:v>MB_CMD_ID_BL_ENCRYPT_KEY</x:v>
      </x:c>
      <x:c r="G12" s="18" t="str">
        <x:v>1条批准的代表性合法向量；Vendor Demo已有算法/模式向量经二级盘点后参数化复用，不复制Demo总入口</x:v>
      </x:c>
      <x:c r="H12" s="18" t="str">
        <x:v>验证合法请求能够按命令合同完成，raw返回、输出和Mailbox事务闭环一致</x:v>
      </x:c>
      <x:c r="I12" s="18" t="str">
        <x:v>每条适用命令的流片前功能冒烟基线；不代表拒绝路径已经验证</x:v>
      </x:c>
      <x:c r="J12" s="18" t="str">
        <x:v>BL镜像与匹配Host版本已就绪；eHSM ready；使用批准输入</x:v>
      </x:c>
      <x:c r="K12" s="18" t="str">
        <x:v>准备合法输入；确认Mailbox空闲；调用Vendor正式Host API；保存raw返回/输出；清理完成状态；执行健康查询确认后续事务</x:v>
      </x:c>
      <x:c r="L12" s="18" t="str">
        <x:v>代表性合法参数、固定向量或可重复种子；地址/长度/权限满足合同</x:v>
      </x:c>
      <x:c r="M12" s="18" t="str">
        <x:v>返回成功；输出与批准oracle一致；Mailbox可清理并继续处理后续事务</x:v>
      </x:c>
      <x:c r="N12" s="18" t="str">
        <x:v>真实eHSM raw响应+输出+事务状态；不以Demo最终success打印替代子case判定</x:v>
      </x:c>
      <x:c r="O12" s="18" t="str">
        <x:v>P0</x:v>
      </x:c>
      <x:c r="P12" s="18" t="str">
        <x:v>L3_EMU_INTEGRATION</x:v>
      </x:c>
      <x:c r="Q12" s="18" t="str">
        <x:v>MEDIUM_HIGH</x:v>
      </x:c>
      <x:c r="R12" s="18" t="str">
        <x:v>WAVE2_IDENTITY_KEY_PERMISSION</x:v>
      </x:c>
      <x:c r="S12" s="18" t="str">
        <x:v>GSP</x:v>
      </x:c>
      <x:c r="T12" s="18" t="str">
        <x:v>待移植</x:v>
      </x:c>
      <x:c r="U12" s="18" t="str">
        <x:v>PLANNED</x:v>
      </x:c>
      <x:c r="V12" s="18" t="str">
        <x:v>MUST_PASS_BASIC</x:v>
      </x:c>
      <x:c r="W12" s="18" t="str">
        <x:v>READY_AFTER_BASELINE</x:v>
      </x:c>
      <x:c r="X12" s="18" t="str">
        <x:v>eHSM BL 2.3.5-4019-72f8fdc/inc/mb.h; SRC-0018; Host API/TRM; TASK-SEC-BAREMETAL-EHSM-001</x:v>
      </x:c>
    </x:row>
    <x:row r="13" ht="72" customHeight="1">
      <x:c r="A13" s="18" t="str">
        <x:v>MB-BL-010-BASIC</x:v>
      </x:c>
      <x:c r="B13" s="18" t="str">
        <x:v>BASIC</x:v>
      </x:c>
      <x:c r="C13" s="18" t="str">
        <x:v>COMMAND</x:v>
      </x:c>
      <x:c r="D13" s="18" t="str">
        <x:v>BL</x:v>
      </x:c>
      <x:c r="E13" s="18" t="str">
        <x:v>0xff03 (hex)</x:v>
      </x:c>
      <x:c r="F13" s="18" t="str">
        <x:v>MB_CMD_ID_BL_GET_CHALLENGE</x:v>
      </x:c>
      <x:c r="G13" s="18" t="str">
        <x:v>1条批准的代表性合法向量；Vendor Demo已有算法/模式向量经二级盘点后参数化复用，不复制Demo总入口</x:v>
      </x:c>
      <x:c r="H13" s="18" t="str">
        <x:v>验证合法请求能够按命令合同完成，raw返回、输出和Mailbox事务闭环一致</x:v>
      </x:c>
      <x:c r="I13" s="18" t="str">
        <x:v>每条适用命令的流片前功能冒烟基线；不代表拒绝路径已经验证</x:v>
      </x:c>
      <x:c r="J13" s="18" t="str">
        <x:v>BL镜像与匹配Host版本已就绪；eHSM ready；使用批准输入</x:v>
      </x:c>
      <x:c r="K13" s="18" t="str">
        <x:v>准备合法输入；确认Mailbox空闲；调用Vendor正式Host API；保存raw返回/输出；清理完成状态；执行健康查询确认后续事务</x:v>
      </x:c>
      <x:c r="L13" s="18" t="str">
        <x:v>代表性合法参数、固定向量或可重复种子；地址/长度/权限满足合同</x:v>
      </x:c>
      <x:c r="M13" s="18" t="str">
        <x:v>返回成功；输出与批准oracle一致；Mailbox可清理并继续处理后续事务</x:v>
      </x:c>
      <x:c r="N13" s="18" t="str">
        <x:v>真实eHSM raw响应+输出+事务状态；不以Demo最终success打印替代子case判定</x:v>
      </x:c>
      <x:c r="O13" s="18" t="str">
        <x:v>P0</x:v>
      </x:c>
      <x:c r="P13" s="18" t="str">
        <x:v>L3_EMU_INTEGRATION</x:v>
      </x:c>
      <x:c r="Q13" s="18" t="str">
        <x:v>MEDIUM_HIGH</x:v>
      </x:c>
      <x:c r="R13" s="18" t="str">
        <x:v>WAVE2_IDENTITY_KEY_PERMISSION</x:v>
      </x:c>
      <x:c r="S13" s="18" t="str">
        <x:v>GSP</x:v>
      </x:c>
      <x:c r="T13" s="18" t="str">
        <x:v>待移植</x:v>
      </x:c>
      <x:c r="U13" s="18" t="str">
        <x:v>PLANNED</x:v>
      </x:c>
      <x:c r="V13" s="18" t="str">
        <x:v>MUST_PASS_BASIC</x:v>
      </x:c>
      <x:c r="W13" s="18" t="str">
        <x:v>READY_AFTER_BASELINE</x:v>
      </x:c>
      <x:c r="X13" s="18" t="str">
        <x:v>eHSM BL 2.3.5-4019-72f8fdc/inc/mb.h; SRC-0018; Host API/TRM; TASK-SEC-BAREMETAL-EHSM-001</x:v>
      </x:c>
    </x:row>
    <x:row r="14" ht="72" customHeight="1">
      <x:c r="A14" s="18" t="str">
        <x:v>MB-BL-011-BASIC</x:v>
      </x:c>
      <x:c r="B14" s="18" t="str">
        <x:v>BASIC</x:v>
      </x:c>
      <x:c r="C14" s="18" t="str">
        <x:v>COMMAND</x:v>
      </x:c>
      <x:c r="D14" s="18" t="str">
        <x:v>BL</x:v>
      </x:c>
      <x:c r="E14" s="18" t="str">
        <x:v>0xff04 (hex)</x:v>
      </x:c>
      <x:c r="F14" s="18" t="str">
        <x:v>MB_CMD_ID_BL_DEBUG_AUTH</x:v>
      </x:c>
      <x:c r="G14" s="18" t="str">
        <x:v>1条批准的代表性合法向量；Vendor Demo已有算法/模式向量经二级盘点后参数化复用，不复制Demo总入口</x:v>
      </x:c>
      <x:c r="H14" s="18" t="str">
        <x:v>验证合法请求能够按命令合同完成，raw返回、输出和Mailbox事务闭环一致</x:v>
      </x:c>
      <x:c r="I14" s="18" t="str">
        <x:v>每条适用命令的流片前功能冒烟基线；不代表拒绝路径已经验证</x:v>
      </x:c>
      <x:c r="J14" s="18" t="str">
        <x:v>BL镜像与匹配Host版本已就绪；eHSM ready；使用批准输入</x:v>
      </x:c>
      <x:c r="K14" s="18" t="str">
        <x:v>准备合法输入；确认Mailbox空闲；调用Vendor正式Host API；保存raw返回/输出；清理完成状态；执行健康查询确认后续事务</x:v>
      </x:c>
      <x:c r="L14" s="18" t="str">
        <x:v>代表性合法参数、固定向量或可重复种子；地址/长度/权限满足合同</x:v>
      </x:c>
      <x:c r="M14" s="18" t="str">
        <x:v>返回成功；输出与批准oracle一致；Mailbox可清理并继续处理后续事务</x:v>
      </x:c>
      <x:c r="N14" s="18" t="str">
        <x:v>真实eHSM raw响应+输出+事务状态；不以Demo最终success打印替代子case判定</x:v>
      </x:c>
      <x:c r="O14" s="18" t="str">
        <x:v>P0</x:v>
      </x:c>
      <x:c r="P14" s="18" t="str">
        <x:v>L3_EMU_INTEGRATION</x:v>
      </x:c>
      <x:c r="Q14" s="18" t="str">
        <x:v>MEDIUM_HIGH</x:v>
      </x:c>
      <x:c r="R14" s="18" t="str">
        <x:v>WAVE2_IDENTITY_KEY_PERMISSION</x:v>
      </x:c>
      <x:c r="S14" s="18" t="str">
        <x:v>GSP</x:v>
      </x:c>
      <x:c r="T14" s="18" t="str">
        <x:v>待移植</x:v>
      </x:c>
      <x:c r="U14" s="18" t="str">
        <x:v>PLANNED</x:v>
      </x:c>
      <x:c r="V14" s="18" t="str">
        <x:v>MUST_PASS_BASIC</x:v>
      </x:c>
      <x:c r="W14" s="18" t="str">
        <x:v>READY_AFTER_BASELINE</x:v>
      </x:c>
      <x:c r="X14" s="18" t="str">
        <x:v>eHSM BL 2.3.5-4019-72f8fdc/inc/mb.h; SRC-0018; Host API/TRM; TASK-SEC-BAREMETAL-EHSM-001</x:v>
      </x:c>
    </x:row>
    <x:row r="15" ht="72" customHeight="1">
      <x:c r="A15" s="18" t="str">
        <x:v>MB-BL-012-BASIC</x:v>
      </x:c>
      <x:c r="B15" s="18" t="str">
        <x:v>BASIC</x:v>
      </x:c>
      <x:c r="C15" s="18" t="str">
        <x:v>COMMAND</x:v>
      </x:c>
      <x:c r="D15" s="18" t="str">
        <x:v>BL</x:v>
      </x:c>
      <x:c r="E15" s="18" t="str">
        <x:v>0xff0e (hex)</x:v>
      </x:c>
      <x:c r="F15" s="18" t="str">
        <x:v>MB_CMD_ID_BL_CLOSE_DEBUG</x:v>
      </x:c>
      <x:c r="G15" s="18" t="str">
        <x:v>1条批准的代表性合法向量；Vendor Demo已有算法/模式向量经二级盘点后参数化复用，不复制Demo总入口</x:v>
      </x:c>
      <x:c r="H15" s="18" t="str">
        <x:v>验证合法请求能够按命令合同完成，raw返回、输出和Mailbox事务闭环一致</x:v>
      </x:c>
      <x:c r="I15" s="18" t="str">
        <x:v>每条适用命令的流片前功能冒烟基线；不代表拒绝路径已经验证</x:v>
      </x:c>
      <x:c r="J15" s="18" t="str">
        <x:v>BL镜像与匹配Host版本已就绪；eHSM ready；使用批准输入</x:v>
      </x:c>
      <x:c r="K15" s="18" t="str">
        <x:v>准备合法输入；确认Mailbox空闲；调用Vendor正式Host API；保存raw返回/输出；清理完成状态；执行健康查询确认后续事务</x:v>
      </x:c>
      <x:c r="L15" s="18" t="str">
        <x:v>代表性合法参数、固定向量或可重复种子；地址/长度/权限满足合同</x:v>
      </x:c>
      <x:c r="M15" s="18" t="str">
        <x:v>返回成功；输出与批准oracle一致；Mailbox可清理并继续处理后续事务</x:v>
      </x:c>
      <x:c r="N15" s="18" t="str">
        <x:v>真实eHSM raw响应+输出+事务状态；不以Demo最终success打印替代子case判定</x:v>
      </x:c>
      <x:c r="O15" s="18" t="str">
        <x:v>P0</x:v>
      </x:c>
      <x:c r="P15" s="18" t="str">
        <x:v>L3_EMU_INTEGRATION</x:v>
      </x:c>
      <x:c r="Q15" s="18" t="str">
        <x:v>MEDIUM_HIGH</x:v>
      </x:c>
      <x:c r="R15" s="18" t="str">
        <x:v>WAVE2_IDENTITY_KEY_PERMISSION</x:v>
      </x:c>
      <x:c r="S15" s="18" t="str">
        <x:v>GSP</x:v>
      </x:c>
      <x:c r="T15" s="18" t="str">
        <x:v>待移植</x:v>
      </x:c>
      <x:c r="U15" s="18" t="str">
        <x:v>PLANNED</x:v>
      </x:c>
      <x:c r="V15" s="18" t="str">
        <x:v>MUST_PASS_BASIC</x:v>
      </x:c>
      <x:c r="W15" s="18" t="str">
        <x:v>READY_AFTER_BASELINE</x:v>
      </x:c>
      <x:c r="X15" s="18" t="str">
        <x:v>eHSM BL 2.3.5-4019-72f8fdc/inc/mb.h; SRC-0018; Host API/TRM; TASK-SEC-BAREMETAL-EHSM-001</x:v>
      </x:c>
    </x:row>
    <x:row r="16" ht="72" customHeight="1">
      <x:c r="A16" s="18" t="str">
        <x:v>MB-BL-013-BASIC</x:v>
      </x:c>
      <x:c r="B16" s="18" t="str">
        <x:v>BASIC</x:v>
      </x:c>
      <x:c r="C16" s="18" t="str">
        <x:v>COMMAND</x:v>
      </x:c>
      <x:c r="D16" s="18" t="str">
        <x:v>BL</x:v>
      </x:c>
      <x:c r="E16" s="18" t="str">
        <x:v>0x0f04 (hex)</x:v>
      </x:c>
      <x:c r="F16" s="18" t="str">
        <x:v>MB_CMD_ID_BL_SET_UART_BAUDRATE</x:v>
      </x:c>
      <x:c r="G16" s="18" t="str">
        <x:v>1条批准的代表性合法向量；Vendor Demo已有算法/模式向量经二级盘点后参数化复用，不复制Demo总入口</x:v>
      </x:c>
      <x:c r="H16" s="18" t="str">
        <x:v>验证合法请求能够按命令合同完成，raw返回、输出和Mailbox事务闭环一致</x:v>
      </x:c>
      <x:c r="I16" s="18" t="str">
        <x:v>每条适用命令的流片前功能冒烟基线；不代表拒绝路径已经验证</x:v>
      </x:c>
      <x:c r="J16" s="18" t="str">
        <x:v>BL镜像与匹配Host版本已就绪；eHSM ready；使用批准输入</x:v>
      </x:c>
      <x:c r="K16" s="18" t="str">
        <x:v>准备合法输入；确认Mailbox空闲；调用Vendor正式Host API；保存raw返回/输出；清理完成状态；执行健康查询确认后续事务</x:v>
      </x:c>
      <x:c r="L16" s="18" t="str">
        <x:v>代表性合法参数、固定向量或可重复种子；地址/长度/权限满足合同</x:v>
      </x:c>
      <x:c r="M16" s="18" t="str">
        <x:v>返回成功；输出与批准oracle一致；Mailbox可清理并继续处理后续事务</x:v>
      </x:c>
      <x:c r="N16" s="18" t="str">
        <x:v>真实eHSM raw响应+输出+事务状态；不以Demo最终success打印替代子case判定</x:v>
      </x:c>
      <x:c r="O16" s="18" t="str">
        <x:v>P0</x:v>
      </x:c>
      <x:c r="P16" s="18" t="str">
        <x:v>L3_EMU_INTEGRATION</x:v>
      </x:c>
      <x:c r="Q16" s="18" t="str">
        <x:v>MEDIUM</x:v>
      </x:c>
      <x:c r="R16" s="18" t="str">
        <x:v>WAVE4_CRYPTO_COMPAT_VENDOR</x:v>
      </x:c>
      <x:c r="S16" s="18" t="str">
        <x:v>GSP</x:v>
      </x:c>
      <x:c r="T16" s="18" t="str">
        <x:v>待移植</x:v>
      </x:c>
      <x:c r="U16" s="18" t="str">
        <x:v>PLANNED</x:v>
      </x:c>
      <x:c r="V16" s="18" t="str">
        <x:v>MUST_PASS_BASIC</x:v>
      </x:c>
      <x:c r="W16" s="18" t="str">
        <x:v>READY_AFTER_BASELINE</x:v>
      </x:c>
      <x:c r="X16" s="18" t="str">
        <x:v>eHSM BL 2.3.5-4019-72f8fdc/inc/mb.h; SRC-0018; Host API/TRM; TASK-SEC-BAREMETAL-EHSM-001</x:v>
      </x:c>
    </x:row>
    <x:row r="17" ht="72" customHeight="1">
      <x:c r="A17" s="18" t="str">
        <x:v>MB-BL-014-BASIC</x:v>
      </x:c>
      <x:c r="B17" s="18" t="str">
        <x:v>BASIC</x:v>
      </x:c>
      <x:c r="C17" s="18" t="str">
        <x:v>COMMAND</x:v>
      </x:c>
      <x:c r="D17" s="18" t="str">
        <x:v>BL</x:v>
      </x:c>
      <x:c r="E17" s="18" t="str">
        <x:v>0x0020 (hex)</x:v>
      </x:c>
      <x:c r="F17" s="18" t="str">
        <x:v>MB_CMD_ID_BL_SELF_TEST</x:v>
      </x:c>
      <x:c r="G17" s="18" t="str">
        <x:v>1条批准的代表性合法向量；Vendor Demo已有算法/模式向量经二级盘点后参数化复用，不复制Demo总入口</x:v>
      </x:c>
      <x:c r="H17" s="18" t="str">
        <x:v>验证合法请求能够按命令合同完成，raw返回、输出和Mailbox事务闭环一致</x:v>
      </x:c>
      <x:c r="I17" s="18" t="str">
        <x:v>每条适用命令的流片前功能冒烟基线；不代表拒绝路径已经验证</x:v>
      </x:c>
      <x:c r="J17" s="18" t="str">
        <x:v>BL镜像与匹配Host版本已就绪；eHSM ready；使用批准输入</x:v>
      </x:c>
      <x:c r="K17" s="18" t="str">
        <x:v>准备合法输入；确认Mailbox空闲；调用Vendor正式Host API；保存raw返回/输出；清理完成状态；执行健康查询确认后续事务</x:v>
      </x:c>
      <x:c r="L17" s="18" t="str">
        <x:v>代表性合法参数、固定向量或可重复种子；地址/长度/权限满足合同</x:v>
      </x:c>
      <x:c r="M17" s="18" t="str">
        <x:v>返回成功；输出与批准oracle一致；Mailbox可清理并继续处理后续事务</x:v>
      </x:c>
      <x:c r="N17" s="18" t="str">
        <x:v>真实eHSM raw响应+输出+事务状态；不以Demo最终success打印替代子case判定</x:v>
      </x:c>
      <x:c r="O17" s="18" t="str">
        <x:v>P0</x:v>
      </x:c>
      <x:c r="P17" s="18" t="str">
        <x:v>L3_EMU_INTEGRATION</x:v>
      </x:c>
      <x:c r="Q17" s="18" t="str">
        <x:v>MEDIUM</x:v>
      </x:c>
      <x:c r="R17" s="18" t="str">
        <x:v>WAVE0_DAY0_SMOKE</x:v>
      </x:c>
      <x:c r="S17" s="18" t="str">
        <x:v>GSP</x:v>
      </x:c>
      <x:c r="T17" s="18" t="str">
        <x:v>待移植</x:v>
      </x:c>
      <x:c r="U17" s="18" t="str">
        <x:v>PLANNED</x:v>
      </x:c>
      <x:c r="V17" s="18" t="str">
        <x:v>MUST_PASS_BASIC</x:v>
      </x:c>
      <x:c r="W17" s="18" t="str">
        <x:v>READY_AFTER_BASELINE</x:v>
      </x:c>
      <x:c r="X17" s="18" t="str">
        <x:v>eHSM BL 2.3.5-4019-72f8fdc/inc/mb.h; SRC-0018; Host API/TRM; TASK-SEC-BAREMETAL-EHSM-001</x:v>
      </x:c>
    </x:row>
    <x:row r="18" ht="72" customHeight="1">
      <x:c r="A18" s="18" t="str">
        <x:v>MB-BL-015-BASIC</x:v>
      </x:c>
      <x:c r="B18" s="18" t="str">
        <x:v>BASIC</x:v>
      </x:c>
      <x:c r="C18" s="18" t="str">
        <x:v>COMMAND</x:v>
      </x:c>
      <x:c r="D18" s="18" t="str">
        <x:v>BL</x:v>
      </x:c>
      <x:c r="E18" s="18" t="str">
        <x:v>0xff11 (hex)</x:v>
      </x:c>
      <x:c r="F18" s="18" t="str">
        <x:v>MB_CMD_ID_BL_READ_SELF_TEST_RESULT</x:v>
      </x:c>
      <x:c r="G18" s="18" t="str">
        <x:v>1条批准的代表性合法向量；Vendor Demo已有算法/模式向量经二级盘点后参数化复用，不复制Demo总入口</x:v>
      </x:c>
      <x:c r="H18" s="18" t="str">
        <x:v>验证合法请求能够按命令合同完成，raw返回、输出和Mailbox事务闭环一致</x:v>
      </x:c>
      <x:c r="I18" s="18" t="str">
        <x:v>每条适用命令的流片前功能冒烟基线；不代表拒绝路径已经验证</x:v>
      </x:c>
      <x:c r="J18" s="18" t="str">
        <x:v>BL镜像与匹配Host版本已就绪；eHSM ready；使用批准输入</x:v>
      </x:c>
      <x:c r="K18" s="18" t="str">
        <x:v>准备合法输入；确认Mailbox空闲；调用Vendor正式Host API；保存raw返回/输出；清理完成状态；执行健康查询确认后续事务</x:v>
      </x:c>
      <x:c r="L18" s="18" t="str">
        <x:v>代表性合法参数、固定向量或可重复种子；地址/长度/权限满足合同</x:v>
      </x:c>
      <x:c r="M18" s="18" t="str">
        <x:v>返回成功；输出与批准oracle一致；Mailbox可清理并继续处理后续事务</x:v>
      </x:c>
      <x:c r="N18" s="18" t="str">
        <x:v>真实eHSM raw响应+输出+事务状态；不以Demo最终success打印替代子case判定</x:v>
      </x:c>
      <x:c r="O18" s="18" t="str">
        <x:v>P0</x:v>
      </x:c>
      <x:c r="P18" s="18" t="str">
        <x:v>L3_EMU_INTEGRATION</x:v>
      </x:c>
      <x:c r="Q18" s="18" t="str">
        <x:v>MEDIUM</x:v>
      </x:c>
      <x:c r="R18" s="18" t="str">
        <x:v>WAVE0_DAY0_SMOKE</x:v>
      </x:c>
      <x:c r="S18" s="18" t="str">
        <x:v>GSP</x:v>
      </x:c>
      <x:c r="T18" s="18" t="str">
        <x:v>待移植</x:v>
      </x:c>
      <x:c r="U18" s="18" t="str">
        <x:v>PLANNED</x:v>
      </x:c>
      <x:c r="V18" s="18" t="str">
        <x:v>MUST_PASS_BASIC</x:v>
      </x:c>
      <x:c r="W18" s="18" t="str">
        <x:v>READY_AFTER_BASELINE</x:v>
      </x:c>
      <x:c r="X18" s="18" t="str">
        <x:v>eHSM BL 2.3.5-4019-72f8fdc/inc/mb.h; SRC-0018; Host API/TRM; TASK-SEC-BAREMETAL-EHSM-001</x:v>
      </x:c>
    </x:row>
    <x:row r="19" ht="72" customHeight="1">
      <x:c r="A19" s="18" t="str">
        <x:v>MB-FW-016-BASIC</x:v>
      </x:c>
      <x:c r="B19" s="18" t="str">
        <x:v>BASIC</x:v>
      </x:c>
      <x:c r="C19" s="18" t="str">
        <x:v>COMMAND</x:v>
      </x:c>
      <x:c r="D19" s="18" t="str">
        <x:v>FW</x:v>
      </x:c>
      <x:c r="E19" s="18" t="str">
        <x:v>0x0101 (hex)</x:v>
      </x:c>
      <x:c r="F19" s="18" t="str">
        <x:v>MB_CMD_ID_SYMM_CIPHER</x:v>
      </x:c>
      <x:c r="G19" s="18" t="str">
        <x:v>1条批准的代表性合法向量；Vendor Demo已有算法/模式向量经二级盘点后参数化复用，不复制Demo总入口</x:v>
      </x:c>
      <x:c r="H19" s="18" t="str">
        <x:v>验证合法请求能够按命令合同完成，raw返回、输出和Mailbox事务闭环一致</x:v>
      </x:c>
      <x:c r="I19" s="18" t="str">
        <x:v>每条适用命令的流片前功能冒烟基线；不代表拒绝路径已经验证</x:v>
      </x:c>
      <x:c r="J19" s="18" t="str">
        <x:v>FW镜像与匹配Host版本已就绪；eHSM ready；使用批准输入</x:v>
      </x:c>
      <x:c r="K19" s="18" t="str">
        <x:v>准备合法输入；确认Mailbox空闲；调用Vendor正式Host API；保存raw返回/输出；清理完成状态；执行健康查询确认后续事务</x:v>
      </x:c>
      <x:c r="L19" s="18" t="str">
        <x:v>代表性合法参数、固定向量或可重复种子；地址/长度/权限满足合同</x:v>
      </x:c>
      <x:c r="M19" s="18" t="str">
        <x:v>返回成功；输出与批准oracle一致；Mailbox可清理并继续处理后续事务</x:v>
      </x:c>
      <x:c r="N19" s="18" t="str">
        <x:v>真实eHSM raw响应+输出+事务状态；不以Demo最终success打印替代子case判定</x:v>
      </x:c>
      <x:c r="O19" s="18" t="str">
        <x:v>P0</x:v>
      </x:c>
      <x:c r="P19" s="18" t="str">
        <x:v>L3_EMU_INTEGRATION</x:v>
      </x:c>
      <x:c r="Q19" s="18" t="str">
        <x:v>MEDIUM</x:v>
      </x:c>
      <x:c r="R19" s="18" t="str">
        <x:v>WAVE4_CRYPTO_COMPAT_VENDOR</x:v>
      </x:c>
      <x:c r="S19" s="18" t="str">
        <x:v>GSP</x:v>
      </x:c>
      <x:c r="T19" s="18" t="str">
        <x:v>待移植</x:v>
      </x:c>
      <x:c r="U19" s="18" t="str">
        <x:v>PLANNED</x:v>
      </x:c>
      <x:c r="V19" s="18" t="str">
        <x:v>MUST_PASS_BASIC</x:v>
      </x:c>
      <x:c r="W19" s="18" t="str">
        <x:v>READY_AFTER_BASELINE</x:v>
      </x:c>
      <x:c r="X19" s="18" t="str">
        <x:v>eHSM FW 2.3.3-4019-6234423/inc/mb.h; SRC-0018; Host API/TRM; TASK-SEC-BAREMETAL-EHSM-001</x:v>
      </x:c>
    </x:row>
    <x:row r="20" ht="72" customHeight="1">
      <x:c r="A20" s="18" t="str">
        <x:v>MB-FW-017-BASIC</x:v>
      </x:c>
      <x:c r="B20" s="18" t="str">
        <x:v>BASIC</x:v>
      </x:c>
      <x:c r="C20" s="18" t="str">
        <x:v>COMMAND</x:v>
      </x:c>
      <x:c r="D20" s="18" t="str">
        <x:v>FW</x:v>
      </x:c>
      <x:c r="E20" s="18" t="str">
        <x:v>0x0102 (hex)</x:v>
      </x:c>
      <x:c r="F20" s="18" t="str">
        <x:v>MB_CMD_ID_AEAD_GCM</x:v>
      </x:c>
      <x:c r="G20" s="18" t="str">
        <x:v>1条批准的代表性合法向量；Vendor Demo已有算法/模式向量经二级盘点后参数化复用，不复制Demo总入口</x:v>
      </x:c>
      <x:c r="H20" s="18" t="str">
        <x:v>验证合法请求能够按命令合同完成，raw返回、输出和Mailbox事务闭环一致</x:v>
      </x:c>
      <x:c r="I20" s="18" t="str">
        <x:v>每条适用命令的流片前功能冒烟基线；不代表拒绝路径已经验证</x:v>
      </x:c>
      <x:c r="J20" s="18" t="str">
        <x:v>FW镜像与匹配Host版本已就绪；eHSM ready；使用批准输入</x:v>
      </x:c>
      <x:c r="K20" s="18" t="str">
        <x:v>准备合法输入；确认Mailbox空闲；调用Vendor正式Host API；保存raw返回/输出；清理完成状态；执行健康查询确认后续事务</x:v>
      </x:c>
      <x:c r="L20" s="18" t="str">
        <x:v>代表性合法参数、固定向量或可重复种子；地址/长度/权限满足合同</x:v>
      </x:c>
      <x:c r="M20" s="18" t="str">
        <x:v>返回成功；输出与批准oracle一致；Mailbox可清理并继续处理后续事务</x:v>
      </x:c>
      <x:c r="N20" s="18" t="str">
        <x:v>真实eHSM raw响应+输出+事务状态；不以Demo最终success打印替代子case判定</x:v>
      </x:c>
      <x:c r="O20" s="18" t="str">
        <x:v>P0</x:v>
      </x:c>
      <x:c r="P20" s="18" t="str">
        <x:v>L3_EMU_INTEGRATION</x:v>
      </x:c>
      <x:c r="Q20" s="18" t="str">
        <x:v>MEDIUM</x:v>
      </x:c>
      <x:c r="R20" s="18" t="str">
        <x:v>WAVE4_CRYPTO_COMPAT_VENDOR</x:v>
      </x:c>
      <x:c r="S20" s="18" t="str">
        <x:v>GSP</x:v>
      </x:c>
      <x:c r="T20" s="18" t="str">
        <x:v>待移植</x:v>
      </x:c>
      <x:c r="U20" s="18" t="str">
        <x:v>PLANNED</x:v>
      </x:c>
      <x:c r="V20" s="18" t="str">
        <x:v>MUST_PASS_BASIC</x:v>
      </x:c>
      <x:c r="W20" s="18" t="str">
        <x:v>READY_AFTER_BASELINE</x:v>
      </x:c>
      <x:c r="X20" s="18" t="str">
        <x:v>eHSM FW 2.3.3-4019-6234423/inc/mb.h; SRC-0018; Host API/TRM; TASK-SEC-BAREMETAL-EHSM-001</x:v>
      </x:c>
    </x:row>
    <x:row r="21" ht="72" customHeight="1">
      <x:c r="A21" s="18" t="str">
        <x:v>MB-FW-018-BASIC</x:v>
      </x:c>
      <x:c r="B21" s="18" t="str">
        <x:v>BASIC</x:v>
      </x:c>
      <x:c r="C21" s="18" t="str">
        <x:v>COMMAND</x:v>
      </x:c>
      <x:c r="D21" s="18" t="str">
        <x:v>FW</x:v>
      </x:c>
      <x:c r="E21" s="18" t="str">
        <x:v>0x0103 (hex)</x:v>
      </x:c>
      <x:c r="F21" s="18" t="str">
        <x:v>MB_CMD_ID_AEAD_CCM</x:v>
      </x:c>
      <x:c r="G21" s="18" t="str">
        <x:v>1条批准的代表性合法向量；Vendor Demo已有算法/模式向量经二级盘点后参数化复用，不复制Demo总入口</x:v>
      </x:c>
      <x:c r="H21" s="18" t="str">
        <x:v>验证合法请求能够按命令合同完成，raw返回、输出和Mailbox事务闭环一致</x:v>
      </x:c>
      <x:c r="I21" s="18" t="str">
        <x:v>每条适用命令的流片前功能冒烟基线；不代表拒绝路径已经验证</x:v>
      </x:c>
      <x:c r="J21" s="18" t="str">
        <x:v>FW镜像与匹配Host版本已就绪；eHSM ready；使用批准输入</x:v>
      </x:c>
      <x:c r="K21" s="18" t="str">
        <x:v>准备合法输入；确认Mailbox空闲；调用Vendor正式Host API；保存raw返回/输出；清理完成状态；执行健康查询确认后续事务</x:v>
      </x:c>
      <x:c r="L21" s="18" t="str">
        <x:v>代表性合法参数、固定向量或可重复种子；地址/长度/权限满足合同</x:v>
      </x:c>
      <x:c r="M21" s="18" t="str">
        <x:v>返回成功；输出与批准oracle一致；Mailbox可清理并继续处理后续事务</x:v>
      </x:c>
      <x:c r="N21" s="18" t="str">
        <x:v>真实eHSM raw响应+输出+事务状态；不以Demo最终success打印替代子case判定</x:v>
      </x:c>
      <x:c r="O21" s="18" t="str">
        <x:v>P0</x:v>
      </x:c>
      <x:c r="P21" s="18" t="str">
        <x:v>L3_EMU_INTEGRATION</x:v>
      </x:c>
      <x:c r="Q21" s="18" t="str">
        <x:v>MEDIUM</x:v>
      </x:c>
      <x:c r="R21" s="18" t="str">
        <x:v>WAVE4_CRYPTO_COMPAT_VENDOR</x:v>
      </x:c>
      <x:c r="S21" s="18" t="str">
        <x:v>GSP</x:v>
      </x:c>
      <x:c r="T21" s="18" t="str">
        <x:v>待移植</x:v>
      </x:c>
      <x:c r="U21" s="18" t="str">
        <x:v>PLANNED</x:v>
      </x:c>
      <x:c r="V21" s="18" t="str">
        <x:v>MUST_PASS_BASIC</x:v>
      </x:c>
      <x:c r="W21" s="18" t="str">
        <x:v>READY_AFTER_BASELINE</x:v>
      </x:c>
      <x:c r="X21" s="18" t="str">
        <x:v>eHSM FW 2.3.3-4019-6234423/inc/mb.h; SRC-0018; Host API/TRM; TASK-SEC-BAREMETAL-EHSM-001</x:v>
      </x:c>
    </x:row>
    <x:row r="22" ht="72" customHeight="1">
      <x:c r="A22" s="18" t="str">
        <x:v>MB-FW-019-BASIC</x:v>
      </x:c>
      <x:c r="B22" s="18" t="str">
        <x:v>BASIC</x:v>
      </x:c>
      <x:c r="C22" s="18" t="str">
        <x:v>COMMAND</x:v>
      </x:c>
      <x:c r="D22" s="18" t="str">
        <x:v>FW</x:v>
      </x:c>
      <x:c r="E22" s="18" t="str">
        <x:v>0x0301 (hex)</x:v>
      </x:c>
      <x:c r="F22" s="18" t="str">
        <x:v>MB_CMD_ID_HASH</x:v>
      </x:c>
      <x:c r="G22" s="18" t="str">
        <x:v>1条批准的代表性合法向量；Vendor Demo已有算法/模式向量经二级盘点后参数化复用，不复制Demo总入口</x:v>
      </x:c>
      <x:c r="H22" s="18" t="str">
        <x:v>验证合法请求能够按命令合同完成，raw返回、输出和Mailbox事务闭环一致</x:v>
      </x:c>
      <x:c r="I22" s="18" t="str">
        <x:v>每条适用命令的流片前功能冒烟基线；不代表拒绝路径已经验证</x:v>
      </x:c>
      <x:c r="J22" s="18" t="str">
        <x:v>FW镜像与匹配Host版本已就绪；eHSM ready；使用批准输入</x:v>
      </x:c>
      <x:c r="K22" s="18" t="str">
        <x:v>准备合法输入；确认Mailbox空闲；调用Vendor正式Host API；保存raw返回/输出；清理完成状态；执行健康查询确认后续事务</x:v>
      </x:c>
      <x:c r="L22" s="18" t="str">
        <x:v>代表性合法参数、固定向量或可重复种子；地址/长度/权限满足合同</x:v>
      </x:c>
      <x:c r="M22" s="18" t="str">
        <x:v>返回成功；输出与批准oracle一致；Mailbox可清理并继续处理后续事务</x:v>
      </x:c>
      <x:c r="N22" s="18" t="str">
        <x:v>真实eHSM raw响应+输出+事务状态；不以Demo最终success打印替代子case判定</x:v>
      </x:c>
      <x:c r="O22" s="18" t="str">
        <x:v>P0</x:v>
      </x:c>
      <x:c r="P22" s="18" t="str">
        <x:v>L3_EMU_INTEGRATION</x:v>
      </x:c>
      <x:c r="Q22" s="18" t="str">
        <x:v>MEDIUM</x:v>
      </x:c>
      <x:c r="R22" s="18" t="str">
        <x:v>WAVE4_CRYPTO_COMPAT_VENDOR</x:v>
      </x:c>
      <x:c r="S22" s="18" t="str">
        <x:v>GSP</x:v>
      </x:c>
      <x:c r="T22" s="18" t="str">
        <x:v>待移植</x:v>
      </x:c>
      <x:c r="U22" s="18" t="str">
        <x:v>PLANNED</x:v>
      </x:c>
      <x:c r="V22" s="18" t="str">
        <x:v>MUST_PASS_BASIC</x:v>
      </x:c>
      <x:c r="W22" s="18" t="str">
        <x:v>READY_AFTER_BASELINE</x:v>
      </x:c>
      <x:c r="X22" s="18" t="str">
        <x:v>eHSM FW 2.3.3-4019-6234423/inc/mb.h; SRC-0018; Host API/TRM; TASK-SEC-BAREMETAL-EHSM-001</x:v>
      </x:c>
    </x:row>
    <x:row r="23" ht="72" customHeight="1">
      <x:c r="A23" s="18" t="str">
        <x:v>MB-FW-020-BASIC</x:v>
      </x:c>
      <x:c r="B23" s="18" t="str">
        <x:v>BASIC</x:v>
      </x:c>
      <x:c r="C23" s="18" t="str">
        <x:v>COMMAND</x:v>
      </x:c>
      <x:c r="D23" s="18" t="str">
        <x:v>FW</x:v>
      </x:c>
      <x:c r="E23" s="18" t="str">
        <x:v>0x0302 (hex)</x:v>
      </x:c>
      <x:c r="F23" s="18" t="str">
        <x:v>MB_CMD_ID_HMAC</x:v>
      </x:c>
      <x:c r="G23" s="18" t="str">
        <x:v>1条批准的代表性合法向量；Vendor Demo已有算法/模式向量经二级盘点后参数化复用，不复制Demo总入口</x:v>
      </x:c>
      <x:c r="H23" s="18" t="str">
        <x:v>验证合法请求能够按命令合同完成，raw返回、输出和Mailbox事务闭环一致</x:v>
      </x:c>
      <x:c r="I23" s="18" t="str">
        <x:v>每条适用命令的流片前功能冒烟基线；不代表拒绝路径已经验证</x:v>
      </x:c>
      <x:c r="J23" s="18" t="str">
        <x:v>FW镜像与匹配Host版本已就绪；eHSM ready；使用批准输入</x:v>
      </x:c>
      <x:c r="K23" s="18" t="str">
        <x:v>准备合法输入；确认Mailbox空闲；调用Vendor正式Host API；保存raw返回/输出；清理完成状态；执行健康查询确认后续事务</x:v>
      </x:c>
      <x:c r="L23" s="18" t="str">
        <x:v>代表性合法参数、固定向量或可重复种子；地址/长度/权限满足合同</x:v>
      </x:c>
      <x:c r="M23" s="18" t="str">
        <x:v>返回成功；输出与批准oracle一致；Mailbox可清理并继续处理后续事务</x:v>
      </x:c>
      <x:c r="N23" s="18" t="str">
        <x:v>真实eHSM raw响应+输出+事务状态；不以Demo最终success打印替代子case判定</x:v>
      </x:c>
      <x:c r="O23" s="18" t="str">
        <x:v>P0</x:v>
      </x:c>
      <x:c r="P23" s="18" t="str">
        <x:v>L3_EMU_INTEGRATION</x:v>
      </x:c>
      <x:c r="Q23" s="18" t="str">
        <x:v>MEDIUM</x:v>
      </x:c>
      <x:c r="R23" s="18" t="str">
        <x:v>WAVE4_CRYPTO_COMPAT_VENDOR</x:v>
      </x:c>
      <x:c r="S23" s="18" t="str">
        <x:v>GSP</x:v>
      </x:c>
      <x:c r="T23" s="18" t="str">
        <x:v>待移植</x:v>
      </x:c>
      <x:c r="U23" s="18" t="str">
        <x:v>PLANNED</x:v>
      </x:c>
      <x:c r="V23" s="18" t="str">
        <x:v>MUST_PASS_BASIC</x:v>
      </x:c>
      <x:c r="W23" s="18" t="str">
        <x:v>READY_AFTER_BASELINE</x:v>
      </x:c>
      <x:c r="X23" s="18" t="str">
        <x:v>eHSM FW 2.3.3-4019-6234423/inc/mb.h; SRC-0018; Host API/TRM; TASK-SEC-BAREMETAL-EHSM-001</x:v>
      </x:c>
    </x:row>
    <x:row r="24" ht="72" customHeight="1">
      <x:c r="A24" s="18" t="str">
        <x:v>MB-FW-021-BASIC</x:v>
      </x:c>
      <x:c r="B24" s="18" t="str">
        <x:v>BASIC</x:v>
      </x:c>
      <x:c r="C24" s="18" t="str">
        <x:v>COMMAND</x:v>
      </x:c>
      <x:c r="D24" s="18" t="str">
        <x:v>FW</x:v>
      </x:c>
      <x:c r="E24" s="18" t="str">
        <x:v>0x0201 (hex)</x:v>
      </x:c>
      <x:c r="F24" s="18" t="str">
        <x:v>MB_CMD_ID_MAC</x:v>
      </x:c>
      <x:c r="G24" s="18" t="str">
        <x:v>1条批准的代表性合法向量；Vendor Demo已有算法/模式向量经二级盘点后参数化复用，不复制Demo总入口</x:v>
      </x:c>
      <x:c r="H24" s="18" t="str">
        <x:v>验证合法请求能够按命令合同完成，raw返回、输出和Mailbox事务闭环一致</x:v>
      </x:c>
      <x:c r="I24" s="18" t="str">
        <x:v>每条适用命令的流片前功能冒烟基线；不代表拒绝路径已经验证</x:v>
      </x:c>
      <x:c r="J24" s="18" t="str">
        <x:v>FW镜像与匹配Host版本已就绪；eHSM ready；使用批准输入</x:v>
      </x:c>
      <x:c r="K24" s="18" t="str">
        <x:v>准备合法输入；确认Mailbox空闲；调用Vendor正式Host API；保存raw返回/输出；清理完成状态；执行健康查询确认后续事务</x:v>
      </x:c>
      <x:c r="L24" s="18" t="str">
        <x:v>代表性合法参数、固定向量或可重复种子；地址/长度/权限满足合同</x:v>
      </x:c>
      <x:c r="M24" s="18" t="str">
        <x:v>返回成功；输出与批准oracle一致；Mailbox可清理并继续处理后续事务</x:v>
      </x:c>
      <x:c r="N24" s="18" t="str">
        <x:v>真实eHSM raw响应+输出+事务状态；不以Demo最终success打印替代子case判定</x:v>
      </x:c>
      <x:c r="O24" s="18" t="str">
        <x:v>P0</x:v>
      </x:c>
      <x:c r="P24" s="18" t="str">
        <x:v>L3_EMU_INTEGRATION</x:v>
      </x:c>
      <x:c r="Q24" s="18" t="str">
        <x:v>MEDIUM</x:v>
      </x:c>
      <x:c r="R24" s="18" t="str">
        <x:v>WAVE4_CRYPTO_COMPAT_VENDOR</x:v>
      </x:c>
      <x:c r="S24" s="18" t="str">
        <x:v>GSP</x:v>
      </x:c>
      <x:c r="T24" s="18" t="str">
        <x:v>待移植</x:v>
      </x:c>
      <x:c r="U24" s="18" t="str">
        <x:v>PLANNED</x:v>
      </x:c>
      <x:c r="V24" s="18" t="str">
        <x:v>MUST_PASS_BASIC</x:v>
      </x:c>
      <x:c r="W24" s="18" t="str">
        <x:v>READY_AFTER_BASELINE</x:v>
      </x:c>
      <x:c r="X24" s="18" t="str">
        <x:v>eHSM FW 2.3.3-4019-6234423/inc/mb.h; SRC-0018; Host API/TRM; TASK-SEC-BAREMETAL-EHSM-001</x:v>
      </x:c>
    </x:row>
    <x:row r="25" ht="72" customHeight="1">
      <x:c r="A25" s="18" t="str">
        <x:v>MB-FW-022-BASIC</x:v>
      </x:c>
      <x:c r="B25" s="18" t="str">
        <x:v>BASIC</x:v>
      </x:c>
      <x:c r="C25" s="18" t="str">
        <x:v>COMMAND</x:v>
      </x:c>
      <x:c r="D25" s="18" t="str">
        <x:v>FW</x:v>
      </x:c>
      <x:c r="E25" s="18" t="str">
        <x:v>0x0401 (hex)</x:v>
      </x:c>
      <x:c r="F25" s="18" t="str">
        <x:v>MB_CMD_ID_SM2_CIPHER</x:v>
      </x:c>
      <x:c r="G25" s="18" t="str">
        <x:v>1条批准的代表性合法向量；Vendor Demo已有算法/模式向量经二级盘点后参数化复用，不复制Demo总入口</x:v>
      </x:c>
      <x:c r="H25" s="18" t="str">
        <x:v>验证合法请求能够按命令合同完成，raw返回、输出和Mailbox事务闭环一致</x:v>
      </x:c>
      <x:c r="I25" s="18" t="str">
        <x:v>每条适用命令的流片前功能冒烟基线；不代表拒绝路径已经验证</x:v>
      </x:c>
      <x:c r="J25" s="18" t="str">
        <x:v>FW镜像与匹配Host版本已就绪；eHSM ready；使用批准输入</x:v>
      </x:c>
      <x:c r="K25" s="18" t="str">
        <x:v>准备合法输入；确认Mailbox空闲；调用Vendor正式Host API；保存raw返回/输出；清理完成状态；执行健康查询确认后续事务</x:v>
      </x:c>
      <x:c r="L25" s="18" t="str">
        <x:v>代表性合法参数、固定向量或可重复种子；地址/长度/权限满足合同</x:v>
      </x:c>
      <x:c r="M25" s="18" t="str">
        <x:v>返回成功；输出与批准oracle一致；Mailbox可清理并继续处理后续事务</x:v>
      </x:c>
      <x:c r="N25" s="18" t="str">
        <x:v>真实eHSM raw响应+输出+事务状态；不以Demo最终success打印替代子case判定</x:v>
      </x:c>
      <x:c r="O25" s="18" t="str">
        <x:v>P0</x:v>
      </x:c>
      <x:c r="P25" s="18" t="str">
        <x:v>L3_EMU_INTEGRATION</x:v>
      </x:c>
      <x:c r="Q25" s="18" t="str">
        <x:v>MEDIUM</x:v>
      </x:c>
      <x:c r="R25" s="18" t="str">
        <x:v>WAVE4_CRYPTO_COMPAT_VENDOR</x:v>
      </x:c>
      <x:c r="S25" s="18" t="str">
        <x:v>GSP</x:v>
      </x:c>
      <x:c r="T25" s="18" t="str">
        <x:v>待移植</x:v>
      </x:c>
      <x:c r="U25" s="18" t="str">
        <x:v>PLANNED</x:v>
      </x:c>
      <x:c r="V25" s="18" t="str">
        <x:v>MUST_PASS_BASIC</x:v>
      </x:c>
      <x:c r="W25" s="18" t="str">
        <x:v>READY_AFTER_BASELINE</x:v>
      </x:c>
      <x:c r="X25" s="18" t="str">
        <x:v>eHSM FW 2.3.3-4019-6234423/inc/mb.h; SRC-0018; Host API/TRM; TASK-SEC-BAREMETAL-EHSM-001</x:v>
      </x:c>
    </x:row>
    <x:row r="26" ht="72" customHeight="1">
      <x:c r="A26" s="18" t="str">
        <x:v>MB-FW-023-BASIC</x:v>
      </x:c>
      <x:c r="B26" s="18" t="str">
        <x:v>BASIC</x:v>
      </x:c>
      <x:c r="C26" s="18" t="str">
        <x:v>COMMAND</x:v>
      </x:c>
      <x:c r="D26" s="18" t="str">
        <x:v>FW</x:v>
      </x:c>
      <x:c r="E26" s="18" t="str">
        <x:v>0x0402 (hex)</x:v>
      </x:c>
      <x:c r="F26" s="18" t="str">
        <x:v>MB_CMD_ID_SM2_SIGN</x:v>
      </x:c>
      <x:c r="G26" s="18" t="str">
        <x:v>1条批准的代表性合法向量；Vendor Demo已有算法/模式向量经二级盘点后参数化复用，不复制Demo总入口</x:v>
      </x:c>
      <x:c r="H26" s="18" t="str">
        <x:v>验证合法请求能够按命令合同完成，raw返回、输出和Mailbox事务闭环一致</x:v>
      </x:c>
      <x:c r="I26" s="18" t="str">
        <x:v>每条适用命令的流片前功能冒烟基线；不代表拒绝路径已经验证</x:v>
      </x:c>
      <x:c r="J26" s="18" t="str">
        <x:v>FW镜像与匹配Host版本已就绪；eHSM ready；使用批准输入</x:v>
      </x:c>
      <x:c r="K26" s="18" t="str">
        <x:v>准备合法输入；确认Mailbox空闲；调用Vendor正式Host API；保存raw返回/输出；清理完成状态；执行健康查询确认后续事务</x:v>
      </x:c>
      <x:c r="L26" s="18" t="str">
        <x:v>代表性合法参数、固定向量或可重复种子；地址/长度/权限满足合同</x:v>
      </x:c>
      <x:c r="M26" s="18" t="str">
        <x:v>返回成功；输出与批准oracle一致；Mailbox可清理并继续处理后续事务</x:v>
      </x:c>
      <x:c r="N26" s="18" t="str">
        <x:v>真实eHSM raw响应+输出+事务状态；不以Demo最终success打印替代子case判定</x:v>
      </x:c>
      <x:c r="O26" s="18" t="str">
        <x:v>P0</x:v>
      </x:c>
      <x:c r="P26" s="18" t="str">
        <x:v>L3_EMU_INTEGRATION</x:v>
      </x:c>
      <x:c r="Q26" s="18" t="str">
        <x:v>MEDIUM</x:v>
      </x:c>
      <x:c r="R26" s="18" t="str">
        <x:v>WAVE4_CRYPTO_COMPAT_VENDOR</x:v>
      </x:c>
      <x:c r="S26" s="18" t="str">
        <x:v>GSP</x:v>
      </x:c>
      <x:c r="T26" s="18" t="str">
        <x:v>待移植</x:v>
      </x:c>
      <x:c r="U26" s="18" t="str">
        <x:v>PLANNED</x:v>
      </x:c>
      <x:c r="V26" s="18" t="str">
        <x:v>MUST_PASS_BASIC</x:v>
      </x:c>
      <x:c r="W26" s="18" t="str">
        <x:v>READY_AFTER_BASELINE</x:v>
      </x:c>
      <x:c r="X26" s="18" t="str">
        <x:v>eHSM FW 2.3.3-4019-6234423/inc/mb.h; SRC-0018; Host API/TRM; TASK-SEC-BAREMETAL-EHSM-001</x:v>
      </x:c>
    </x:row>
    <x:row r="27" ht="72" customHeight="1">
      <x:c r="A27" s="18" t="str">
        <x:v>MB-FW-024-BASIC</x:v>
      </x:c>
      <x:c r="B27" s="18" t="str">
        <x:v>BASIC</x:v>
      </x:c>
      <x:c r="C27" s="18" t="str">
        <x:v>COMMAND</x:v>
      </x:c>
      <x:c r="D27" s="18" t="str">
        <x:v>FW</x:v>
      </x:c>
      <x:c r="E27" s="18" t="str">
        <x:v>0x0501 (hex)</x:v>
      </x:c>
      <x:c r="F27" s="18" t="str">
        <x:v>MB_CMD_ID_RSA_CIPHER</x:v>
      </x:c>
      <x:c r="G27" s="18" t="str">
        <x:v>1条批准的代表性合法向量；Vendor Demo已有算法/模式向量经二级盘点后参数化复用，不复制Demo总入口</x:v>
      </x:c>
      <x:c r="H27" s="18" t="str">
        <x:v>验证合法请求能够按命令合同完成，raw返回、输出和Mailbox事务闭环一致</x:v>
      </x:c>
      <x:c r="I27" s="18" t="str">
        <x:v>每条适用命令的流片前功能冒烟基线；不代表拒绝路径已经验证</x:v>
      </x:c>
      <x:c r="J27" s="18" t="str">
        <x:v>FW镜像与匹配Host版本已就绪；eHSM ready；使用批准输入</x:v>
      </x:c>
      <x:c r="K27" s="18" t="str">
        <x:v>准备合法输入；确认Mailbox空闲；调用Vendor正式Host API；保存raw返回/输出；清理完成状态；执行健康查询确认后续事务</x:v>
      </x:c>
      <x:c r="L27" s="18" t="str">
        <x:v>代表性合法参数、固定向量或可重复种子；地址/长度/权限满足合同</x:v>
      </x:c>
      <x:c r="M27" s="18" t="str">
        <x:v>返回成功；输出与批准oracle一致；Mailbox可清理并继续处理后续事务</x:v>
      </x:c>
      <x:c r="N27" s="18" t="str">
        <x:v>真实eHSM raw响应+输出+事务状态；不以Demo最终success打印替代子case判定</x:v>
      </x:c>
      <x:c r="O27" s="18" t="str">
        <x:v>P0</x:v>
      </x:c>
      <x:c r="P27" s="18" t="str">
        <x:v>L3_EMU_INTEGRATION</x:v>
      </x:c>
      <x:c r="Q27" s="18" t="str">
        <x:v>MEDIUM</x:v>
      </x:c>
      <x:c r="R27" s="18" t="str">
        <x:v>WAVE4_CRYPTO_COMPAT_VENDOR</x:v>
      </x:c>
      <x:c r="S27" s="18" t="str">
        <x:v>GSP</x:v>
      </x:c>
      <x:c r="T27" s="18" t="str">
        <x:v>待移植</x:v>
      </x:c>
      <x:c r="U27" s="18" t="str">
        <x:v>PLANNED</x:v>
      </x:c>
      <x:c r="V27" s="18" t="str">
        <x:v>MUST_PASS_BASIC</x:v>
      </x:c>
      <x:c r="W27" s="18" t="str">
        <x:v>READY_AFTER_BASELINE</x:v>
      </x:c>
      <x:c r="X27" s="18" t="str">
        <x:v>eHSM FW 2.3.3-4019-6234423/inc/mb.h; SRC-0018; Host API/TRM; TASK-SEC-BAREMETAL-EHSM-001</x:v>
      </x:c>
    </x:row>
    <x:row r="28" ht="72" customHeight="1">
      <x:c r="A28" s="18" t="str">
        <x:v>MB-FW-025-BASIC</x:v>
      </x:c>
      <x:c r="B28" s="18" t="str">
        <x:v>BASIC</x:v>
      </x:c>
      <x:c r="C28" s="18" t="str">
        <x:v>COMMAND</x:v>
      </x:c>
      <x:c r="D28" s="18" t="str">
        <x:v>FW</x:v>
      </x:c>
      <x:c r="E28" s="18" t="str">
        <x:v>0x0502 (hex)</x:v>
      </x:c>
      <x:c r="F28" s="18" t="str">
        <x:v>MB_CMD_ID_RSA_SIGN</x:v>
      </x:c>
      <x:c r="G28" s="18" t="str">
        <x:v>1条批准的代表性合法向量；Vendor Demo已有算法/模式向量经二级盘点后参数化复用，不复制Demo总入口</x:v>
      </x:c>
      <x:c r="H28" s="18" t="str">
        <x:v>验证合法请求能够按命令合同完成，raw返回、输出和Mailbox事务闭环一致</x:v>
      </x:c>
      <x:c r="I28" s="18" t="str">
        <x:v>每条适用命令的流片前功能冒烟基线；不代表拒绝路径已经验证</x:v>
      </x:c>
      <x:c r="J28" s="18" t="str">
        <x:v>FW镜像与匹配Host版本已就绪；eHSM ready；使用批准输入</x:v>
      </x:c>
      <x:c r="K28" s="18" t="str">
        <x:v>准备合法输入；确认Mailbox空闲；调用Vendor正式Host API；保存raw返回/输出；清理完成状态；执行健康查询确认后续事务</x:v>
      </x:c>
      <x:c r="L28" s="18" t="str">
        <x:v>代表性合法参数、固定向量或可重复种子；地址/长度/权限满足合同</x:v>
      </x:c>
      <x:c r="M28" s="18" t="str">
        <x:v>返回成功；输出与批准oracle一致；Mailbox可清理并继续处理后续事务</x:v>
      </x:c>
      <x:c r="N28" s="18" t="str">
        <x:v>真实eHSM raw响应+输出+事务状态；不以Demo最终success打印替代子case判定</x:v>
      </x:c>
      <x:c r="O28" s="18" t="str">
        <x:v>P0</x:v>
      </x:c>
      <x:c r="P28" s="18" t="str">
        <x:v>L3_EMU_INTEGRATION</x:v>
      </x:c>
      <x:c r="Q28" s="18" t="str">
        <x:v>MEDIUM</x:v>
      </x:c>
      <x:c r="R28" s="18" t="str">
        <x:v>WAVE4_CRYPTO_COMPAT_VENDOR</x:v>
      </x:c>
      <x:c r="S28" s="18" t="str">
        <x:v>GSP</x:v>
      </x:c>
      <x:c r="T28" s="18" t="str">
        <x:v>待移植</x:v>
      </x:c>
      <x:c r="U28" s="18" t="str">
        <x:v>PLANNED</x:v>
      </x:c>
      <x:c r="V28" s="18" t="str">
        <x:v>MUST_PASS_BASIC</x:v>
      </x:c>
      <x:c r="W28" s="18" t="str">
        <x:v>READY_AFTER_BASELINE</x:v>
      </x:c>
      <x:c r="X28" s="18" t="str">
        <x:v>eHSM FW 2.3.3-4019-6234423/inc/mb.h; SRC-0018; Host API/TRM; TASK-SEC-BAREMETAL-EHSM-001</x:v>
      </x:c>
    </x:row>
    <x:row r="29" ht="72" customHeight="1">
      <x:c r="A29" s="18" t="str">
        <x:v>MB-FW-026-BASIC</x:v>
      </x:c>
      <x:c r="B29" s="18" t="str">
        <x:v>BASIC</x:v>
      </x:c>
      <x:c r="C29" s="18" t="str">
        <x:v>COMMAND</x:v>
      </x:c>
      <x:c r="D29" s="18" t="str">
        <x:v>FW</x:v>
      </x:c>
      <x:c r="E29" s="18" t="str">
        <x:v>0x0601 (hex)</x:v>
      </x:c>
      <x:c r="F29" s="18" t="str">
        <x:v>MB_CMD_ID_ECDSA</x:v>
      </x:c>
      <x:c r="G29" s="18" t="str">
        <x:v>1条批准的代表性合法向量；Vendor Demo已有算法/模式向量经二级盘点后参数化复用，不复制Demo总入口</x:v>
      </x:c>
      <x:c r="H29" s="18" t="str">
        <x:v>验证合法请求能够按命令合同完成，raw返回、输出和Mailbox事务闭环一致</x:v>
      </x:c>
      <x:c r="I29" s="18" t="str">
        <x:v>每条适用命令的流片前功能冒烟基线；不代表拒绝路径已经验证</x:v>
      </x:c>
      <x:c r="J29" s="18" t="str">
        <x:v>FW镜像与匹配Host版本已就绪；eHSM ready；使用批准输入</x:v>
      </x:c>
      <x:c r="K29" s="18" t="str">
        <x:v>准备合法输入；确认Mailbox空闲；调用Vendor正式Host API；保存raw返回/输出；清理完成状态；执行健康查询确认后续事务</x:v>
      </x:c>
      <x:c r="L29" s="18" t="str">
        <x:v>代表性合法参数、固定向量或可重复种子；地址/长度/权限满足合同</x:v>
      </x:c>
      <x:c r="M29" s="18" t="str">
        <x:v>返回成功；输出与批准oracle一致；Mailbox可清理并继续处理后续事务</x:v>
      </x:c>
      <x:c r="N29" s="18" t="str">
        <x:v>真实eHSM raw响应+输出+事务状态；不以Demo最终success打印替代子case判定</x:v>
      </x:c>
      <x:c r="O29" s="18" t="str">
        <x:v>P0</x:v>
      </x:c>
      <x:c r="P29" s="18" t="str">
        <x:v>L3_EMU_INTEGRATION</x:v>
      </x:c>
      <x:c r="Q29" s="18" t="str">
        <x:v>MEDIUM</x:v>
      </x:c>
      <x:c r="R29" s="18" t="str">
        <x:v>WAVE4_CRYPTO_COMPAT_VENDOR</x:v>
      </x:c>
      <x:c r="S29" s="18" t="str">
        <x:v>GSP</x:v>
      </x:c>
      <x:c r="T29" s="18" t="str">
        <x:v>待移植</x:v>
      </x:c>
      <x:c r="U29" s="18" t="str">
        <x:v>PLANNED</x:v>
      </x:c>
      <x:c r="V29" s="18" t="str">
        <x:v>MUST_PASS_BASIC</x:v>
      </x:c>
      <x:c r="W29" s="18" t="str">
        <x:v>READY_AFTER_BASELINE</x:v>
      </x:c>
      <x:c r="X29" s="18" t="str">
        <x:v>eHSM FW 2.3.3-4019-6234423/inc/mb.h; SRC-0018; Host API/TRM; TASK-SEC-BAREMETAL-EHSM-001</x:v>
      </x:c>
    </x:row>
    <x:row r="30" ht="72" customHeight="1">
      <x:c r="A30" s="18" t="str">
        <x:v>MB-FW-027-BASIC</x:v>
      </x:c>
      <x:c r="B30" s="18" t="str">
        <x:v>BASIC</x:v>
      </x:c>
      <x:c r="C30" s="18" t="str">
        <x:v>COMMAND</x:v>
      </x:c>
      <x:c r="D30" s="18" t="str">
        <x:v>FW</x:v>
      </x:c>
      <x:c r="E30" s="18" t="str">
        <x:v>0x0a01 (hex)</x:v>
      </x:c>
      <x:c r="F30" s="18" t="str">
        <x:v>MB_CMD_ID_RNG</x:v>
      </x:c>
      <x:c r="G30" s="18" t="str">
        <x:v>1条批准的代表性合法向量；Vendor Demo已有算法/模式向量经二级盘点后参数化复用，不复制Demo总入口</x:v>
      </x:c>
      <x:c r="H30" s="18" t="str">
        <x:v>验证合法请求能够按命令合同完成，raw返回、输出和Mailbox事务闭环一致</x:v>
      </x:c>
      <x:c r="I30" s="18" t="str">
        <x:v>每条适用命令的流片前功能冒烟基线；不代表拒绝路径已经验证</x:v>
      </x:c>
      <x:c r="J30" s="18" t="str">
        <x:v>FW镜像与匹配Host版本已就绪；eHSM ready；使用批准输入</x:v>
      </x:c>
      <x:c r="K30" s="18" t="str">
        <x:v>准备合法输入；确认Mailbox空闲；调用Vendor正式Host API；保存raw返回/输出；清理完成状态；执行健康查询确认后续事务</x:v>
      </x:c>
      <x:c r="L30" s="18" t="str">
        <x:v>代表性合法参数、固定向量或可重复种子；地址/长度/权限满足合同</x:v>
      </x:c>
      <x:c r="M30" s="18" t="str">
        <x:v>返回成功；输出与批准oracle一致；Mailbox可清理并继续处理后续事务</x:v>
      </x:c>
      <x:c r="N30" s="18" t="str">
        <x:v>真实eHSM raw响应+输出+事务状态；不以Demo最终success打印替代子case判定</x:v>
      </x:c>
      <x:c r="O30" s="18" t="str">
        <x:v>P0</x:v>
      </x:c>
      <x:c r="P30" s="18" t="str">
        <x:v>L3_EMU_INTEGRATION</x:v>
      </x:c>
      <x:c r="Q30" s="18" t="str">
        <x:v>MEDIUM</x:v>
      </x:c>
      <x:c r="R30" s="18" t="str">
        <x:v>WAVE0_DAY0_SMOKE</x:v>
      </x:c>
      <x:c r="S30" s="18" t="str">
        <x:v>GSP</x:v>
      </x:c>
      <x:c r="T30" s="18" t="str">
        <x:v>待移植</x:v>
      </x:c>
      <x:c r="U30" s="18" t="str">
        <x:v>PLANNED</x:v>
      </x:c>
      <x:c r="V30" s="18" t="str">
        <x:v>MUST_PASS_BASIC</x:v>
      </x:c>
      <x:c r="W30" s="18" t="str">
        <x:v>READY_AFTER_BASELINE</x:v>
      </x:c>
      <x:c r="X30" s="18" t="str">
        <x:v>eHSM FW 2.3.3-4019-6234423/inc/mb.h; SRC-0018; Host API/TRM; TASK-SEC-BAREMETAL-EHSM-001</x:v>
      </x:c>
    </x:row>
    <x:row r="31" ht="72" customHeight="1">
      <x:c r="A31" s="18" t="str">
        <x:v>MB-FW-028-BASIC</x:v>
      </x:c>
      <x:c r="B31" s="18" t="str">
        <x:v>BASIC</x:v>
      </x:c>
      <x:c r="C31" s="18" t="str">
        <x:v>COMMAND</x:v>
      </x:c>
      <x:c r="D31" s="18" t="str">
        <x:v>FW</x:v>
      </x:c>
      <x:c r="E31" s="18" t="str">
        <x:v>0xff01 (hex)</x:v>
      </x:c>
      <x:c r="F31" s="18" t="str">
        <x:v>MB_CMD_ID_OTP_WRITE</x:v>
      </x:c>
      <x:c r="G31" s="18" t="str">
        <x:v>1条批准的代表性合法向量；Vendor Demo已有算法/模式向量经二级盘点后参数化复用，不复制Demo总入口</x:v>
      </x:c>
      <x:c r="H31" s="18" t="str">
        <x:v>验证合法请求能够按命令合同完成，raw返回、输出和Mailbox事务闭环一致</x:v>
      </x:c>
      <x:c r="I31" s="18" t="str">
        <x:v>每条适用命令的流片前功能冒烟基线；不代表拒绝路径已经验证</x:v>
      </x:c>
      <x:c r="J31" s="18" t="str">
        <x:v>FW镜像与匹配Host版本已就绪；eHSM ready；使用批准输入；危险/不可逆命令使用专用fixture并获批准</x:v>
      </x:c>
      <x:c r="K31" s="18" t="str">
        <x:v>准备合法输入；确认Mailbox空闲；调用Vendor正式Host API；保存raw返回/输出；清理完成状态；执行健康查询确认后续事务</x:v>
      </x:c>
      <x:c r="L31" s="18" t="str">
        <x:v>代表性合法参数、固定向量或可重复种子；地址/长度/权限满足合同</x:v>
      </x:c>
      <x:c r="M31" s="18" t="str">
        <x:v>仅在批准fixture执行；成功时结果和持久副作用完全符合合同；无fixture时为INCONCLUSIVE而不是跳过后PASS</x:v>
      </x:c>
      <x:c r="N31" s="18" t="str">
        <x:v>真实eHSM raw响应+输出+事务状态；不以Demo最终success打印替代子case判定</x:v>
      </x:c>
      <x:c r="O31" s="18" t="str">
        <x:v>P0</x:v>
      </x:c>
      <x:c r="P31" s="18" t="str">
        <x:v>L3_EMU_INTEGRATION</x:v>
      </x:c>
      <x:c r="Q31" s="18" t="str">
        <x:v>HIGH</x:v>
      </x:c>
      <x:c r="R31" s="18" t="str">
        <x:v>WAVE1_ROOT_OF_TRUST</x:v>
      </x:c>
      <x:c r="S31" s="18" t="str">
        <x:v>GSP</x:v>
      </x:c>
      <x:c r="T31" s="18" t="str">
        <x:v>待移植</x:v>
      </x:c>
      <x:c r="U31" s="18" t="str">
        <x:v>PLANNED</x:v>
      </x:c>
      <x:c r="V31" s="18" t="str">
        <x:v>DEDICATED_FIXTURE_OR_INCONCLUSIVE</x:v>
      </x:c>
      <x:c r="W31" s="18" t="str">
        <x:v>NEEDS_DEDICATED_FIXTURE_AND_APPROVAL</x:v>
      </x:c>
      <x:c r="X31" s="18" t="str">
        <x:v>eHSM FW 2.3.3-4019-6234423/inc/mb.h; SRC-0018; Host API/TRM; TASK-SEC-BAREMETAL-EHSM-001</x:v>
      </x:c>
    </x:row>
    <x:row r="32" ht="72" customHeight="1">
      <x:c r="A32" s="18" t="str">
        <x:v>MB-FW-029-BASIC</x:v>
      </x:c>
      <x:c r="B32" s="18" t="str">
        <x:v>BASIC</x:v>
      </x:c>
      <x:c r="C32" s="18" t="str">
        <x:v>COMMAND</x:v>
      </x:c>
      <x:c r="D32" s="18" t="str">
        <x:v>FW</x:v>
      </x:c>
      <x:c r="E32" s="18" t="str">
        <x:v>0xff02 (hex)</x:v>
      </x:c>
      <x:c r="F32" s="18" t="str">
        <x:v>MB_CMD_ID_OTP_READ</x:v>
      </x:c>
      <x:c r="G32" s="18" t="str">
        <x:v>1条批准的代表性合法向量；Vendor Demo已有算法/模式向量经二级盘点后参数化复用，不复制Demo总入口</x:v>
      </x:c>
      <x:c r="H32" s="18" t="str">
        <x:v>验证合法请求能够按命令合同完成，raw返回、输出和Mailbox事务闭环一致</x:v>
      </x:c>
      <x:c r="I32" s="18" t="str">
        <x:v>每条适用命令的流片前功能冒烟基线；不代表拒绝路径已经验证</x:v>
      </x:c>
      <x:c r="J32" s="18" t="str">
        <x:v>FW镜像与匹配Host版本已就绪；eHSM ready；使用批准输入</x:v>
      </x:c>
      <x:c r="K32" s="18" t="str">
        <x:v>准备合法输入；确认Mailbox空闲；调用Vendor正式Host API；保存raw返回/输出；清理完成状态；执行健康查询确认后续事务</x:v>
      </x:c>
      <x:c r="L32" s="18" t="str">
        <x:v>代表性合法参数、固定向量或可重复种子；地址/长度/权限满足合同</x:v>
      </x:c>
      <x:c r="M32" s="18" t="str">
        <x:v>返回成功；输出与批准oracle一致；Mailbox可清理并继续处理后续事务</x:v>
      </x:c>
      <x:c r="N32" s="18" t="str">
        <x:v>真实eHSM raw响应+输出+事务状态；不以Demo最终success打印替代子case判定</x:v>
      </x:c>
      <x:c r="O32" s="18" t="str">
        <x:v>P0</x:v>
      </x:c>
      <x:c r="P32" s="18" t="str">
        <x:v>L3_EMU_INTEGRATION</x:v>
      </x:c>
      <x:c r="Q32" s="18" t="str">
        <x:v>MEDIUM_HIGH</x:v>
      </x:c>
      <x:c r="R32" s="18" t="str">
        <x:v>WAVE1_ROOT_OF_TRUST</x:v>
      </x:c>
      <x:c r="S32" s="18" t="str">
        <x:v>GSP</x:v>
      </x:c>
      <x:c r="T32" s="18" t="str">
        <x:v>待移植</x:v>
      </x:c>
      <x:c r="U32" s="18" t="str">
        <x:v>PLANNED</x:v>
      </x:c>
      <x:c r="V32" s="18" t="str">
        <x:v>MUST_PASS_BASIC</x:v>
      </x:c>
      <x:c r="W32" s="18" t="str">
        <x:v>READY_AFTER_BASELINE</x:v>
      </x:c>
      <x:c r="X32" s="18" t="str">
        <x:v>eHSM FW 2.3.3-4019-6234423/inc/mb.h; SRC-0018; Host API/TRM; TASK-SEC-BAREMETAL-EHSM-001</x:v>
      </x:c>
    </x:row>
    <x:row r="33" ht="72" customHeight="1">
      <x:c r="A33" s="18" t="str">
        <x:v>MB-FW-030-BASIC</x:v>
      </x:c>
      <x:c r="B33" s="18" t="str">
        <x:v>BASIC</x:v>
      </x:c>
      <x:c r="C33" s="18" t="str">
        <x:v>COMMAND</x:v>
      </x:c>
      <x:c r="D33" s="18" t="str">
        <x:v>FW</x:v>
      </x:c>
      <x:c r="E33" s="18" t="str">
        <x:v>0xff03 (hex)</x:v>
      </x:c>
      <x:c r="F33" s="18" t="str">
        <x:v>MB_CMD_ID_GET_CHALLENGE</x:v>
      </x:c>
      <x:c r="G33" s="18" t="str">
        <x:v>1条批准的代表性合法向量；Vendor Demo已有算法/模式向量经二级盘点后参数化复用，不复制Demo总入口</x:v>
      </x:c>
      <x:c r="H33" s="18" t="str">
        <x:v>验证合法请求能够按命令合同完成，raw返回、输出和Mailbox事务闭环一致</x:v>
      </x:c>
      <x:c r="I33" s="18" t="str">
        <x:v>每条适用命令的流片前功能冒烟基线；不代表拒绝路径已经验证</x:v>
      </x:c>
      <x:c r="J33" s="18" t="str">
        <x:v>FW镜像与匹配Host版本已就绪；eHSM ready；使用批准输入</x:v>
      </x:c>
      <x:c r="K33" s="18" t="str">
        <x:v>准备合法输入；确认Mailbox空闲；调用Vendor正式Host API；保存raw返回/输出；清理完成状态；执行健康查询确认后续事务</x:v>
      </x:c>
      <x:c r="L33" s="18" t="str">
        <x:v>代表性合法参数、固定向量或可重复种子；地址/长度/权限满足合同</x:v>
      </x:c>
      <x:c r="M33" s="18" t="str">
        <x:v>返回成功；输出与批准oracle一致；Mailbox可清理并继续处理后续事务</x:v>
      </x:c>
      <x:c r="N33" s="18" t="str">
        <x:v>真实eHSM raw响应+输出+事务状态；不以Demo最终success打印替代子case判定</x:v>
      </x:c>
      <x:c r="O33" s="18" t="str">
        <x:v>P0</x:v>
      </x:c>
      <x:c r="P33" s="18" t="str">
        <x:v>L3_EMU_INTEGRATION</x:v>
      </x:c>
      <x:c r="Q33" s="18" t="str">
        <x:v>MEDIUM_HIGH</x:v>
      </x:c>
      <x:c r="R33" s="18" t="str">
        <x:v>WAVE2_IDENTITY_KEY_PERMISSION</x:v>
      </x:c>
      <x:c r="S33" s="18" t="str">
        <x:v>GSP</x:v>
      </x:c>
      <x:c r="T33" s="18" t="str">
        <x:v>待移植</x:v>
      </x:c>
      <x:c r="U33" s="18" t="str">
        <x:v>PLANNED</x:v>
      </x:c>
      <x:c r="V33" s="18" t="str">
        <x:v>MUST_PASS_BASIC</x:v>
      </x:c>
      <x:c r="W33" s="18" t="str">
        <x:v>READY_AFTER_BASELINE</x:v>
      </x:c>
      <x:c r="X33" s="18" t="str">
        <x:v>eHSM FW 2.3.3-4019-6234423/inc/mb.h; SRC-0018; Host API/TRM; TASK-SEC-BAREMETAL-EHSM-001</x:v>
      </x:c>
    </x:row>
    <x:row r="34" ht="72" customHeight="1">
      <x:c r="A34" s="18" t="str">
        <x:v>MB-FW-031-BASIC</x:v>
      </x:c>
      <x:c r="B34" s="18" t="str">
        <x:v>BASIC</x:v>
      </x:c>
      <x:c r="C34" s="18" t="str">
        <x:v>COMMAND</x:v>
      </x:c>
      <x:c r="D34" s="18" t="str">
        <x:v>FW</x:v>
      </x:c>
      <x:c r="E34" s="18" t="str">
        <x:v>0xff04 (hex)</x:v>
      </x:c>
      <x:c r="F34" s="18" t="str">
        <x:v>MB_CMD_ID_AUTH</x:v>
      </x:c>
      <x:c r="G34" s="18" t="str">
        <x:v>1条批准的代表性合法向量；Vendor Demo已有算法/模式向量经二级盘点后参数化复用，不复制Demo总入口</x:v>
      </x:c>
      <x:c r="H34" s="18" t="str">
        <x:v>验证合法请求能够按命令合同完成，raw返回、输出和Mailbox事务闭环一致</x:v>
      </x:c>
      <x:c r="I34" s="18" t="str">
        <x:v>每条适用命令的流片前功能冒烟基线；不代表拒绝路径已经验证</x:v>
      </x:c>
      <x:c r="J34" s="18" t="str">
        <x:v>FW镜像与匹配Host版本已就绪；eHSM ready；使用批准输入</x:v>
      </x:c>
      <x:c r="K34" s="18" t="str">
        <x:v>准备合法输入；确认Mailbox空闲；调用Vendor正式Host API；保存raw返回/输出；清理完成状态；执行健康查询确认后续事务</x:v>
      </x:c>
      <x:c r="L34" s="18" t="str">
        <x:v>代表性合法参数、固定向量或可重复种子；地址/长度/权限满足合同</x:v>
      </x:c>
      <x:c r="M34" s="18" t="str">
        <x:v>返回成功；输出与批准oracle一致；Mailbox可清理并继续处理后续事务</x:v>
      </x:c>
      <x:c r="N34" s="18" t="str">
        <x:v>真实eHSM raw响应+输出+事务状态；不以Demo最终success打印替代子case判定</x:v>
      </x:c>
      <x:c r="O34" s="18" t="str">
        <x:v>P0</x:v>
      </x:c>
      <x:c r="P34" s="18" t="str">
        <x:v>L3_EMU_INTEGRATION</x:v>
      </x:c>
      <x:c r="Q34" s="18" t="str">
        <x:v>MEDIUM_HIGH</x:v>
      </x:c>
      <x:c r="R34" s="18" t="str">
        <x:v>WAVE2_IDENTITY_KEY_PERMISSION</x:v>
      </x:c>
      <x:c r="S34" s="18" t="str">
        <x:v>GSP</x:v>
      </x:c>
      <x:c r="T34" s="18" t="str">
        <x:v>待移植</x:v>
      </x:c>
      <x:c r="U34" s="18" t="str">
        <x:v>PLANNED</x:v>
      </x:c>
      <x:c r="V34" s="18" t="str">
        <x:v>MUST_PASS_BASIC</x:v>
      </x:c>
      <x:c r="W34" s="18" t="str">
        <x:v>READY_AFTER_BASELINE</x:v>
      </x:c>
      <x:c r="X34" s="18" t="str">
        <x:v>eHSM FW 2.3.3-4019-6234423/inc/mb.h; SRC-0018; Host API/TRM; TASK-SEC-BAREMETAL-EHSM-001</x:v>
      </x:c>
    </x:row>
    <x:row r="35" ht="72" customHeight="1">
      <x:c r="A35" s="18" t="str">
        <x:v>MB-FW-032-BASIC</x:v>
      </x:c>
      <x:c r="B35" s="18" t="str">
        <x:v>BASIC</x:v>
      </x:c>
      <x:c r="C35" s="18" t="str">
        <x:v>COMMAND</x:v>
      </x:c>
      <x:c r="D35" s="18" t="str">
        <x:v>FW</x:v>
      </x:c>
      <x:c r="E35" s="18" t="str">
        <x:v>0xff0e (hex)</x:v>
      </x:c>
      <x:c r="F35" s="18" t="str">
        <x:v>MB_CMD_ID_CLOSE_DEBUG</x:v>
      </x:c>
      <x:c r="G35" s="18" t="str">
        <x:v>1条批准的代表性合法向量；Vendor Demo已有算法/模式向量经二级盘点后参数化复用，不复制Demo总入口</x:v>
      </x:c>
      <x:c r="H35" s="18" t="str">
        <x:v>验证合法请求能够按命令合同完成，raw返回、输出和Mailbox事务闭环一致</x:v>
      </x:c>
      <x:c r="I35" s="18" t="str">
        <x:v>每条适用命令的流片前功能冒烟基线；不代表拒绝路径已经验证</x:v>
      </x:c>
      <x:c r="J35" s="18" t="str">
        <x:v>FW镜像与匹配Host版本已就绪；eHSM ready；使用批准输入</x:v>
      </x:c>
      <x:c r="K35" s="18" t="str">
        <x:v>准备合法输入；确认Mailbox空闲；调用Vendor正式Host API；保存raw返回/输出；清理完成状态；执行健康查询确认后续事务</x:v>
      </x:c>
      <x:c r="L35" s="18" t="str">
        <x:v>代表性合法参数、固定向量或可重复种子；地址/长度/权限满足合同</x:v>
      </x:c>
      <x:c r="M35" s="18" t="str">
        <x:v>返回成功；输出与批准oracle一致；Mailbox可清理并继续处理后续事务</x:v>
      </x:c>
      <x:c r="N35" s="18" t="str">
        <x:v>真实eHSM raw响应+输出+事务状态；不以Demo最终success打印替代子case判定</x:v>
      </x:c>
      <x:c r="O35" s="18" t="str">
        <x:v>P0</x:v>
      </x:c>
      <x:c r="P35" s="18" t="str">
        <x:v>L3_EMU_INTEGRATION</x:v>
      </x:c>
      <x:c r="Q35" s="18" t="str">
        <x:v>MEDIUM_HIGH</x:v>
      </x:c>
      <x:c r="R35" s="18" t="str">
        <x:v>WAVE2_IDENTITY_KEY_PERMISSION</x:v>
      </x:c>
      <x:c r="S35" s="18" t="str">
        <x:v>GSP</x:v>
      </x:c>
      <x:c r="T35" s="18" t="str">
        <x:v>待移植</x:v>
      </x:c>
      <x:c r="U35" s="18" t="str">
        <x:v>PLANNED</x:v>
      </x:c>
      <x:c r="V35" s="18" t="str">
        <x:v>MUST_PASS_BASIC</x:v>
      </x:c>
      <x:c r="W35" s="18" t="str">
        <x:v>READY_AFTER_BASELINE</x:v>
      </x:c>
      <x:c r="X35" s="18" t="str">
        <x:v>eHSM FW 2.3.3-4019-6234423/inc/mb.h; SRC-0018; Host API/TRM; TASK-SEC-BAREMETAL-EHSM-001</x:v>
      </x:c>
    </x:row>
    <x:row r="36" ht="72" customHeight="1">
      <x:c r="A36" s="18" t="str">
        <x:v>MB-FW-033-BASIC</x:v>
      </x:c>
      <x:c r="B36" s="18" t="str">
        <x:v>BASIC</x:v>
      </x:c>
      <x:c r="C36" s="18" t="str">
        <x:v>COMMAND</x:v>
      </x:c>
      <x:c r="D36" s="18" t="str">
        <x:v>FW</x:v>
      </x:c>
      <x:c r="E36" s="18" t="str">
        <x:v>0xff05 (hex)</x:v>
      </x:c>
      <x:c r="F36" s="18" t="str">
        <x:v>MB_CMD_ID_FW_UPGRADE</x:v>
      </x:c>
      <x:c r="G36" s="18" t="str">
        <x:v>1条批准的代表性合法向量；Vendor Demo已有算法/模式向量经二级盘点后参数化复用，不复制Demo总入口</x:v>
      </x:c>
      <x:c r="H36" s="18" t="str">
        <x:v>验证合法请求能够按命令合同完成，raw返回、输出和Mailbox事务闭环一致</x:v>
      </x:c>
      <x:c r="I36" s="18" t="str">
        <x:v>每条适用命令的流片前功能冒烟基线；不代表拒绝路径已经验证</x:v>
      </x:c>
      <x:c r="J36" s="18" t="str">
        <x:v>FW镜像与匹配Host版本已就绪；eHSM ready；使用批准输入；危险/不可逆命令使用专用fixture并获批准</x:v>
      </x:c>
      <x:c r="K36" s="18" t="str">
        <x:v>准备合法输入；确认Mailbox空闲；调用Vendor正式Host API；保存raw返回/输出；清理完成状态；执行健康查询确认后续事务</x:v>
      </x:c>
      <x:c r="L36" s="18" t="str">
        <x:v>代表性合法参数、固定向量或可重复种子；地址/长度/权限满足合同</x:v>
      </x:c>
      <x:c r="M36" s="18" t="str">
        <x:v>仅在批准fixture执行；成功时结果和持久副作用完全符合合同；无fixture时为INCONCLUSIVE而不是跳过后PASS</x:v>
      </x:c>
      <x:c r="N36" s="18" t="str">
        <x:v>真实eHSM raw响应+输出+事务状态；不以Demo最终success打印替代子case判定</x:v>
      </x:c>
      <x:c r="O36" s="18" t="str">
        <x:v>P0</x:v>
      </x:c>
      <x:c r="P36" s="18" t="str">
        <x:v>L3_EMU_INTEGRATION</x:v>
      </x:c>
      <x:c r="Q36" s="18" t="str">
        <x:v>HIGH</x:v>
      </x:c>
      <x:c r="R36" s="18" t="str">
        <x:v>WAVE1_ROOT_OF_TRUST</x:v>
      </x:c>
      <x:c r="S36" s="18" t="str">
        <x:v>GSP</x:v>
      </x:c>
      <x:c r="T36" s="18" t="str">
        <x:v>待移植</x:v>
      </x:c>
      <x:c r="U36" s="18" t="str">
        <x:v>PLANNED</x:v>
      </x:c>
      <x:c r="V36" s="18" t="str">
        <x:v>DEDICATED_FIXTURE_OR_INCONCLUSIVE</x:v>
      </x:c>
      <x:c r="W36" s="18" t="str">
        <x:v>NEEDS_DEDICATED_FIXTURE_AND_APPROVAL</x:v>
      </x:c>
      <x:c r="X36" s="18" t="str">
        <x:v>eHSM FW 2.3.3-4019-6234423/inc/mb.h; SRC-0018; Host API/TRM; TASK-SEC-BAREMETAL-EHSM-001</x:v>
      </x:c>
    </x:row>
    <x:row r="37" ht="72" customHeight="1">
      <x:c r="A37" s="18" t="str">
        <x:v>MB-FW-034-BASIC</x:v>
      </x:c>
      <x:c r="B37" s="18" t="str">
        <x:v>BASIC</x:v>
      </x:c>
      <x:c r="C37" s="18" t="str">
        <x:v>COMMAND</x:v>
      </x:c>
      <x:c r="D37" s="18" t="str">
        <x:v>FW</x:v>
      </x:c>
      <x:c r="E37" s="18" t="str">
        <x:v>0xff06 (hex)</x:v>
      </x:c>
      <x:c r="F37" s="18" t="str">
        <x:v>MB_CMD_ID_SOC_VERIFY</x:v>
      </x:c>
      <x:c r="G37" s="18" t="str">
        <x:v>1条批准的代表性合法向量；Vendor Demo已有算法/模式向量经二级盘点后参数化复用，不复制Demo总入口</x:v>
      </x:c>
      <x:c r="H37" s="18" t="str">
        <x:v>验证合法请求能够按命令合同完成，raw返回、输出和Mailbox事务闭环一致</x:v>
      </x:c>
      <x:c r="I37" s="18" t="str">
        <x:v>每条适用命令的流片前功能冒烟基线；不代表拒绝路径已经验证</x:v>
      </x:c>
      <x:c r="J37" s="18" t="str">
        <x:v>FW镜像与匹配Host版本已就绪；eHSM ready；使用批准输入</x:v>
      </x:c>
      <x:c r="K37" s="18" t="str">
        <x:v>准备合法输入；确认Mailbox空闲；调用Vendor正式Host API；保存raw返回/输出；清理完成状态；执行健康查询确认后续事务</x:v>
      </x:c>
      <x:c r="L37" s="18" t="str">
        <x:v>代表性合法参数、固定向量或可重复种子；地址/长度/权限满足合同</x:v>
      </x:c>
      <x:c r="M37" s="18" t="str">
        <x:v>返回成功；输出与批准oracle一致；Mailbox可清理并继续处理后续事务</x:v>
      </x:c>
      <x:c r="N37" s="18" t="str">
        <x:v>真实eHSM raw响应+输出+事务状态；不以Demo最终success打印替代子case判定</x:v>
      </x:c>
      <x:c r="O37" s="18" t="str">
        <x:v>P0</x:v>
      </x:c>
      <x:c r="P37" s="18" t="str">
        <x:v>L3_EMU_INTEGRATION</x:v>
      </x:c>
      <x:c r="Q37" s="18" t="str">
        <x:v>MEDIUM_HIGH</x:v>
      </x:c>
      <x:c r="R37" s="18" t="str">
        <x:v>WAVE1_ROOT_OF_TRUST</x:v>
      </x:c>
      <x:c r="S37" s="18" t="str">
        <x:v>GSP</x:v>
      </x:c>
      <x:c r="T37" s="18" t="str">
        <x:v>待移植</x:v>
      </x:c>
      <x:c r="U37" s="18" t="str">
        <x:v>PLANNED</x:v>
      </x:c>
      <x:c r="V37" s="18" t="str">
        <x:v>MUST_PASS_BASIC</x:v>
      </x:c>
      <x:c r="W37" s="18" t="str">
        <x:v>READY_AFTER_BASELINE</x:v>
      </x:c>
      <x:c r="X37" s="18" t="str">
        <x:v>eHSM FW 2.3.3-4019-6234423/inc/mb.h; SRC-0018; Host API/TRM; TASK-SEC-BAREMETAL-EHSM-001</x:v>
      </x:c>
    </x:row>
    <x:row r="38" ht="72" customHeight="1">
      <x:c r="A38" s="18" t="str">
        <x:v>MB-FW-035-BASIC</x:v>
      </x:c>
      <x:c r="B38" s="18" t="str">
        <x:v>BASIC</x:v>
      </x:c>
      <x:c r="C38" s="18" t="str">
        <x:v>COMMAND</x:v>
      </x:c>
      <x:c r="D38" s="18" t="str">
        <x:v>FW</x:v>
      </x:c>
      <x:c r="E38" s="18" t="str">
        <x:v>0xff08 (hex)</x:v>
      </x:c>
      <x:c r="F38" s="18" t="str">
        <x:v>MB_CMD_ID_INSTALL_RANDOM_KEY</x:v>
      </x:c>
      <x:c r="G38" s="18" t="str">
        <x:v>1条批准的代表性合法向量；Vendor Demo已有算法/模式向量经二级盘点后参数化复用，不复制Demo总入口</x:v>
      </x:c>
      <x:c r="H38" s="18" t="str">
        <x:v>验证合法请求能够按命令合同完成，raw返回、输出和Mailbox事务闭环一致</x:v>
      </x:c>
      <x:c r="I38" s="18" t="str">
        <x:v>每条适用命令的流片前功能冒烟基线；不代表拒绝路径已经验证</x:v>
      </x:c>
      <x:c r="J38" s="18" t="str">
        <x:v>FW镜像与匹配Host版本已就绪；eHSM ready；使用批准输入；危险/不可逆命令使用专用fixture并获批准</x:v>
      </x:c>
      <x:c r="K38" s="18" t="str">
        <x:v>准备合法输入；确认Mailbox空闲；调用Vendor正式Host API；保存raw返回/输出；清理完成状态；执行健康查询确认后续事务</x:v>
      </x:c>
      <x:c r="L38" s="18" t="str">
        <x:v>代表性合法参数、固定向量或可重复种子；地址/长度/权限满足合同</x:v>
      </x:c>
      <x:c r="M38" s="18" t="str">
        <x:v>仅在批准fixture执行；成功时结果和持久副作用完全符合合同；无fixture时为INCONCLUSIVE而不是跳过后PASS</x:v>
      </x:c>
      <x:c r="N38" s="18" t="str">
        <x:v>真实eHSM raw响应+输出+事务状态；不以Demo最终success打印替代子case判定</x:v>
      </x:c>
      <x:c r="O38" s="18" t="str">
        <x:v>P0</x:v>
      </x:c>
      <x:c r="P38" s="18" t="str">
        <x:v>L3_EMU_INTEGRATION</x:v>
      </x:c>
      <x:c r="Q38" s="18" t="str">
        <x:v>MEDIUM_HIGH</x:v>
      </x:c>
      <x:c r="R38" s="18" t="str">
        <x:v>WAVE2_IDENTITY_KEY_PERMISSION</x:v>
      </x:c>
      <x:c r="S38" s="18" t="str">
        <x:v>GSP</x:v>
      </x:c>
      <x:c r="T38" s="18" t="str">
        <x:v>待移植</x:v>
      </x:c>
      <x:c r="U38" s="18" t="str">
        <x:v>PLANNED</x:v>
      </x:c>
      <x:c r="V38" s="18" t="str">
        <x:v>MUST_PASS_BASIC</x:v>
      </x:c>
      <x:c r="W38" s="18" t="str">
        <x:v>NEEDS_DEDICATED_FIXTURE_AND_APPROVAL</x:v>
      </x:c>
      <x:c r="X38" s="18" t="str">
        <x:v>eHSM FW 2.3.3-4019-6234423/inc/mb.h; SRC-0018; Host API/TRM; TASK-SEC-BAREMETAL-EHSM-001</x:v>
      </x:c>
    </x:row>
    <x:row r="39" ht="72" customHeight="1">
      <x:c r="A39" s="18" t="str">
        <x:v>MB-FW-036-BASIC</x:v>
      </x:c>
      <x:c r="B39" s="18" t="str">
        <x:v>BASIC</x:v>
      </x:c>
      <x:c r="C39" s="18" t="str">
        <x:v>COMMAND</x:v>
      </x:c>
      <x:c r="D39" s="18" t="str">
        <x:v>FW</x:v>
      </x:c>
      <x:c r="E39" s="18" t="str">
        <x:v>0xff09 (hex)</x:v>
      </x:c>
      <x:c r="F39" s="18" t="str">
        <x:v>MB_CMD_ID_INSTALL_ENCRYPT_KEY</x:v>
      </x:c>
      <x:c r="G39" s="18" t="str">
        <x:v>1条批准的代表性合法向量；Vendor Demo已有算法/模式向量经二级盘点后参数化复用，不复制Demo总入口</x:v>
      </x:c>
      <x:c r="H39" s="18" t="str">
        <x:v>验证合法请求能够按命令合同完成，raw返回、输出和Mailbox事务闭环一致</x:v>
      </x:c>
      <x:c r="I39" s="18" t="str">
        <x:v>每条适用命令的流片前功能冒烟基线；不代表拒绝路径已经验证</x:v>
      </x:c>
      <x:c r="J39" s="18" t="str">
        <x:v>FW镜像与匹配Host版本已就绪；eHSM ready；使用批准输入；危险/不可逆命令使用专用fixture并获批准</x:v>
      </x:c>
      <x:c r="K39" s="18" t="str">
        <x:v>准备合法输入；确认Mailbox空闲；调用Vendor正式Host API；保存raw返回/输出；清理完成状态；执行健康查询确认后续事务</x:v>
      </x:c>
      <x:c r="L39" s="18" t="str">
        <x:v>代表性合法参数、固定向量或可重复种子；地址/长度/权限满足合同</x:v>
      </x:c>
      <x:c r="M39" s="18" t="str">
        <x:v>仅在批准fixture执行；成功时结果和持久副作用完全符合合同；无fixture时为INCONCLUSIVE而不是跳过后PASS</x:v>
      </x:c>
      <x:c r="N39" s="18" t="str">
        <x:v>真实eHSM raw响应+输出+事务状态；不以Demo最终success打印替代子case判定</x:v>
      </x:c>
      <x:c r="O39" s="18" t="str">
        <x:v>P0</x:v>
      </x:c>
      <x:c r="P39" s="18" t="str">
        <x:v>L3_EMU_INTEGRATION</x:v>
      </x:c>
      <x:c r="Q39" s="18" t="str">
        <x:v>MEDIUM_HIGH</x:v>
      </x:c>
      <x:c r="R39" s="18" t="str">
        <x:v>WAVE2_IDENTITY_KEY_PERMISSION</x:v>
      </x:c>
      <x:c r="S39" s="18" t="str">
        <x:v>GSP</x:v>
      </x:c>
      <x:c r="T39" s="18" t="str">
        <x:v>待移植</x:v>
      </x:c>
      <x:c r="U39" s="18" t="str">
        <x:v>PLANNED</x:v>
      </x:c>
      <x:c r="V39" s="18" t="str">
        <x:v>MUST_PASS_BASIC</x:v>
      </x:c>
      <x:c r="W39" s="18" t="str">
        <x:v>NEEDS_DEDICATED_FIXTURE_AND_APPROVAL</x:v>
      </x:c>
      <x:c r="X39" s="18" t="str">
        <x:v>eHSM FW 2.3.3-4019-6234423/inc/mb.h; SRC-0018; Host API/TRM; TASK-SEC-BAREMETAL-EHSM-001</x:v>
      </x:c>
    </x:row>
    <x:row r="40" ht="72" customHeight="1">
      <x:c r="A40" s="18" t="str">
        <x:v>MB-FW-037-BASIC</x:v>
      </x:c>
      <x:c r="B40" s="18" t="str">
        <x:v>BASIC</x:v>
      </x:c>
      <x:c r="C40" s="18" t="str">
        <x:v>COMMAND</x:v>
      </x:c>
      <x:c r="D40" s="18" t="str">
        <x:v>FW</x:v>
      </x:c>
      <x:c r="E40" s="18" t="str">
        <x:v>0x0070 (hex)</x:v>
      </x:c>
      <x:c r="F40" s="18" t="str">
        <x:v>MB_CMD_ID_GET_EMU</x:v>
      </x:c>
      <x:c r="G40" s="18" t="str">
        <x:v>1条批准的代表性合法向量；Vendor Demo已有算法/模式向量经二级盘点后参数化复用，不复制Demo总入口</x:v>
      </x:c>
      <x:c r="H40" s="18" t="str">
        <x:v>验证合法请求能够按命令合同完成，raw返回、输出和Mailbox事务闭环一致</x:v>
      </x:c>
      <x:c r="I40" s="18" t="str">
        <x:v>每条适用命令的流片前功能冒烟基线；不代表拒绝路径已经验证</x:v>
      </x:c>
      <x:c r="J40" s="18" t="str">
        <x:v>FW镜像与匹配Host版本已就绪；eHSM ready；使用批准输入</x:v>
      </x:c>
      <x:c r="K40" s="18" t="str">
        <x:v>准备合法输入；确认Mailbox空闲；调用Vendor正式Host API；保存raw返回/输出；清理完成状态；执行健康查询确认后续事务</x:v>
      </x:c>
      <x:c r="L40" s="18" t="str">
        <x:v>代表性合法参数、固定向量或可重复种子；地址/长度/权限满足合同</x:v>
      </x:c>
      <x:c r="M40" s="18" t="str">
        <x:v>返回成功；输出与批准oracle一致；Mailbox可清理并继续处理后续事务</x:v>
      </x:c>
      <x:c r="N40" s="18" t="str">
        <x:v>真实eHSM raw响应+输出+事务状态；不以Demo最终success打印替代子case判定</x:v>
      </x:c>
      <x:c r="O40" s="18" t="str">
        <x:v>P0</x:v>
      </x:c>
      <x:c r="P40" s="18" t="str">
        <x:v>L3_EMU_INTEGRATION</x:v>
      </x:c>
      <x:c r="Q40" s="18" t="str">
        <x:v>LOW</x:v>
      </x:c>
      <x:c r="R40" s="18" t="str">
        <x:v>WAVE0_DAY0_SMOKE</x:v>
      </x:c>
      <x:c r="S40" s="18" t="str">
        <x:v>GSP</x:v>
      </x:c>
      <x:c r="T40" s="18" t="str">
        <x:v>待移植</x:v>
      </x:c>
      <x:c r="U40" s="18" t="str">
        <x:v>PLANNED</x:v>
      </x:c>
      <x:c r="V40" s="18" t="str">
        <x:v>MUST_PASS_BASIC</x:v>
      </x:c>
      <x:c r="W40" s="18" t="str">
        <x:v>READY_AFTER_BASELINE</x:v>
      </x:c>
      <x:c r="X40" s="18" t="str">
        <x:v>eHSM FW 2.3.3-4019-6234423/inc/mb.h; SRC-0018; Host API/TRM; TASK-SEC-BAREMETAL-EHSM-001</x:v>
      </x:c>
    </x:row>
    <x:row r="41" ht="72" customHeight="1">
      <x:c r="A41" s="18" t="str">
        <x:v>MB-FW-038-BASIC</x:v>
      </x:c>
      <x:c r="B41" s="18" t="str">
        <x:v>BASIC</x:v>
      </x:c>
      <x:c r="C41" s="18" t="str">
        <x:v>COMMAND</x:v>
      </x:c>
      <x:c r="D41" s="18" t="str">
        <x:v>FW</x:v>
      </x:c>
      <x:c r="E41" s="18" t="str">
        <x:v>0x0f01 (hex)</x:v>
      </x:c>
      <x:c r="F41" s="18" t="str">
        <x:v>MB_CMD_ID_CHANGE_LIFECYCLE</x:v>
      </x:c>
      <x:c r="G41" s="18" t="str">
        <x:v>1条批准的代表性合法向量；Vendor Demo已有算法/模式向量经二级盘点后参数化复用，不复制Demo总入口</x:v>
      </x:c>
      <x:c r="H41" s="18" t="str">
        <x:v>验证合法请求能够按命令合同完成，raw返回、输出和Mailbox事务闭环一致</x:v>
      </x:c>
      <x:c r="I41" s="18" t="str">
        <x:v>每条适用命令的流片前功能冒烟基线；不代表拒绝路径已经验证</x:v>
      </x:c>
      <x:c r="J41" s="18" t="str">
        <x:v>FW镜像与匹配Host版本已就绪；eHSM ready；使用批准输入；危险/不可逆命令使用专用fixture并获批准</x:v>
      </x:c>
      <x:c r="K41" s="18" t="str">
        <x:v>准备合法输入；确认Mailbox空闲；调用Vendor正式Host API；保存raw返回/输出；清理完成状态；执行健康查询确认后续事务</x:v>
      </x:c>
      <x:c r="L41" s="18" t="str">
        <x:v>代表性合法参数、固定向量或可重复种子；地址/长度/权限满足合同</x:v>
      </x:c>
      <x:c r="M41" s="18" t="str">
        <x:v>仅在批准fixture执行；成功时结果和持久副作用完全符合合同；无fixture时为INCONCLUSIVE而不是跳过后PASS</x:v>
      </x:c>
      <x:c r="N41" s="18" t="str">
        <x:v>真实eHSM raw响应+输出+事务状态；不以Demo最终success打印替代子case判定</x:v>
      </x:c>
      <x:c r="O41" s="18" t="str">
        <x:v>P0</x:v>
      </x:c>
      <x:c r="P41" s="18" t="str">
        <x:v>L3_EMU_INTEGRATION</x:v>
      </x:c>
      <x:c r="Q41" s="18" t="str">
        <x:v>HIGH</x:v>
      </x:c>
      <x:c r="R41" s="18" t="str">
        <x:v>WAVE2_IDENTITY_KEY_PERMISSION</x:v>
      </x:c>
      <x:c r="S41" s="18" t="str">
        <x:v>GSP</x:v>
      </x:c>
      <x:c r="T41" s="18" t="str">
        <x:v>待移植</x:v>
      </x:c>
      <x:c r="U41" s="18" t="str">
        <x:v>PLANNED</x:v>
      </x:c>
      <x:c r="V41" s="18" t="str">
        <x:v>DEDICATED_FIXTURE_OR_INCONCLUSIVE</x:v>
      </x:c>
      <x:c r="W41" s="18" t="str">
        <x:v>NEEDS_DEDICATED_FIXTURE_AND_APPROVAL</x:v>
      </x:c>
      <x:c r="X41" s="18" t="str">
        <x:v>eHSM FW 2.3.3-4019-6234423/inc/mb.h; SRC-0018; Host API/TRM; TASK-SEC-BAREMETAL-EHSM-001</x:v>
      </x:c>
    </x:row>
    <x:row r="42" ht="72" customHeight="1">
      <x:c r="A42" s="18" t="str">
        <x:v>MB-FW-039-BASIC</x:v>
      </x:c>
      <x:c r="B42" s="18" t="str">
        <x:v>BASIC</x:v>
      </x:c>
      <x:c r="C42" s="18" t="str">
        <x:v>COMMAND</x:v>
      </x:c>
      <x:c r="D42" s="18" t="str">
        <x:v>FW</x:v>
      </x:c>
      <x:c r="E42" s="18" t="str">
        <x:v>0x0f02 (hex)</x:v>
      </x:c>
      <x:c r="F42" s="18" t="str">
        <x:v>MB_CMD_ID_CHANGE_CONTROL_FIELD</x:v>
      </x:c>
      <x:c r="G42" s="18" t="str">
        <x:v>1条批准的代表性合法向量；Vendor Demo已有算法/模式向量经二级盘点后参数化复用，不复制Demo总入口</x:v>
      </x:c>
      <x:c r="H42" s="18" t="str">
        <x:v>验证合法请求能够按命令合同完成，raw返回、输出和Mailbox事务闭环一致</x:v>
      </x:c>
      <x:c r="I42" s="18" t="str">
        <x:v>每条适用命令的流片前功能冒烟基线；不代表拒绝路径已经验证</x:v>
      </x:c>
      <x:c r="J42" s="18" t="str">
        <x:v>FW镜像与匹配Host版本已就绪；eHSM ready；使用批准输入；危险/不可逆命令使用专用fixture并获批准</x:v>
      </x:c>
      <x:c r="K42" s="18" t="str">
        <x:v>准备合法输入；确认Mailbox空闲；调用Vendor正式Host API；保存raw返回/输出；清理完成状态；执行健康查询确认后续事务</x:v>
      </x:c>
      <x:c r="L42" s="18" t="str">
        <x:v>代表性合法参数、固定向量或可重复种子；地址/长度/权限满足合同</x:v>
      </x:c>
      <x:c r="M42" s="18" t="str">
        <x:v>仅在批准fixture执行；成功时结果和持久副作用完全符合合同；无fixture时为INCONCLUSIVE而不是跳过后PASS</x:v>
      </x:c>
      <x:c r="N42" s="18" t="str">
        <x:v>真实eHSM raw响应+输出+事务状态；不以Demo最终success打印替代子case判定</x:v>
      </x:c>
      <x:c r="O42" s="18" t="str">
        <x:v>P0</x:v>
      </x:c>
      <x:c r="P42" s="18" t="str">
        <x:v>L3_EMU_INTEGRATION</x:v>
      </x:c>
      <x:c r="Q42" s="18" t="str">
        <x:v>HIGH</x:v>
      </x:c>
      <x:c r="R42" s="18" t="str">
        <x:v>WAVE2_IDENTITY_KEY_PERMISSION</x:v>
      </x:c>
      <x:c r="S42" s="18" t="str">
        <x:v>GSP</x:v>
      </x:c>
      <x:c r="T42" s="18" t="str">
        <x:v>待移植</x:v>
      </x:c>
      <x:c r="U42" s="18" t="str">
        <x:v>PLANNED</x:v>
      </x:c>
      <x:c r="V42" s="18" t="str">
        <x:v>DEDICATED_FIXTURE_OR_INCONCLUSIVE</x:v>
      </x:c>
      <x:c r="W42" s="18" t="str">
        <x:v>NEEDS_DEDICATED_FIXTURE_AND_APPROVAL</x:v>
      </x:c>
      <x:c r="X42" s="18" t="str">
        <x:v>eHSM FW 2.3.3-4019-6234423/inc/mb.h; SRC-0018; Host API/TRM; TASK-SEC-BAREMETAL-EHSM-001</x:v>
      </x:c>
    </x:row>
    <x:row r="43" ht="72" customHeight="1">
      <x:c r="A43" s="18" t="str">
        <x:v>MB-FW-040-BASIC</x:v>
      </x:c>
      <x:c r="B43" s="18" t="str">
        <x:v>BASIC</x:v>
      </x:c>
      <x:c r="C43" s="18" t="str">
        <x:v>COMMAND</x:v>
      </x:c>
      <x:c r="D43" s="18" t="str">
        <x:v>FW</x:v>
      </x:c>
      <x:c r="E43" s="18" t="str">
        <x:v>0x0f04 (hex)</x:v>
      </x:c>
      <x:c r="F43" s="18" t="str">
        <x:v>MB_CMD_ID_SET_UART_BAUDRATE</x:v>
      </x:c>
      <x:c r="G43" s="18" t="str">
        <x:v>1条批准的代表性合法向量；Vendor Demo已有算法/模式向量经二级盘点后参数化复用，不复制Demo总入口</x:v>
      </x:c>
      <x:c r="H43" s="18" t="str">
        <x:v>验证合法请求能够按命令合同完成，raw返回、输出和Mailbox事务闭环一致</x:v>
      </x:c>
      <x:c r="I43" s="18" t="str">
        <x:v>每条适用命令的流片前功能冒烟基线；不代表拒绝路径已经验证</x:v>
      </x:c>
      <x:c r="J43" s="18" t="str">
        <x:v>FW镜像与匹配Host版本已就绪；eHSM ready；使用批准输入</x:v>
      </x:c>
      <x:c r="K43" s="18" t="str">
        <x:v>准备合法输入；确认Mailbox空闲；调用Vendor正式Host API；保存raw返回/输出；清理完成状态；执行健康查询确认后续事务</x:v>
      </x:c>
      <x:c r="L43" s="18" t="str">
        <x:v>代表性合法参数、固定向量或可重复种子；地址/长度/权限满足合同</x:v>
      </x:c>
      <x:c r="M43" s="18" t="str">
        <x:v>返回成功；输出与批准oracle一致；Mailbox可清理并继续处理后续事务</x:v>
      </x:c>
      <x:c r="N43" s="18" t="str">
        <x:v>真实eHSM raw响应+输出+事务状态；不以Demo最终success打印替代子case判定</x:v>
      </x:c>
      <x:c r="O43" s="18" t="str">
        <x:v>P0</x:v>
      </x:c>
      <x:c r="P43" s="18" t="str">
        <x:v>L3_EMU_INTEGRATION</x:v>
      </x:c>
      <x:c r="Q43" s="18" t="str">
        <x:v>MEDIUM</x:v>
      </x:c>
      <x:c r="R43" s="18" t="str">
        <x:v>WAVE4_CRYPTO_COMPAT_VENDOR</x:v>
      </x:c>
      <x:c r="S43" s="18" t="str">
        <x:v>GSP</x:v>
      </x:c>
      <x:c r="T43" s="18" t="str">
        <x:v>待移植</x:v>
      </x:c>
      <x:c r="U43" s="18" t="str">
        <x:v>PLANNED</x:v>
      </x:c>
      <x:c r="V43" s="18" t="str">
        <x:v>MUST_PASS_BASIC</x:v>
      </x:c>
      <x:c r="W43" s="18" t="str">
        <x:v>READY_AFTER_BASELINE</x:v>
      </x:c>
      <x:c r="X43" s="18" t="str">
        <x:v>eHSM FW 2.3.3-4019-6234423/inc/mb.h; SRC-0018; Host API/TRM; TASK-SEC-BAREMETAL-EHSM-001</x:v>
      </x:c>
    </x:row>
    <x:row r="44" ht="72" customHeight="1">
      <x:c r="A44" s="18" t="str">
        <x:v>MB-FW-041-BASIC</x:v>
      </x:c>
      <x:c r="B44" s="18" t="str">
        <x:v>BASIC</x:v>
      </x:c>
      <x:c r="C44" s="18" t="str">
        <x:v>COMMAND</x:v>
      </x:c>
      <x:c r="D44" s="18" t="str">
        <x:v>FW</x:v>
      </x:c>
      <x:c r="E44" s="18" t="str">
        <x:v>0xff23 (hex)</x:v>
      </x:c>
      <x:c r="F44" s="18" t="str">
        <x:v>MB_CMD_ID_FW_REG_WR</x:v>
      </x:c>
      <x:c r="G44" s="18" t="str">
        <x:v>1条批准的代表性合法向量；Vendor Demo已有算法/模式向量经二级盘点后参数化复用，不复制Demo总入口</x:v>
      </x:c>
      <x:c r="H44" s="18" t="str">
        <x:v>验证合法请求能够按命令合同完成，raw返回、输出和Mailbox事务闭环一致</x:v>
      </x:c>
      <x:c r="I44" s="18" t="str">
        <x:v>每条适用命令的流片前功能冒烟基线；不代表拒绝路径已经验证</x:v>
      </x:c>
      <x:c r="J44" s="18" t="str">
        <x:v>FW镜像与匹配Host版本已就绪；eHSM ready；使用批准输入；危险/不可逆命令使用专用fixture并获批准</x:v>
      </x:c>
      <x:c r="K44" s="18" t="str">
        <x:v>准备合法输入；确认Mailbox空闲；调用Vendor正式Host API；保存raw返回/输出；清理完成状态；执行健康查询确认后续事务</x:v>
      </x:c>
      <x:c r="L44" s="18" t="str">
        <x:v>代表性合法参数、固定向量或可重复种子；地址/长度/权限满足合同</x:v>
      </x:c>
      <x:c r="M44" s="18" t="str">
        <x:v>仅在批准fixture执行；成功时结果和持久副作用完全符合合同；无fixture时为INCONCLUSIVE而不是跳过后PASS</x:v>
      </x:c>
      <x:c r="N44" s="18" t="str">
        <x:v>真实eHSM raw响应+输出+事务状态；不以Demo最终success打印替代子case判定</x:v>
      </x:c>
      <x:c r="O44" s="18" t="str">
        <x:v>P0</x:v>
      </x:c>
      <x:c r="P44" s="18" t="str">
        <x:v>L3_EMU_INTEGRATION</x:v>
      </x:c>
      <x:c r="Q44" s="18" t="str">
        <x:v>MEDIUM_HIGH</x:v>
      </x:c>
      <x:c r="R44" s="18" t="str">
        <x:v>WAVE4_CRYPTO_COMPAT_VENDOR</x:v>
      </x:c>
      <x:c r="S44" s="18" t="str">
        <x:v>GSP</x:v>
      </x:c>
      <x:c r="T44" s="18" t="str">
        <x:v>待移植</x:v>
      </x:c>
      <x:c r="U44" s="18" t="str">
        <x:v>PLANNED</x:v>
      </x:c>
      <x:c r="V44" s="18" t="str">
        <x:v>MUST_PASS_BASIC</x:v>
      </x:c>
      <x:c r="W44" s="18" t="str">
        <x:v>NEEDS_DEDICATED_FIXTURE_AND_APPROVAL</x:v>
      </x:c>
      <x:c r="X44" s="18" t="str">
        <x:v>eHSM FW 2.3.3-4019-6234423/inc/mb.h; SRC-0018; Host API/TRM; TASK-SEC-BAREMETAL-EHSM-001</x:v>
      </x:c>
    </x:row>
    <x:row r="45" ht="72" customHeight="1">
      <x:c r="A45" s="18" t="str">
        <x:v>MB-FW-042-BASIC</x:v>
      </x:c>
      <x:c r="B45" s="18" t="str">
        <x:v>BASIC</x:v>
      </x:c>
      <x:c r="C45" s="18" t="str">
        <x:v>COMMAND</x:v>
      </x:c>
      <x:c r="D45" s="18" t="str">
        <x:v>FW</x:v>
      </x:c>
      <x:c r="E45" s="18" t="str">
        <x:v>0xff24 (hex)</x:v>
      </x:c>
      <x:c r="F45" s="18" t="str">
        <x:v>MB_CMD_ID_FW_REG_RD</x:v>
      </x:c>
      <x:c r="G45" s="18" t="str">
        <x:v>1条批准的代表性合法向量；Vendor Demo已有算法/模式向量经二级盘点后参数化复用，不复制Demo总入口</x:v>
      </x:c>
      <x:c r="H45" s="18" t="str">
        <x:v>验证合法请求能够按命令合同完成，raw返回、输出和Mailbox事务闭环一致</x:v>
      </x:c>
      <x:c r="I45" s="18" t="str">
        <x:v>每条适用命令的流片前功能冒烟基线；不代表拒绝路径已经验证</x:v>
      </x:c>
      <x:c r="J45" s="18" t="str">
        <x:v>FW镜像与匹配Host版本已就绪；eHSM ready；使用批准输入</x:v>
      </x:c>
      <x:c r="K45" s="18" t="str">
        <x:v>准备合法输入；确认Mailbox空闲；调用Vendor正式Host API；保存raw返回/输出；清理完成状态；执行健康查询确认后续事务</x:v>
      </x:c>
      <x:c r="L45" s="18" t="str">
        <x:v>代表性合法参数、固定向量或可重复种子；地址/长度/权限满足合同</x:v>
      </x:c>
      <x:c r="M45" s="18" t="str">
        <x:v>返回成功；输出与批准oracle一致；Mailbox可清理并继续处理后续事务</x:v>
      </x:c>
      <x:c r="N45" s="18" t="str">
        <x:v>真实eHSM raw响应+输出+事务状态；不以Demo最终success打印替代子case判定</x:v>
      </x:c>
      <x:c r="O45" s="18" t="str">
        <x:v>P0</x:v>
      </x:c>
      <x:c r="P45" s="18" t="str">
        <x:v>L3_EMU_INTEGRATION</x:v>
      </x:c>
      <x:c r="Q45" s="18" t="str">
        <x:v>MEDIUM_HIGH</x:v>
      </x:c>
      <x:c r="R45" s="18" t="str">
        <x:v>WAVE4_CRYPTO_COMPAT_VENDOR</x:v>
      </x:c>
      <x:c r="S45" s="18" t="str">
        <x:v>GSP</x:v>
      </x:c>
      <x:c r="T45" s="18" t="str">
        <x:v>待移植</x:v>
      </x:c>
      <x:c r="U45" s="18" t="str">
        <x:v>PLANNED</x:v>
      </x:c>
      <x:c r="V45" s="18" t="str">
        <x:v>MUST_PASS_BASIC</x:v>
      </x:c>
      <x:c r="W45" s="18" t="str">
        <x:v>READY_AFTER_BASELINE</x:v>
      </x:c>
      <x:c r="X45" s="18" t="str">
        <x:v>eHSM FW 2.3.3-4019-6234423/inc/mb.h; SRC-0018; Host API/TRM; TASK-SEC-BAREMETAL-EHSM-001</x:v>
      </x:c>
    </x:row>
    <x:row r="46" ht="72" customHeight="1">
      <x:c r="A46" s="18" t="str">
        <x:v>MB-FW-043-BASIC</x:v>
      </x:c>
      <x:c r="B46" s="18" t="str">
        <x:v>BASIC</x:v>
      </x:c>
      <x:c r="C46" s="18" t="str">
        <x:v>COMMAND</x:v>
      </x:c>
      <x:c r="D46" s="18" t="str">
        <x:v>FW</x:v>
      </x:c>
      <x:c r="E46" s="18" t="str">
        <x:v>0xff10 (hex)</x:v>
      </x:c>
      <x:c r="F46" s="18" t="str">
        <x:v>MB_CMD_ID_EHSM_READ_VER</x:v>
      </x:c>
      <x:c r="G46" s="18" t="str">
        <x:v>1条批准的代表性合法向量；Vendor Demo已有算法/模式向量经二级盘点后参数化复用，不复制Demo总入口</x:v>
      </x:c>
      <x:c r="H46" s="18" t="str">
        <x:v>验证合法请求能够按命令合同完成，raw返回、输出和Mailbox事务闭环一致</x:v>
      </x:c>
      <x:c r="I46" s="18" t="str">
        <x:v>每条适用命令的流片前功能冒烟基线；不代表拒绝路径已经验证</x:v>
      </x:c>
      <x:c r="J46" s="18" t="str">
        <x:v>FW镜像与匹配Host版本已就绪；eHSM ready；使用批准输入</x:v>
      </x:c>
      <x:c r="K46" s="18" t="str">
        <x:v>准备合法输入；确认Mailbox空闲；调用Vendor正式Host API；保存raw返回/输出；清理完成状态；执行健康查询确认后续事务</x:v>
      </x:c>
      <x:c r="L46" s="18" t="str">
        <x:v>代表性合法参数、固定向量或可重复种子；地址/长度/权限满足合同</x:v>
      </x:c>
      <x:c r="M46" s="18" t="str">
        <x:v>返回成功；输出与批准oracle一致；Mailbox可清理并继续处理后续事务</x:v>
      </x:c>
      <x:c r="N46" s="18" t="str">
        <x:v>真实eHSM raw响应+输出+事务状态；不以Demo最终success打印替代子case判定</x:v>
      </x:c>
      <x:c r="O46" s="18" t="str">
        <x:v>P0</x:v>
      </x:c>
      <x:c r="P46" s="18" t="str">
        <x:v>L3_EMU_INTEGRATION</x:v>
      </x:c>
      <x:c r="Q46" s="18" t="str">
        <x:v>LOW</x:v>
      </x:c>
      <x:c r="R46" s="18" t="str">
        <x:v>WAVE0_DAY0_SMOKE</x:v>
      </x:c>
      <x:c r="S46" s="18" t="str">
        <x:v>GSP</x:v>
      </x:c>
      <x:c r="T46" s="18" t="str">
        <x:v>待移植</x:v>
      </x:c>
      <x:c r="U46" s="18" t="str">
        <x:v>PLANNED</x:v>
      </x:c>
      <x:c r="V46" s="18" t="str">
        <x:v>MUST_PASS_BASIC</x:v>
      </x:c>
      <x:c r="W46" s="18" t="str">
        <x:v>READY_AFTER_BASELINE</x:v>
      </x:c>
      <x:c r="X46" s="18" t="str">
        <x:v>eHSM FW 2.3.3-4019-6234423/inc/mb.h; SRC-0018; Host API/TRM; TASK-SEC-BAREMETAL-EHSM-001</x:v>
      </x:c>
    </x:row>
    <x:row r="47" ht="72" customHeight="1">
      <x:c r="A47" s="18" t="str">
        <x:v>MB-FW-044-BASIC</x:v>
      </x:c>
      <x:c r="B47" s="18" t="str">
        <x:v>BASIC</x:v>
      </x:c>
      <x:c r="C47" s="18" t="str">
        <x:v>COMMAND</x:v>
      </x:c>
      <x:c r="D47" s="18" t="str">
        <x:v>FW</x:v>
      </x:c>
      <x:c r="E47" s="18" t="str">
        <x:v>0xff26 (hex)</x:v>
      </x:c>
      <x:c r="F47" s="18" t="str">
        <x:v>MB_CMD_ID_ENTER_WFI</x:v>
      </x:c>
      <x:c r="G47" s="18" t="str">
        <x:v>1条批准的代表性合法向量；Vendor Demo已有算法/模式向量经二级盘点后参数化复用，不复制Demo总入口</x:v>
      </x:c>
      <x:c r="H47" s="18" t="str">
        <x:v>验证合法请求能够按命令合同完成，raw返回、输出和Mailbox事务闭环一致</x:v>
      </x:c>
      <x:c r="I47" s="18" t="str">
        <x:v>每条适用命令的流片前功能冒烟基线；不代表拒绝路径已经验证</x:v>
      </x:c>
      <x:c r="J47" s="18" t="str">
        <x:v>FW镜像与匹配Host版本已就绪；eHSM ready；使用批准输入</x:v>
      </x:c>
      <x:c r="K47" s="18" t="str">
        <x:v>准备合法输入；确认Mailbox空闲；调用Vendor正式Host API；保存raw返回/输出；清理完成状态；执行健康查询确认后续事务</x:v>
      </x:c>
      <x:c r="L47" s="18" t="str">
        <x:v>代表性合法参数、固定向量或可重复种子；地址/长度/权限满足合同</x:v>
      </x:c>
      <x:c r="M47" s="18" t="str">
        <x:v>返回成功；输出与批准oracle一致；Mailbox可清理并继续处理后续事务</x:v>
      </x:c>
      <x:c r="N47" s="18" t="str">
        <x:v>真实eHSM raw响应+输出+事务状态；不以Demo最终success打印替代子case判定</x:v>
      </x:c>
      <x:c r="O47" s="18" t="str">
        <x:v>P0</x:v>
      </x:c>
      <x:c r="P47" s="18" t="str">
        <x:v>L3_EMU_INTEGRATION</x:v>
      </x:c>
      <x:c r="Q47" s="18" t="str">
        <x:v>MEDIUM_HIGH</x:v>
      </x:c>
      <x:c r="R47" s="18" t="str">
        <x:v>WAVE4_CRYPTO_COMPAT_VENDOR</x:v>
      </x:c>
      <x:c r="S47" s="18" t="str">
        <x:v>GSP</x:v>
      </x:c>
      <x:c r="T47" s="18" t="str">
        <x:v>待移植</x:v>
      </x:c>
      <x:c r="U47" s="18" t="str">
        <x:v>PLANNED</x:v>
      </x:c>
      <x:c r="V47" s="18" t="str">
        <x:v>MUST_PASS_BASIC</x:v>
      </x:c>
      <x:c r="W47" s="18" t="str">
        <x:v>READY_AFTER_BASELINE</x:v>
      </x:c>
      <x:c r="X47" s="18" t="str">
        <x:v>eHSM FW 2.3.3-4019-6234423/inc/mb.h; SRC-0018; Host API/TRM; TASK-SEC-BAREMETAL-EHSM-001</x:v>
      </x:c>
    </x:row>
    <x:row r="48" ht="72" customHeight="1">
      <x:c r="A48" s="18" t="str">
        <x:v>MB-FW-045-BASIC</x:v>
      </x:c>
      <x:c r="B48" s="18" t="str">
        <x:v>BASIC</x:v>
      </x:c>
      <x:c r="C48" s="18" t="str">
        <x:v>COMMAND</x:v>
      </x:c>
      <x:c r="D48" s="18" t="str">
        <x:v>FW</x:v>
      </x:c>
      <x:c r="E48" s="18" t="str">
        <x:v>0x080d (hex)</x:v>
      </x:c>
      <x:c r="F48" s="18" t="str">
        <x:v>MB_CMD_ID_EHSM_GEN_KEY</x:v>
      </x:c>
      <x:c r="G48" s="18" t="str">
        <x:v>1条批准的代表性合法向量；Vendor Demo已有算法/模式向量经二级盘点后参数化复用，不复制Demo总入口</x:v>
      </x:c>
      <x:c r="H48" s="18" t="str">
        <x:v>验证合法请求能够按命令合同完成，raw返回、输出和Mailbox事务闭环一致</x:v>
      </x:c>
      <x:c r="I48" s="18" t="str">
        <x:v>每条适用命令的流片前功能冒烟基线；不代表拒绝路径已经验证</x:v>
      </x:c>
      <x:c r="J48" s="18" t="str">
        <x:v>FW镜像与匹配Host版本已就绪；eHSM ready；使用批准输入</x:v>
      </x:c>
      <x:c r="K48" s="18" t="str">
        <x:v>准备合法输入；确认Mailbox空闲；调用Vendor正式Host API；保存raw返回/输出；清理完成状态；执行健康查询确认后续事务</x:v>
      </x:c>
      <x:c r="L48" s="18" t="str">
        <x:v>代表性合法参数、固定向量或可重复种子；地址/长度/权限满足合同</x:v>
      </x:c>
      <x:c r="M48" s="18" t="str">
        <x:v>返回成功；输出与批准oracle一致；Mailbox可清理并继续处理后续事务</x:v>
      </x:c>
      <x:c r="N48" s="18" t="str">
        <x:v>真实eHSM raw响应+输出+事务状态；不以Demo最终success打印替代子case判定</x:v>
      </x:c>
      <x:c r="O48" s="18" t="str">
        <x:v>P0</x:v>
      </x:c>
      <x:c r="P48" s="18" t="str">
        <x:v>L3_EMU_INTEGRATION</x:v>
      </x:c>
      <x:c r="Q48" s="18" t="str">
        <x:v>MEDIUM_HIGH</x:v>
      </x:c>
      <x:c r="R48" s="18" t="str">
        <x:v>WAVE2_IDENTITY_KEY_PERMISSION</x:v>
      </x:c>
      <x:c r="S48" s="18" t="str">
        <x:v>GSP</x:v>
      </x:c>
      <x:c r="T48" s="18" t="str">
        <x:v>待移植</x:v>
      </x:c>
      <x:c r="U48" s="18" t="str">
        <x:v>PLANNED</x:v>
      </x:c>
      <x:c r="V48" s="18" t="str">
        <x:v>MUST_PASS_BASIC</x:v>
      </x:c>
      <x:c r="W48" s="18" t="str">
        <x:v>READY_AFTER_BASELINE</x:v>
      </x:c>
      <x:c r="X48" s="18" t="str">
        <x:v>eHSM FW 2.3.3-4019-6234423/inc/mb.h; SRC-0018; Host API/TRM; TASK-SEC-BAREMETAL-EHSM-001</x:v>
      </x:c>
    </x:row>
    <x:row r="49" ht="72" customHeight="1">
      <x:c r="A49" s="18" t="str">
        <x:v>MB-FW-046-BASIC</x:v>
      </x:c>
      <x:c r="B49" s="18" t="str">
        <x:v>BASIC</x:v>
      </x:c>
      <x:c r="C49" s="18" t="str">
        <x:v>COMMAND</x:v>
      </x:c>
      <x:c r="D49" s="18" t="str">
        <x:v>FW</x:v>
      </x:c>
      <x:c r="E49" s="18" t="str">
        <x:v>0x080e (hex)</x:v>
      </x:c>
      <x:c r="F49" s="18" t="str">
        <x:v>MB_CMD_ID_EHSM_KEY_DERIVE</x:v>
      </x:c>
      <x:c r="G49" s="18" t="str">
        <x:v>1条批准的代表性合法向量；Vendor Demo已有算法/模式向量经二级盘点后参数化复用，不复制Demo总入口</x:v>
      </x:c>
      <x:c r="H49" s="18" t="str">
        <x:v>验证合法请求能够按命令合同完成，raw返回、输出和Mailbox事务闭环一致</x:v>
      </x:c>
      <x:c r="I49" s="18" t="str">
        <x:v>每条适用命令的流片前功能冒烟基线；不代表拒绝路径已经验证</x:v>
      </x:c>
      <x:c r="J49" s="18" t="str">
        <x:v>FW镜像与匹配Host版本已就绪；eHSM ready；使用批准输入</x:v>
      </x:c>
      <x:c r="K49" s="18" t="str">
        <x:v>准备合法输入；确认Mailbox空闲；调用Vendor正式Host API；保存raw返回/输出；清理完成状态；执行健康查询确认后续事务</x:v>
      </x:c>
      <x:c r="L49" s="18" t="str">
        <x:v>代表性合法参数、固定向量或可重复种子；地址/长度/权限满足合同</x:v>
      </x:c>
      <x:c r="M49" s="18" t="str">
        <x:v>返回成功；输出与批准oracle一致；Mailbox可清理并继续处理后续事务</x:v>
      </x:c>
      <x:c r="N49" s="18" t="str">
        <x:v>真实eHSM raw响应+输出+事务状态；不以Demo最终success打印替代子case判定</x:v>
      </x:c>
      <x:c r="O49" s="18" t="str">
        <x:v>P0</x:v>
      </x:c>
      <x:c r="P49" s="18" t="str">
        <x:v>L3_EMU_INTEGRATION</x:v>
      </x:c>
      <x:c r="Q49" s="18" t="str">
        <x:v>MEDIUM_HIGH</x:v>
      </x:c>
      <x:c r="R49" s="18" t="str">
        <x:v>WAVE2_IDENTITY_KEY_PERMISSION</x:v>
      </x:c>
      <x:c r="S49" s="18" t="str">
        <x:v>GSP</x:v>
      </x:c>
      <x:c r="T49" s="18" t="str">
        <x:v>待移植</x:v>
      </x:c>
      <x:c r="U49" s="18" t="str">
        <x:v>PLANNED</x:v>
      </x:c>
      <x:c r="V49" s="18" t="str">
        <x:v>MUST_PASS_BASIC</x:v>
      </x:c>
      <x:c r="W49" s="18" t="str">
        <x:v>READY_AFTER_BASELINE</x:v>
      </x:c>
      <x:c r="X49" s="18" t="str">
        <x:v>eHSM FW 2.3.3-4019-6234423/inc/mb.h; SRC-0018; Host API/TRM; TASK-SEC-BAREMETAL-EHSM-001</x:v>
      </x:c>
    </x:row>
    <x:row r="50" ht="72" customHeight="1">
      <x:c r="A50" s="18" t="str">
        <x:v>MB-FW-047-BASIC</x:v>
      </x:c>
      <x:c r="B50" s="18" t="str">
        <x:v>BASIC</x:v>
      </x:c>
      <x:c r="C50" s="18" t="str">
        <x:v>COMMAND</x:v>
      </x:c>
      <x:c r="D50" s="18" t="str">
        <x:v>FW</x:v>
      </x:c>
      <x:c r="E50" s="18" t="str">
        <x:v>0x080f (hex)</x:v>
      </x:c>
      <x:c r="F50" s="18" t="str">
        <x:v>MB_CMD_ID_EHSM_KEY_EXCHANGE</x:v>
      </x:c>
      <x:c r="G50" s="18" t="str">
        <x:v>1条批准的代表性合法向量；Vendor Demo已有算法/模式向量经二级盘点后参数化复用，不复制Demo总入口</x:v>
      </x:c>
      <x:c r="H50" s="18" t="str">
        <x:v>验证合法请求能够按命令合同完成，raw返回、输出和Mailbox事务闭环一致</x:v>
      </x:c>
      <x:c r="I50" s="18" t="str">
        <x:v>每条适用命令的流片前功能冒烟基线；不代表拒绝路径已经验证</x:v>
      </x:c>
      <x:c r="J50" s="18" t="str">
        <x:v>FW镜像与匹配Host版本已就绪；eHSM ready；使用批准输入</x:v>
      </x:c>
      <x:c r="K50" s="18" t="str">
        <x:v>准备合法输入；确认Mailbox空闲；调用Vendor正式Host API；保存raw返回/输出；清理完成状态；执行健康查询确认后续事务</x:v>
      </x:c>
      <x:c r="L50" s="18" t="str">
        <x:v>代表性合法参数、固定向量或可重复种子；地址/长度/权限满足合同</x:v>
      </x:c>
      <x:c r="M50" s="18" t="str">
        <x:v>返回成功；输出与批准oracle一致；Mailbox可清理并继续处理后续事务</x:v>
      </x:c>
      <x:c r="N50" s="18" t="str">
        <x:v>真实eHSM raw响应+输出+事务状态；不以Demo最终success打印替代子case判定</x:v>
      </x:c>
      <x:c r="O50" s="18" t="str">
        <x:v>P0</x:v>
      </x:c>
      <x:c r="P50" s="18" t="str">
        <x:v>L3_EMU_INTEGRATION</x:v>
      </x:c>
      <x:c r="Q50" s="18" t="str">
        <x:v>MEDIUM_HIGH</x:v>
      </x:c>
      <x:c r="R50" s="18" t="str">
        <x:v>WAVE2_IDENTITY_KEY_PERMISSION</x:v>
      </x:c>
      <x:c r="S50" s="18" t="str">
        <x:v>GSP</x:v>
      </x:c>
      <x:c r="T50" s="18" t="str">
        <x:v>待移植</x:v>
      </x:c>
      <x:c r="U50" s="18" t="str">
        <x:v>PLANNED</x:v>
      </x:c>
      <x:c r="V50" s="18" t="str">
        <x:v>MUST_PASS_BASIC</x:v>
      </x:c>
      <x:c r="W50" s="18" t="str">
        <x:v>READY_AFTER_BASELINE</x:v>
      </x:c>
      <x:c r="X50" s="18" t="str">
        <x:v>eHSM FW 2.3.3-4019-6234423/inc/mb.h; SRC-0018; Host API/TRM; TASK-SEC-BAREMETAL-EHSM-001</x:v>
      </x:c>
    </x:row>
    <x:row r="51" ht="72" customHeight="1">
      <x:c r="A51" s="18" t="str">
        <x:v>MB-FW-048-BASIC</x:v>
      </x:c>
      <x:c r="B51" s="18" t="str">
        <x:v>BASIC</x:v>
      </x:c>
      <x:c r="C51" s="18" t="str">
        <x:v>COMMAND</x:v>
      </x:c>
      <x:c r="D51" s="18" t="str">
        <x:v>FW</x:v>
      </x:c>
      <x:c r="E51" s="18" t="str">
        <x:v>0x0801 (hex)</x:v>
      </x:c>
      <x:c r="F51" s="18" t="str">
        <x:v>MB_CMD_ID_EHSM_IMPORT_KEY</x:v>
      </x:c>
      <x:c r="G51" s="18" t="str">
        <x:v>1条批准的代表性合法向量；Vendor Demo已有算法/模式向量经二级盘点后参数化复用，不复制Demo总入口</x:v>
      </x:c>
      <x:c r="H51" s="18" t="str">
        <x:v>验证合法请求能够按命令合同完成，raw返回、输出和Mailbox事务闭环一致</x:v>
      </x:c>
      <x:c r="I51" s="18" t="str">
        <x:v>每条适用命令的流片前功能冒烟基线；不代表拒绝路径已经验证</x:v>
      </x:c>
      <x:c r="J51" s="18" t="str">
        <x:v>FW镜像与匹配Host版本已就绪；eHSM ready；使用批准输入</x:v>
      </x:c>
      <x:c r="K51" s="18" t="str">
        <x:v>准备合法输入；确认Mailbox空闲；调用Vendor正式Host API；保存raw返回/输出；清理完成状态；执行健康查询确认后续事务</x:v>
      </x:c>
      <x:c r="L51" s="18" t="str">
        <x:v>代表性合法参数、固定向量或可重复种子；地址/长度/权限满足合同</x:v>
      </x:c>
      <x:c r="M51" s="18" t="str">
        <x:v>返回成功；输出与批准oracle一致；Mailbox可清理并继续处理后续事务</x:v>
      </x:c>
      <x:c r="N51" s="18" t="str">
        <x:v>真实eHSM raw响应+输出+事务状态；不以Demo最终success打印替代子case判定</x:v>
      </x:c>
      <x:c r="O51" s="18" t="str">
        <x:v>P0</x:v>
      </x:c>
      <x:c r="P51" s="18" t="str">
        <x:v>L3_EMU_INTEGRATION</x:v>
      </x:c>
      <x:c r="Q51" s="18" t="str">
        <x:v>MEDIUM_HIGH</x:v>
      </x:c>
      <x:c r="R51" s="18" t="str">
        <x:v>WAVE2_IDENTITY_KEY_PERMISSION</x:v>
      </x:c>
      <x:c r="S51" s="18" t="str">
        <x:v>GSP</x:v>
      </x:c>
      <x:c r="T51" s="18" t="str">
        <x:v>待移植</x:v>
      </x:c>
      <x:c r="U51" s="18" t="str">
        <x:v>PLANNED</x:v>
      </x:c>
      <x:c r="V51" s="18" t="str">
        <x:v>MUST_PASS_BASIC</x:v>
      </x:c>
      <x:c r="W51" s="18" t="str">
        <x:v>READY_AFTER_BASELINE</x:v>
      </x:c>
      <x:c r="X51" s="18" t="str">
        <x:v>eHSM FW 2.3.3-4019-6234423/inc/mb.h; SRC-0018; Host API/TRM; TASK-SEC-BAREMETAL-EHSM-001</x:v>
      </x:c>
    </x:row>
    <x:row r="52" ht="72" customHeight="1">
      <x:c r="A52" s="18" t="str">
        <x:v>MB-FW-049-BASIC</x:v>
      </x:c>
      <x:c r="B52" s="18" t="str">
        <x:v>BASIC</x:v>
      </x:c>
      <x:c r="C52" s="18" t="str">
        <x:v>COMMAND</x:v>
      </x:c>
      <x:c r="D52" s="18" t="str">
        <x:v>FW</x:v>
      </x:c>
      <x:c r="E52" s="18" t="str">
        <x:v>0x0802 (hex)</x:v>
      </x:c>
      <x:c r="F52" s="18" t="str">
        <x:v>MB_CMD_ID_EHSM_EXPORT_KEY</x:v>
      </x:c>
      <x:c r="G52" s="18" t="str">
        <x:v>1条批准的代表性合法向量；Vendor Demo已有算法/模式向量经二级盘点后参数化复用，不复制Demo总入口</x:v>
      </x:c>
      <x:c r="H52" s="18" t="str">
        <x:v>验证合法请求能够按命令合同完成，raw返回、输出和Mailbox事务闭环一致</x:v>
      </x:c>
      <x:c r="I52" s="18" t="str">
        <x:v>每条适用命令的流片前功能冒烟基线；不代表拒绝路径已经验证</x:v>
      </x:c>
      <x:c r="J52" s="18" t="str">
        <x:v>FW镜像与匹配Host版本已就绪；eHSM ready；使用批准输入</x:v>
      </x:c>
      <x:c r="K52" s="18" t="str">
        <x:v>准备合法输入；确认Mailbox空闲；调用Vendor正式Host API；保存raw返回/输出；清理完成状态；执行健康查询确认后续事务</x:v>
      </x:c>
      <x:c r="L52" s="18" t="str">
        <x:v>代表性合法参数、固定向量或可重复种子；地址/长度/权限满足合同</x:v>
      </x:c>
      <x:c r="M52" s="18" t="str">
        <x:v>返回成功；输出与批准oracle一致；Mailbox可清理并继续处理后续事务</x:v>
      </x:c>
      <x:c r="N52" s="18" t="str">
        <x:v>真实eHSM raw响应+输出+事务状态；不以Demo最终success打印替代子case判定</x:v>
      </x:c>
      <x:c r="O52" s="18" t="str">
        <x:v>P0</x:v>
      </x:c>
      <x:c r="P52" s="18" t="str">
        <x:v>L3_EMU_INTEGRATION</x:v>
      </x:c>
      <x:c r="Q52" s="18" t="str">
        <x:v>MEDIUM_HIGH</x:v>
      </x:c>
      <x:c r="R52" s="18" t="str">
        <x:v>WAVE2_IDENTITY_KEY_PERMISSION</x:v>
      </x:c>
      <x:c r="S52" s="18" t="str">
        <x:v>GSP</x:v>
      </x:c>
      <x:c r="T52" s="18" t="str">
        <x:v>待移植</x:v>
      </x:c>
      <x:c r="U52" s="18" t="str">
        <x:v>PLANNED</x:v>
      </x:c>
      <x:c r="V52" s="18" t="str">
        <x:v>MUST_PASS_BASIC</x:v>
      </x:c>
      <x:c r="W52" s="18" t="str">
        <x:v>READY_AFTER_BASELINE</x:v>
      </x:c>
      <x:c r="X52" s="18" t="str">
        <x:v>eHSM FW 2.3.3-4019-6234423/inc/mb.h; SRC-0018; Host API/TRM; TASK-SEC-BAREMETAL-EHSM-001</x:v>
      </x:c>
    </x:row>
    <x:row r="53" ht="72" customHeight="1">
      <x:c r="A53" s="18" t="str">
        <x:v>MB-FW-050-BASIC</x:v>
      </x:c>
      <x:c r="B53" s="18" t="str">
        <x:v>BASIC</x:v>
      </x:c>
      <x:c r="C53" s="18" t="str">
        <x:v>COMMAND</x:v>
      </x:c>
      <x:c r="D53" s="18" t="str">
        <x:v>FW</x:v>
      </x:c>
      <x:c r="E53" s="18" t="str">
        <x:v>0x0806 (hex)</x:v>
      </x:c>
      <x:c r="F53" s="18" t="str">
        <x:v>MB_CMD_ID_EHSM_REMOVE_KEY</x:v>
      </x:c>
      <x:c r="G53" s="18" t="str">
        <x:v>1条批准的代表性合法向量；Vendor Demo已有算法/模式向量经二级盘点后参数化复用，不复制Demo总入口</x:v>
      </x:c>
      <x:c r="H53" s="18" t="str">
        <x:v>验证合法请求能够按命令合同完成，raw返回、输出和Mailbox事务闭环一致</x:v>
      </x:c>
      <x:c r="I53" s="18" t="str">
        <x:v>每条适用命令的流片前功能冒烟基线；不代表拒绝路径已经验证</x:v>
      </x:c>
      <x:c r="J53" s="18" t="str">
        <x:v>FW镜像与匹配Host版本已就绪；eHSM ready；使用批准输入；危险/不可逆命令使用专用fixture并获批准</x:v>
      </x:c>
      <x:c r="K53" s="18" t="str">
        <x:v>准备合法输入；确认Mailbox空闲；调用Vendor正式Host API；保存raw返回/输出；清理完成状态；执行健康查询确认后续事务</x:v>
      </x:c>
      <x:c r="L53" s="18" t="str">
        <x:v>代表性合法参数、固定向量或可重复种子；地址/长度/权限满足合同</x:v>
      </x:c>
      <x:c r="M53" s="18" t="str">
        <x:v>仅在批准fixture执行；成功时结果和持久副作用完全符合合同；无fixture时为INCONCLUSIVE而不是跳过后PASS</x:v>
      </x:c>
      <x:c r="N53" s="18" t="str">
        <x:v>真实eHSM raw响应+输出+事务状态；不以Demo最终success打印替代子case判定</x:v>
      </x:c>
      <x:c r="O53" s="18" t="str">
        <x:v>P0</x:v>
      </x:c>
      <x:c r="P53" s="18" t="str">
        <x:v>L3_EMU_INTEGRATION</x:v>
      </x:c>
      <x:c r="Q53" s="18" t="str">
        <x:v>MEDIUM_HIGH</x:v>
      </x:c>
      <x:c r="R53" s="18" t="str">
        <x:v>WAVE2_IDENTITY_KEY_PERMISSION</x:v>
      </x:c>
      <x:c r="S53" s="18" t="str">
        <x:v>GSP</x:v>
      </x:c>
      <x:c r="T53" s="18" t="str">
        <x:v>待移植</x:v>
      </x:c>
      <x:c r="U53" s="18" t="str">
        <x:v>PLANNED</x:v>
      </x:c>
      <x:c r="V53" s="18" t="str">
        <x:v>MUST_PASS_BASIC</x:v>
      </x:c>
      <x:c r="W53" s="18" t="str">
        <x:v>NEEDS_DEDICATED_FIXTURE_AND_APPROVAL</x:v>
      </x:c>
      <x:c r="X53" s="18" t="str">
        <x:v>eHSM FW 2.3.3-4019-6234423/inc/mb.h; SRC-0018; Host API/TRM; TASK-SEC-BAREMETAL-EHSM-001</x:v>
      </x:c>
    </x:row>
    <x:row r="54" ht="72" customHeight="1">
      <x:c r="A54" s="18" t="str">
        <x:v>MB-FW-051-BASIC</x:v>
      </x:c>
      <x:c r="B54" s="18" t="str">
        <x:v>BASIC</x:v>
      </x:c>
      <x:c r="C54" s="18" t="str">
        <x:v>COMMAND</x:v>
      </x:c>
      <x:c r="D54" s="18" t="str">
        <x:v>FW</x:v>
      </x:c>
      <x:c r="E54" s="18" t="str">
        <x:v>0x0805 (hex)</x:v>
      </x:c>
      <x:c r="F54" s="18" t="str">
        <x:v>MB_CMD_ID_EHSM_GET_PUB_FROM_PRIV</x:v>
      </x:c>
      <x:c r="G54" s="18" t="str">
        <x:v>1条批准的代表性合法向量；Vendor Demo已有算法/模式向量经二级盘点后参数化复用，不复制Demo总入口</x:v>
      </x:c>
      <x:c r="H54" s="18" t="str">
        <x:v>验证合法请求能够按命令合同完成，raw返回、输出和Mailbox事务闭环一致</x:v>
      </x:c>
      <x:c r="I54" s="18" t="str">
        <x:v>每条适用命令的流片前功能冒烟基线；不代表拒绝路径已经验证</x:v>
      </x:c>
      <x:c r="J54" s="18" t="str">
        <x:v>FW镜像与匹配Host版本已就绪；eHSM ready；使用批准输入</x:v>
      </x:c>
      <x:c r="K54" s="18" t="str">
        <x:v>准备合法输入；确认Mailbox空闲；调用Vendor正式Host API；保存raw返回/输出；清理完成状态；执行健康查询确认后续事务</x:v>
      </x:c>
      <x:c r="L54" s="18" t="str">
        <x:v>代表性合法参数、固定向量或可重复种子；地址/长度/权限满足合同</x:v>
      </x:c>
      <x:c r="M54" s="18" t="str">
        <x:v>返回成功；输出与批准oracle一致；Mailbox可清理并继续处理后续事务</x:v>
      </x:c>
      <x:c r="N54" s="18" t="str">
        <x:v>真实eHSM raw响应+输出+事务状态；不以Demo最终success打印替代子case判定</x:v>
      </x:c>
      <x:c r="O54" s="18" t="str">
        <x:v>P0</x:v>
      </x:c>
      <x:c r="P54" s="18" t="str">
        <x:v>L3_EMU_INTEGRATION</x:v>
      </x:c>
      <x:c r="Q54" s="18" t="str">
        <x:v>LOW</x:v>
      </x:c>
      <x:c r="R54" s="18" t="str">
        <x:v>WAVE4_CRYPTO_COMPAT_VENDOR</x:v>
      </x:c>
      <x:c r="S54" s="18" t="str">
        <x:v>GSP</x:v>
      </x:c>
      <x:c r="T54" s="18" t="str">
        <x:v>待移植</x:v>
      </x:c>
      <x:c r="U54" s="18" t="str">
        <x:v>PLANNED</x:v>
      </x:c>
      <x:c r="V54" s="18" t="str">
        <x:v>MUST_PASS_BASIC</x:v>
      </x:c>
      <x:c r="W54" s="18" t="str">
        <x:v>READY_AFTER_BASELINE</x:v>
      </x:c>
      <x:c r="X54" s="18" t="str">
        <x:v>eHSM FW 2.3.3-4019-6234423/inc/mb.h; SRC-0018; Host API/TRM; TASK-SEC-BAREMETAL-EHSM-001</x:v>
      </x:c>
    </x:row>
    <x:row r="55" ht="72" customHeight="1">
      <x:c r="A55" s="18" t="str">
        <x:v>MB-FW-052-BASIC</x:v>
      </x:c>
      <x:c r="B55" s="18" t="str">
        <x:v>BASIC</x:v>
      </x:c>
      <x:c r="C55" s="18" t="str">
        <x:v>COMMAND</x:v>
      </x:c>
      <x:c r="D55" s="18" t="str">
        <x:v>FW</x:v>
      </x:c>
      <x:c r="E55" s="18" t="str">
        <x:v>0xfffe (hex)</x:v>
      </x:c>
      <x:c r="F55" s="18" t="str">
        <x:v>MB_CMD_ID_OTP_WRITE_FOR_TEST</x:v>
      </x:c>
      <x:c r="G55" s="18" t="str">
        <x:v>1条批准的代表性合法向量；Vendor Demo已有算法/模式向量经二级盘点后参数化复用，不复制Demo总入口</x:v>
      </x:c>
      <x:c r="H55" s="18" t="str">
        <x:v>验证合法请求能够按命令合同完成，raw返回、输出和Mailbox事务闭环一致</x:v>
      </x:c>
      <x:c r="I55" s="18" t="str">
        <x:v>每条适用命令的流片前功能冒烟基线；不代表拒绝路径已经验证</x:v>
      </x:c>
      <x:c r="J55" s="18" t="str">
        <x:v>FW镜像与匹配Host版本已就绪；eHSM ready；使用批准输入；危险/不可逆命令使用专用fixture并获批准</x:v>
      </x:c>
      <x:c r="K55" s="18" t="str">
        <x:v>准备合法输入；确认Mailbox空闲；调用Vendor正式Host API；保存raw返回/输出；清理完成状态；执行健康查询确认后续事务</x:v>
      </x:c>
      <x:c r="L55" s="18" t="str">
        <x:v>代表性合法参数、固定向量或可重复种子；地址/长度/权限满足合同</x:v>
      </x:c>
      <x:c r="M55" s="18" t="str">
        <x:v>仅在批准fixture执行；成功时结果和持久副作用完全符合合同；无fixture时为INCONCLUSIVE而不是跳过后PASS</x:v>
      </x:c>
      <x:c r="N55" s="18" t="str">
        <x:v>真实eHSM raw响应+输出+事务状态；不以Demo最终success打印替代子case判定</x:v>
      </x:c>
      <x:c r="O55" s="18" t="str">
        <x:v>P0</x:v>
      </x:c>
      <x:c r="P55" s="18" t="str">
        <x:v>L3_EMU_INTEGRATION</x:v>
      </x:c>
      <x:c r="Q55" s="18" t="str">
        <x:v>HIGH</x:v>
      </x:c>
      <x:c r="R55" s="18" t="str">
        <x:v>WAVE1_ROOT_OF_TRUST</x:v>
      </x:c>
      <x:c r="S55" s="18" t="str">
        <x:v>GSP</x:v>
      </x:c>
      <x:c r="T55" s="18" t="str">
        <x:v>待移植</x:v>
      </x:c>
      <x:c r="U55" s="18" t="str">
        <x:v>PLANNED</x:v>
      </x:c>
      <x:c r="V55" s="18" t="str">
        <x:v>DEDICATED_FIXTURE_OR_INCONCLUSIVE</x:v>
      </x:c>
      <x:c r="W55" s="18" t="str">
        <x:v>NEEDS_DEDICATED_FIXTURE_AND_APPROVAL</x:v>
      </x:c>
      <x:c r="X55" s="18" t="str">
        <x:v>eHSM FW 2.3.3-4019-6234423/inc/mb.h; SRC-0018; Host API/TRM; TASK-SEC-BAREMETAL-EHSM-001</x:v>
      </x:c>
    </x:row>
    <x:row r="56" ht="72" customHeight="1">
      <x:c r="A56" s="18" t="str">
        <x:v>EHSM-NEG-VERIFY-001</x:v>
      </x:c>
      <x:c r="B56" s="18" t="str">
        <x:v>EHSM_NEGATIVE</x:v>
      </x:c>
      <x:c r="C56" s="18" t="str">
        <x:v>EHSM_FIRMWARE_OR_HARDWARE</x:v>
      </x:c>
      <x:c r="D56" s="18" t="str">
        <x:v>BL/FW</x:v>
      </x:c>
      <x:c r="E56" s="18" t="str">
        <x:v>N/A</x:v>
      </x:c>
      <x:c r="F56" s="18" t="str">
        <x:v>MB_CMD_ID_BL_VERIFY_IMAGE</x:v>
      </x:c>
      <x:c r="G56" s="18" t="str">
        <x:v>从可通过的golden镜像分别翻转签名1 bit、payload 1 bit、摘要相关字段1 bit；结构和地址保持合法</x:v>
      </x:c>
      <x:c r="H56" s="18" t="str">
        <x:v>验证eHSM BL不会接受被篡改镜像</x:v>
      </x:c>
      <x:c r="I56" s="18" t="str">
        <x:v>验证对象是eHSM固件/硬件拒绝路径；Host仅负责构造并提交刺激。必须证明请求已到达eHSM，不能把Host本地拒绝当作本用例PASS。</x:v>
      </x:c>
      <x:c r="J56" s="18" t="str">
        <x:v>golden镜像和签名链可用；boot_after_verify关闭或使用可恢复fixture</x:v>
      </x:c>
      <x:c r="K56" s="18" t="str">
        <x:v>先验证golden通过；逐vector篡改后重新提交；记录raw返回、目标区域、boot/release和counter状态；最后重新验证golden</x:v>
      </x:c>
      <x:c r="L56" s="18" t="str">
        <x:v>从可通过的golden镜像分别翻转签名1 bit、payload 1 bit、摘要相关字段1 bit；结构和地址保持合法</x:v>
      </x:c>
      <x:c r="M56" s="18" t="str">
        <x:v>篡改vector均不得验证成功、复制/启动/release或推进counter；golden复测仍成功</x:v>
      </x:c>
      <x:c r="N56" s="18" t="str">
        <x:v>eHSM明确返回验签失败或等价的批准拒绝码；Evidence必须包含Mailbox已提交/命令ID/raw eHSM响应，随后执行健康BASIC证明服务未失效</x:v>
      </x:c>
      <x:c r="O56" s="18" t="str">
        <x:v>P0</x:v>
      </x:c>
      <x:c r="P56" s="18" t="str">
        <x:v>L3_EMU_INTEGRATION</x:v>
      </x:c>
      <x:c r="Q56" s="18" t="str">
        <x:v>HIGH</x:v>
      </x:c>
      <x:c r="R56" s="18" t="str">
        <x:v>WAVE1_ROOT_OF_TRUST</x:v>
      </x:c>
      <x:c r="S56" s="18" t="str">
        <x:v>GSP</x:v>
      </x:c>
      <x:c r="T56" s="18" t="str">
        <x:v>待移植</x:v>
      </x:c>
      <x:c r="U56" s="18" t="str">
        <x:v>PLANNED</x:v>
      </x:c>
      <x:c r="V56" s="18" t="str">
        <x:v>MUST_PASS_IF_CONTRACT_AND_FIXTURE_AVAILABLE; OTHERWISE INCONCLUSIVE_WITH_OWNER</x:v>
      </x:c>
      <x:c r="W56" s="18" t="str">
        <x:v>NEEDS_SIGNED_IMAGE_CORPUS</x:v>
      </x:c>
      <x:c r="X56" s="18" t="str">
        <x:v>SRC-0012/SRC-0014/SRC-0018; ADR-0014/0019/0024</x:v>
      </x:c>
    </x:row>
    <x:row r="57" ht="72" customHeight="1">
      <x:c r="A57" s="18" t="str">
        <x:v>EHSM-NEG-VERIFY-002</x:v>
      </x:c>
      <x:c r="B57" s="18" t="str">
        <x:v>EHSM_NEGATIVE</x:v>
      </x:c>
      <x:c r="C57" s="18" t="str">
        <x:v>EHSM_FIRMWARE_OR_HARDWARE</x:v>
      </x:c>
      <x:c r="D57" s="18" t="str">
        <x:v>BL/FW</x:v>
      </x:c>
      <x:c r="E57" s="18" t="str">
        <x:v>N/A</x:v>
      </x:c>
      <x:c r="F57" s="18" t="str">
        <x:v>MB_CMD_ID_SOC_VERIFY</x:v>
      </x:c>
      <x:c r="G57" s="18" t="str">
        <x:v>错误签名、payload篡改、低于已提交值的rollback counter（仅在专用counter fixture）</x:v>
      </x:c>
      <x:c r="H57" s="18" t="str">
        <x:v>验证eHSM FW的SoC Verify失败关闭</x:v>
      </x:c>
      <x:c r="I57" s="18" t="str">
        <x:v>验证对象是eHSM固件/硬件拒绝路径；Host仅负责构造并提交刺激。必须证明请求已到达eHSM，不能把Host本地拒绝当作本用例PASS。</x:v>
      </x:c>
      <x:c r="J57" s="18" t="str">
        <x:v>golden SoC包可通过；回滚vector仅在可恢复/专用计数器环境执行</x:v>
      </x:c>
      <x:c r="K57" s="18" t="str">
        <x:v>先执行golden；逐vector提交；读取raw返回、release/Measurement/counter；最后复测golden</x:v>
      </x:c>
      <x:c r="L57" s="18" t="str">
        <x:v>错误签名、payload篡改、低于已提交值的rollback counter（仅在专用counter fixture）</x:v>
      </x:c>
      <x:c r="M57" s="18" t="str">
        <x:v>错误签名/摘要不得通过、release或提交Measurement；回滚vector不得推进counter；golden复测成功</x:v>
      </x:c>
      <x:c r="N57" s="18" t="str">
        <x:v>eHSM返回verify failed/rollback拒绝的批准raw结果；Evidence必须包含Mailbox已提交/命令ID/raw eHSM响应，随后执行健康BASIC证明服务未失效</x:v>
      </x:c>
      <x:c r="O57" s="18" t="str">
        <x:v>P0</x:v>
      </x:c>
      <x:c r="P57" s="18" t="str">
        <x:v>L3_EMU_INTEGRATION</x:v>
      </x:c>
      <x:c r="Q57" s="18" t="str">
        <x:v>HIGH</x:v>
      </x:c>
      <x:c r="R57" s="18" t="str">
        <x:v>WAVE1_ROOT_OF_TRUST</x:v>
      </x:c>
      <x:c r="S57" s="18" t="str">
        <x:v>GSP</x:v>
      </x:c>
      <x:c r="T57" s="18" t="str">
        <x:v>待移植</x:v>
      </x:c>
      <x:c r="U57" s="18" t="str">
        <x:v>PLANNED</x:v>
      </x:c>
      <x:c r="V57" s="18" t="str">
        <x:v>MUST_PASS_IF_CONTRACT_AND_FIXTURE_AVAILABLE; OTHERWISE INCONCLUSIVE_WITH_OWNER</x:v>
      </x:c>
      <x:c r="W57" s="18" t="str">
        <x:v>NEEDS_SIGNED_SOC_PACKAGE_AND_COUNTER_FIXTURE</x:v>
      </x:c>
      <x:c r="X57" s="18" t="str">
        <x:v>SRC-0016/SRC-0017/SRC-0018; ADR-0014/0019/0024</x:v>
      </x:c>
    </x:row>
    <x:row r="58" ht="72" customHeight="1">
      <x:c r="A58" s="18" t="str">
        <x:v>EHSM-NEG-UPGRADE-001</x:v>
      </x:c>
      <x:c r="B58" s="18" t="str">
        <x:v>EHSM_NEGATIVE</x:v>
      </x:c>
      <x:c r="C58" s="18" t="str">
        <x:v>EHSM_FIRMWARE_OR_HARDWARE</x:v>
      </x:c>
      <x:c r="D58" s="18" t="str">
        <x:v>BL/FW</x:v>
      </x:c>
      <x:c r="E58" s="18" t="str">
        <x:v>N/A</x:v>
      </x:c>
      <x:c r="F58" s="18" t="str">
        <x:v>MB_CMD_ID_BL_FW_UPGRADE</x:v>
      </x:c>
      <x:c r="G58" s="18" t="str">
        <x:v>golden升级包的签名、payload、header长度或counter各单点篡改；只使用能真实送达eHSM的vector</x:v>
      </x:c>
      <x:c r="H58" s="18" t="str">
        <x:v>验证eHSM BL升级服务不写入或激活未认证固件</x:v>
      </x:c>
      <x:c r="I58" s="18" t="str">
        <x:v>验证对象是eHSM固件/硬件拒绝路径；Host仅负责构造并提交刺激。必须证明请求已到达eHSM，不能把Host本地拒绝当作本用例PASS。</x:v>
      </x:c>
      <x:c r="J58" s="18" t="str">
        <x:v>专用可恢复升级fixture；active/inactive与counter基线可观测</x:v>
      </x:c>
      <x:c r="K58" s="18" t="str">
        <x:v>记录基线；提交篡改包；读取raw返回和Flash/counter/active状态；复位后确认旧版本仍可启动</x:v>
      </x:c>
      <x:c r="L58" s="18" t="str">
        <x:v>golden升级包的签名、payload、header长度或counter各单点篡改；只使用能真实送达eHSM的vector</x:v>
      </x:c>
      <x:c r="M58" s="18" t="str">
        <x:v>篡改包拒绝；不改active内容、不激活、不推进counter；旧版本保持可启动</x:v>
      </x:c>
      <x:c r="N58" s="18" t="str">
        <x:v>raw eHSM拒绝 + Flash/counter/版本无副作用；Evidence必须包含Mailbox已提交/命令ID/raw eHSM响应，随后执行健康BASIC证明服务未失效</x:v>
      </x:c>
      <x:c r="O58" s="18" t="str">
        <x:v>P0</x:v>
      </x:c>
      <x:c r="P58" s="18" t="str">
        <x:v>L3_EMU_INTEGRATION</x:v>
      </x:c>
      <x:c r="Q58" s="18" t="str">
        <x:v>HIGH</x:v>
      </x:c>
      <x:c r="R58" s="18" t="str">
        <x:v>WAVE1_ROOT_OF_TRUST</x:v>
      </x:c>
      <x:c r="S58" s="18" t="str">
        <x:v>GSP</x:v>
      </x:c>
      <x:c r="T58" s="18" t="str">
        <x:v>待移植</x:v>
      </x:c>
      <x:c r="U58" s="18" t="str">
        <x:v>PLANNED</x:v>
      </x:c>
      <x:c r="V58" s="18" t="str">
        <x:v>MUST_PASS_IF_CONTRACT_AND_FIXTURE_AVAILABLE; OTHERWISE INCONCLUSIVE_WITH_OWNER</x:v>
      </x:c>
      <x:c r="W58" s="18" t="str">
        <x:v>NEEDS_RECOVERABLE_UPGRADE_FIXTURE</x:v>
      </x:c>
      <x:c r="X58" s="18" t="str">
        <x:v>SRC-0012/SRC-0018; ADR-0014/0019/0024</x:v>
      </x:c>
    </x:row>
    <x:row r="59" ht="72" customHeight="1">
      <x:c r="A59" s="18" t="str">
        <x:v>EHSM-NEG-UPGRADE-002</x:v>
      </x:c>
      <x:c r="B59" s="18" t="str">
        <x:v>EHSM_NEGATIVE</x:v>
      </x:c>
      <x:c r="C59" s="18" t="str">
        <x:v>EHSM_FIRMWARE_OR_HARDWARE</x:v>
      </x:c>
      <x:c r="D59" s="18" t="str">
        <x:v>BL/FW</x:v>
      </x:c>
      <x:c r="E59" s="18" t="str">
        <x:v>N/A</x:v>
      </x:c>
      <x:c r="F59" s="18" t="str">
        <x:v>MB_CMD_ID_FW_UPGRADE</x:v>
      </x:c>
      <x:c r="G59" s="18" t="str">
        <x:v>golden升级包的签名、payload、header或counter单点篡改</x:v>
      </x:c>
      <x:c r="H59" s="18" t="str">
        <x:v>验证eHSM FW升级服务失败关闭</x:v>
      </x:c>
      <x:c r="I59" s="18" t="str">
        <x:v>验证对象是eHSM固件/硬件拒绝路径；Host仅负责构造并提交刺激。必须证明请求已到达eHSM，不能把Host本地拒绝当作本用例PASS。</x:v>
      </x:c>
      <x:c r="J59" s="18" t="str">
        <x:v>专用可恢复升级fixture；目标slot、active状态和counter可观测</x:v>
      </x:c>
      <x:c r="K59" s="18" t="str">
        <x:v>记录基线；逐vector提交；检查raw返回、目标slot/counter；复位后复核版本</x:v>
      </x:c>
      <x:c r="L59" s="18" t="str">
        <x:v>golden升级包的签名、payload、header或counter单点篡改</x:v>
      </x:c>
      <x:c r="M59" s="18" t="str">
        <x:v>篡改包拒绝；不写入有效候选、不切active、不推进counter、不silent fallback</x:v>
      </x:c>
      <x:c r="N59" s="18" t="str">
        <x:v>raw eHSM拒绝 + 持久化状态无副作用；Evidence必须包含Mailbox已提交/命令ID/raw eHSM响应，随后执行健康BASIC证明服务未失效</x:v>
      </x:c>
      <x:c r="O59" s="18" t="str">
        <x:v>P0</x:v>
      </x:c>
      <x:c r="P59" s="18" t="str">
        <x:v>L3_EMU_INTEGRATION</x:v>
      </x:c>
      <x:c r="Q59" s="18" t="str">
        <x:v>HIGH</x:v>
      </x:c>
      <x:c r="R59" s="18" t="str">
        <x:v>WAVE1_ROOT_OF_TRUST</x:v>
      </x:c>
      <x:c r="S59" s="18" t="str">
        <x:v>GSP</x:v>
      </x:c>
      <x:c r="T59" s="18" t="str">
        <x:v>待移植</x:v>
      </x:c>
      <x:c r="U59" s="18" t="str">
        <x:v>PLANNED</x:v>
      </x:c>
      <x:c r="V59" s="18" t="str">
        <x:v>MUST_PASS_IF_CONTRACT_AND_FIXTURE_AVAILABLE; OTHERWISE INCONCLUSIVE_WITH_OWNER</x:v>
      </x:c>
      <x:c r="W59" s="18" t="str">
        <x:v>NEEDS_RECOVERABLE_UPGRADE_FIXTURE</x:v>
      </x:c>
      <x:c r="X59" s="18" t="str">
        <x:v>SRC-0018; ADR-0014/0019/0024</x:v>
      </x:c>
    </x:row>
    <x:row r="60" ht="72" customHeight="1">
      <x:c r="A60" s="18" t="str">
        <x:v>EHSM-NEG-CRYPTO-001</x:v>
      </x:c>
      <x:c r="B60" s="18" t="str">
        <x:v>EHSM_NEGATIVE</x:v>
      </x:c>
      <x:c r="C60" s="18" t="str">
        <x:v>EHSM_FIRMWARE_OR_HARDWARE</x:v>
      </x:c>
      <x:c r="D60" s="18" t="str">
        <x:v>BL/FW</x:v>
      </x:c>
      <x:c r="E60" s="18" t="str">
        <x:v>N/A</x:v>
      </x:c>
      <x:c r="F60" s="18" t="str">
        <x:v>MB_CMD_ID_SM2_SIGN / MB_CMD_ID_RSA_SIGN / MB_CMD_ID_ECDSA</x:v>
      </x:c>
      <x:c r="G60" s="18" t="str">
        <x:v>每个算法先生成/取得正确签名，再分别翻转签名1 bit和消息1 bit</x:v>
      </x:c>
      <x:c r="H60" s="18" t="str">
        <x:v>验证eHSM SM2/RSA/ECDSA验证不会接受错误签名</x:v>
      </x:c>
      <x:c r="I60" s="18" t="str">
        <x:v>验证对象是eHSM固件/硬件拒绝路径；Host仅负责构造并提交刺激。必须证明请求已到达eHSM，不能把Host本地拒绝当作本用例PASS。</x:v>
      </x:c>
      <x:c r="J60" s="18" t="str">
        <x:v>公开测试key和消息可用；使用Vendor正式verify API</x:v>
      </x:c>
      <x:c r="K60" s="18" t="str">
        <x:v>正确签名先验证为true；逐vector提交错误签名/消息；记录ret、verify_result和raw响应；最后复测正确签名</x:v>
      </x:c>
      <x:c r="L60" s="18" t="str">
        <x:v>每个算法先生成/取得正确签名，再分别翻转签名1 bit和消息1 bit</x:v>
      </x:c>
      <x:c r="M60" s="18" t="str">
        <x:v>错误vector的verify_result=false或返回文档化验签失败，绝不能为true；正确签名复测为true</x:v>
      </x:c>
      <x:c r="N60" s="18" t="str">
        <x:v>eHSM返回的verify_result/raw结果，而非Host自行比较；Evidence必须包含Mailbox已提交/命令ID/raw eHSM响应，随后执行健康BASIC证明服务未失效</x:v>
      </x:c>
      <x:c r="O60" s="18" t="str">
        <x:v>P0</x:v>
      </x:c>
      <x:c r="P60" s="18" t="str">
        <x:v>L3_EMU_INTEGRATION</x:v>
      </x:c>
      <x:c r="Q60" s="18" t="str">
        <x:v>MEDIUM_HIGH</x:v>
      </x:c>
      <x:c r="R60" s="18" t="str">
        <x:v>WAVE4_CRYPTO_COMPAT_VENDOR</x:v>
      </x:c>
      <x:c r="S60" s="18" t="str">
        <x:v>GSP</x:v>
      </x:c>
      <x:c r="T60" s="18" t="str">
        <x:v>待移植</x:v>
      </x:c>
      <x:c r="U60" s="18" t="str">
        <x:v>PLANNED</x:v>
      </x:c>
      <x:c r="V60" s="18" t="str">
        <x:v>MUST_PASS_IF_CONTRACT_AND_FIXTURE_AVAILABLE; OTHERWISE INCONCLUSIVE_WITH_OWNER</x:v>
      </x:c>
      <x:c r="W60" s="18" t="str">
        <x:v>READY_AFTER_VENDOR_VERIFY_API_PORT</x:v>
      </x:c>
      <x:c r="X60" s="18" t="str">
        <x:v>SRC-0014/SRC-0018; Vendor PKE Demo</x:v>
      </x:c>
    </x:row>
    <x:row r="61" ht="72" customHeight="1">
      <x:c r="A61" s="18" t="str">
        <x:v>EHSM-NEG-CRYPTO-002</x:v>
      </x:c>
      <x:c r="B61" s="18" t="str">
        <x:v>EHSM_NEGATIVE</x:v>
      </x:c>
      <x:c r="C61" s="18" t="str">
        <x:v>EHSM_FIRMWARE_OR_HARDWARE</x:v>
      </x:c>
      <x:c r="D61" s="18" t="str">
        <x:v>BL/FW</x:v>
      </x:c>
      <x:c r="E61" s="18" t="str">
        <x:v>N/A</x:v>
      </x:c>
      <x:c r="F61" s="18" t="str">
        <x:v>MB_CMD_ID_MAC / MB_CMD_ID_HMAC</x:v>
      </x:c>
      <x:c r="G61" s="18" t="str">
        <x:v>正确MAC/HMAC基线；翻转认证值1 bit和消息1 bit</x:v>
      </x:c>
      <x:c r="H61" s="18" t="str">
        <x:v>验证eHSM认证码验证拒绝被篡改数据</x:v>
      </x:c>
      <x:c r="I61" s="18" t="str">
        <x:v>验证对象是eHSM固件/硬件拒绝路径；Host仅负责构造并提交刺激。必须证明请求已到达eHSM，不能把Host本地拒绝当作本用例PASS。</x:v>
      </x:c>
      <x:c r="J61" s="18" t="str">
        <x:v>公开测试key和向量可用；使用Vendor verify API</x:v>
      </x:c>
      <x:c r="K61" s="18" t="str">
        <x:v>先验证正确值；逐vector调用验证；记录ret、verify_result/raw响应；复测正确值</x:v>
      </x:c>
      <x:c r="L61" s="18" t="str">
        <x:v>正确MAC/HMAC基线；翻转认证值1 bit和消息1 bit</x:v>
      </x:c>
      <x:c r="M61" s="18" t="str">
        <x:v>错误vector的verify_result=false或文档化失败；正确值复测为true</x:v>
      </x:c>
      <x:c r="N61" s="18" t="str">
        <x:v>eHSM verify_result/raw结果；Evidence必须包含Mailbox已提交/命令ID/raw eHSM响应，随后执行健康BASIC证明服务未失效</x:v>
      </x:c>
      <x:c r="O61" s="18" t="str">
        <x:v>P0</x:v>
      </x:c>
      <x:c r="P61" s="18" t="str">
        <x:v>L3_EMU_INTEGRATION</x:v>
      </x:c>
      <x:c r="Q61" s="18" t="str">
        <x:v>MEDIUM_HIGH</x:v>
      </x:c>
      <x:c r="R61" s="18" t="str">
        <x:v>WAVE4_CRYPTO_COMPAT_VENDOR</x:v>
      </x:c>
      <x:c r="S61" s="18" t="str">
        <x:v>GSP</x:v>
      </x:c>
      <x:c r="T61" s="18" t="str">
        <x:v>待移植</x:v>
      </x:c>
      <x:c r="U61" s="18" t="str">
        <x:v>PLANNED</x:v>
      </x:c>
      <x:c r="V61" s="18" t="str">
        <x:v>MUST_PASS_IF_CONTRACT_AND_FIXTURE_AVAILABLE; OTHERWISE INCONCLUSIVE_WITH_OWNER</x:v>
      </x:c>
      <x:c r="W61" s="18" t="str">
        <x:v>READY_AFTER_VENDOR_VERIFY_API_PORT</x:v>
      </x:c>
      <x:c r="X61" s="18" t="str">
        <x:v>SRC-0014/SRC-0018; Vendor MAC/HMAC Demo</x:v>
      </x:c>
    </x:row>
    <x:row r="62" ht="72" customHeight="1">
      <x:c r="A62" s="18" t="str">
        <x:v>EHSM-NEG-CRYPTO-003</x:v>
      </x:c>
      <x:c r="B62" s="18" t="str">
        <x:v>EHSM_NEGATIVE</x:v>
      </x:c>
      <x:c r="C62" s="18" t="str">
        <x:v>EHSM_FIRMWARE_OR_HARDWARE</x:v>
      </x:c>
      <x:c r="D62" s="18" t="str">
        <x:v>BL/FW</x:v>
      </x:c>
      <x:c r="E62" s="18" t="str">
        <x:v>N/A</x:v>
      </x:c>
      <x:c r="F62" s="18" t="str">
        <x:v>MB_CMD_ID_AEAD_GCM / MB_CMD_ID_AEAD_CCM</x:v>
      </x:c>
      <x:c r="G62" s="18" t="str">
        <x:v>正确密文/Tag基线；分别翻转Tag、AAD和密文1 bit</x:v>
      </x:c>
      <x:c r="H62" s="18" t="str">
        <x:v>验证eHSM AEAD解密认证不会把篡改数据判为有效</x:v>
      </x:c>
      <x:c r="I62" s="18" t="str">
        <x:v>验证对象是eHSM固件/硬件拒绝路径；Host仅负责构造并提交刺激。必须证明请求已到达eHSM，不能把Host本地拒绝当作本用例PASS。</x:v>
      </x:c>
      <x:c r="J62" s="18" t="str">
        <x:v>公开GCM/CCM向量可用；输出buffer预填sentinel</x:v>
      </x:c>
      <x:c r="K62" s="18" t="str">
        <x:v>先验证正确向量；逐vector解密；记录ret、verify_result、raw响应和输出buffer；复测正确向量</x:v>
      </x:c>
      <x:c r="L62" s="18" t="str">
        <x:v>正确密文/Tag基线；分别翻转Tag、AAD和密文1 bit</x:v>
      </x:c>
      <x:c r="M62" s="18" t="str">
        <x:v>错误vector的verify_result=false或文档化认证失败；不得被上层当成有效明文；是否要求输出buffer不变按Vendor合同冻结</x:v>
      </x:c>
      <x:c r="N62" s="18" t="str">
        <x:v>eHSM verify_result/raw结果；明文发布规则缺失时该子判据为INCONCLUSIVE而非猜测；Evidence必须包含Mailbox已提交/命令ID/raw eHSM响应，随后执行健康BASIC证明服务未失效</x:v>
      </x:c>
      <x:c r="O62" s="18" t="str">
        <x:v>P0</x:v>
      </x:c>
      <x:c r="P62" s="18" t="str">
        <x:v>L3_EMU_INTEGRATION</x:v>
      </x:c>
      <x:c r="Q62" s="18" t="str">
        <x:v>MEDIUM_HIGH</x:v>
      </x:c>
      <x:c r="R62" s="18" t="str">
        <x:v>WAVE4_CRYPTO_COMPAT_VENDOR</x:v>
      </x:c>
      <x:c r="S62" s="18" t="str">
        <x:v>GSP</x:v>
      </x:c>
      <x:c r="T62" s="18" t="str">
        <x:v>待移植</x:v>
      </x:c>
      <x:c r="U62" s="18" t="str">
        <x:v>PLANNED</x:v>
      </x:c>
      <x:c r="V62" s="18" t="str">
        <x:v>MUST_PASS_IF_CONTRACT_AND_FIXTURE_AVAILABLE; OTHERWISE INCONCLUSIVE_WITH_OWNER</x:v>
      </x:c>
      <x:c r="W62" s="18" t="str">
        <x:v>READY_AFTER_AEAD_OUTPUT_CONTRACT</x:v>
      </x:c>
      <x:c r="X62" s="18" t="str">
        <x:v>SRC-0005/SRC-0014/SRC-0018; Vendor AEAD Demo</x:v>
      </x:c>
    </x:row>
    <x:row r="63" ht="72" customHeight="1">
      <x:c r="A63" s="18" t="str">
        <x:v>EHSM-NEG-AUTH-001</x:v>
      </x:c>
      <x:c r="B63" s="18" t="str">
        <x:v>EHSM_NEGATIVE</x:v>
      </x:c>
      <x:c r="C63" s="18" t="str">
        <x:v>EHSM_FIRMWARE_OR_HARDWARE</x:v>
      </x:c>
      <x:c r="D63" s="18" t="str">
        <x:v>BL/FW</x:v>
      </x:c>
      <x:c r="E63" s="18" t="str">
        <x:v>N/A</x:v>
      </x:c>
      <x:c r="F63" s="18" t="str">
        <x:v>MB_CMD_ID_BL_GET_CHALLENGE / MB_CMD_ID_BL_DEBUG_AUTH</x:v>
      </x:c>
      <x:c r="G63" s="18" t="str">
        <x:v>对有效challenge使用错误签名/MAC、错误key生成的响应；重放仅在Vendor合同定义单次challenge时执行</x:v>
      </x:c>
      <x:c r="H63" s="18" t="str">
        <x:v>验证eHSM BL不会因错误认证材料开启Debug</x:v>
      </x:c>
      <x:c r="I63" s="18" t="str">
        <x:v>验证对象是eHSM固件/硬件拒绝路径；Host仅负责构造并提交刺激。必须证明请求已到达eHSM，不能把Host本地拒绝当作本用例PASS。</x:v>
      </x:c>
      <x:c r="J63" s="18" t="str">
        <x:v>专用Debug fixture；初始debug关闭且状态可读</x:v>
      </x:c>
      <x:c r="K63" s="18" t="str">
        <x:v>获取challenge；提交错误响应；读取raw结果和debug状态；执行健康查询；必要时关闭/复位恢复</x:v>
      </x:c>
      <x:c r="L63" s="18" t="str">
        <x:v>对有效challenge使用错误签名/MAC、错误key生成的响应；重放仅在Vendor合同定义单次challenge时执行</x:v>
      </x:c>
      <x:c r="M63" s="18" t="str">
        <x:v>认证失败；debug保持关闭；无权限提升；后续健康命令可执行</x:v>
      </x:c>
      <x:c r="N63" s="18" t="str">
        <x:v>raw认证失败 + eHSM/SoC debug状态未开启；Evidence必须包含Mailbox已提交/命令ID/raw eHSM响应，随后执行健康BASIC证明服务未失效</x:v>
      </x:c>
      <x:c r="O63" s="18" t="str">
        <x:v>P0</x:v>
      </x:c>
      <x:c r="P63" s="18" t="str">
        <x:v>L3_EMU_INTEGRATION</x:v>
      </x:c>
      <x:c r="Q63" s="18" t="str">
        <x:v>HIGH</x:v>
      </x:c>
      <x:c r="R63" s="18" t="str">
        <x:v>WAVE2_IDENTITY_KEY_PERMISSION</x:v>
      </x:c>
      <x:c r="S63" s="18" t="str">
        <x:v>GSP</x:v>
      </x:c>
      <x:c r="T63" s="18" t="str">
        <x:v>待移植</x:v>
      </x:c>
      <x:c r="U63" s="18" t="str">
        <x:v>PLANNED</x:v>
      </x:c>
      <x:c r="V63" s="18" t="str">
        <x:v>MUST_PASS_IF_CONTRACT_AND_FIXTURE_AVAILABLE; OTHERWISE INCONCLUSIVE_WITH_OWNER</x:v>
      </x:c>
      <x:c r="W63" s="18" t="str">
        <x:v>NEEDS_DEBUG_AUTH_FIXTURE</x:v>
      </x:c>
      <x:c r="X63" s="18" t="str">
        <x:v>SRC-0012/SRC-0014/SRC-0018; Debug Auth合同</x:v>
      </x:c>
    </x:row>
    <x:row r="64" ht="72" customHeight="1">
      <x:c r="A64" s="18" t="str">
        <x:v>EHSM-NEG-AUTH-002</x:v>
      </x:c>
      <x:c r="B64" s="18" t="str">
        <x:v>EHSM_NEGATIVE</x:v>
      </x:c>
      <x:c r="C64" s="18" t="str">
        <x:v>EHSM_FIRMWARE_OR_HARDWARE</x:v>
      </x:c>
      <x:c r="D64" s="18" t="str">
        <x:v>BL/FW</x:v>
      </x:c>
      <x:c r="E64" s="18" t="str">
        <x:v>N/A</x:v>
      </x:c>
      <x:c r="F64" s="18" t="str">
        <x:v>MB_CMD_ID_GET_CHALLENGE / MB_CMD_ID_AUTH</x:v>
      </x:c>
      <x:c r="G64" s="18" t="str">
        <x:v>有效challenge配错误签名/MAC或错误key响应；重放vector仅在合同支持时启用</x:v>
      </x:c>
      <x:c r="H64" s="18" t="str">
        <x:v>验证eHSM FW认证状态不会被错误材料提升</x:v>
      </x:c>
      <x:c r="I64" s="18" t="str">
        <x:v>验证对象是eHSM固件/硬件拒绝路径；Host仅负责构造并提交刺激。必须证明请求已到达eHSM，不能把Host本地拒绝当作本用例PASS。</x:v>
      </x:c>
      <x:c r="J64" s="18" t="str">
        <x:v>专用Auth fixture；认证前后状态/受保护命令可观测</x:v>
      </x:c>
      <x:c r="K64" s="18" t="str">
        <x:v>获取challenge；提交错误响应；读取raw结果；尝试一条需认证的无破坏性命令；执行健康查询</x:v>
      </x:c>
      <x:c r="L64" s="18" t="str">
        <x:v>有效challenge配错误签名/MAC或错误key响应；重放vector仅在合同支持时启用</x:v>
      </x:c>
      <x:c r="M64" s="18" t="str">
        <x:v>AUTH失败；认证状态不提升；受保护命令仍拒绝；健康命令可执行</x:v>
      </x:c>
      <x:c r="N64" s="18" t="str">
        <x:v>raw认证失败 + 受保护能力未开放；Evidence必须包含Mailbox已提交/命令ID/raw eHSM响应，随后执行健康BASIC证明服务未失效</x:v>
      </x:c>
      <x:c r="O64" s="18" t="str">
        <x:v>P0</x:v>
      </x:c>
      <x:c r="P64" s="18" t="str">
        <x:v>L3_EMU_INTEGRATION</x:v>
      </x:c>
      <x:c r="Q64" s="18" t="str">
        <x:v>HIGH</x:v>
      </x:c>
      <x:c r="R64" s="18" t="str">
        <x:v>WAVE2_IDENTITY_KEY_PERMISSION</x:v>
      </x:c>
      <x:c r="S64" s="18" t="str">
        <x:v>GSP</x:v>
      </x:c>
      <x:c r="T64" s="18" t="str">
        <x:v>待移植</x:v>
      </x:c>
      <x:c r="U64" s="18" t="str">
        <x:v>PLANNED</x:v>
      </x:c>
      <x:c r="V64" s="18" t="str">
        <x:v>MUST_PASS_IF_CONTRACT_AND_FIXTURE_AVAILABLE; OTHERWISE INCONCLUSIVE_WITH_OWNER</x:v>
      </x:c>
      <x:c r="W64" s="18" t="str">
        <x:v>NEEDS_AUTH_PROFILE_AND_FIXTURE</x:v>
      </x:c>
      <x:c r="X64" s="18" t="str">
        <x:v>SRC-0005/SRC-0014/SRC-0018; Auth合同</x:v>
      </x:c>
    </x:row>
    <x:row r="65" ht="72" customHeight="1">
      <x:c r="A65" s="18" t="str">
        <x:v>EHSM-NEG-KEY-001</x:v>
      </x:c>
      <x:c r="B65" s="18" t="str">
        <x:v>EHSM_NEGATIVE</x:v>
      </x:c>
      <x:c r="C65" s="18" t="str">
        <x:v>EHSM_FIRMWARE_OR_HARDWARE</x:v>
      </x:c>
      <x:c r="D65" s="18" t="str">
        <x:v>BL/FW</x:v>
      </x:c>
      <x:c r="E65" s="18" t="str">
        <x:v>N/A</x:v>
      </x:c>
      <x:c r="F65" s="18" t="str">
        <x:v>MB_CMD_ID_INSTALL_RANDOM_KEY / MB_CMD_ID_INSTALL_ENCRYPT_KEY / MB_CMD_ID_EHSM_IMPORT_KEY</x:v>
      </x:c>
      <x:c r="G65" s="18" t="str">
        <x:v>从可成功安装/导入的wrapped key或认证数据翻转blob/signature/MAC 1 bit</x:v>
      </x:c>
      <x:c r="H65" s="18" t="str">
        <x:v>验证eHSM Key Manager不创建未经认证的Key对象</x:v>
      </x:c>
      <x:c r="I65" s="18" t="str">
        <x:v>验证对象是eHSM固件/硬件拒绝路径；Host仅负责构造并提交刺激。必须证明请求已到达eHSM，不能把Host本地拒绝当作本用例PASS。</x:v>
      </x:c>
      <x:c r="J65" s="18" t="str">
        <x:v>专用非量产key fixture；对象清单可查询；正确baseline可成功</x:v>
      </x:c>
      <x:c r="K65" s="18" t="str">
        <x:v>记录对象清单；提交篡改vector；检查raw结果和对象状态；最后用正确材料复测并清理</x:v>
      </x:c>
      <x:c r="L65" s="18" t="str">
        <x:v>从可成功安装/导入的wrapped key或认证数据翻转blob/signature/MAC 1 bit</x:v>
      </x:c>
      <x:c r="M65" s="18" t="str">
        <x:v>篡改vector拒绝；不创建、覆盖或部分更新对象；正确材料复测成功</x:v>
      </x:c>
      <x:c r="N65" s="18" t="str">
        <x:v>raw eHSM拒绝 + Key对象状态无变化；Evidence必须包含Mailbox已提交/命令ID/raw eHSM响应，随后执行健康BASIC证明服务未失效</x:v>
      </x:c>
      <x:c r="O65" s="18" t="str">
        <x:v>P0</x:v>
      </x:c>
      <x:c r="P65" s="18" t="str">
        <x:v>L3_EMU_INTEGRATION</x:v>
      </x:c>
      <x:c r="Q65" s="18" t="str">
        <x:v>HIGH</x:v>
      </x:c>
      <x:c r="R65" s="18" t="str">
        <x:v>WAVE2_IDENTITY_KEY_PERMISSION</x:v>
      </x:c>
      <x:c r="S65" s="18" t="str">
        <x:v>GSP</x:v>
      </x:c>
      <x:c r="T65" s="18" t="str">
        <x:v>待移植</x:v>
      </x:c>
      <x:c r="U65" s="18" t="str">
        <x:v>PLANNED</x:v>
      </x:c>
      <x:c r="V65" s="18" t="str">
        <x:v>MUST_PASS_IF_CONTRACT_AND_FIXTURE_AVAILABLE; OTHERWISE INCONCLUSIVE_WITH_OWNER</x:v>
      </x:c>
      <x:c r="W65" s="18" t="str">
        <x:v>NEEDS_KEY_IMPORT_FIXTURE</x:v>
      </x:c>
      <x:c r="X65" s="18" t="str">
        <x:v>SRC-0005/SRC-0014/SRC-0018; Key Manager合同</x:v>
      </x:c>
    </x:row>
    <x:row r="66" ht="72" customHeight="1">
      <x:c r="A66" s="18" t="str">
        <x:v>EHSM-NEG-KEY-002</x:v>
      </x:c>
      <x:c r="B66" s="18" t="str">
        <x:v>EHSM_NEGATIVE</x:v>
      </x:c>
      <x:c r="C66" s="18" t="str">
        <x:v>EHSM_FIRMWARE_OR_HARDWARE</x:v>
      </x:c>
      <x:c r="D66" s="18" t="str">
        <x:v>BL/FW</x:v>
      </x:c>
      <x:c r="E66" s="18" t="str">
        <x:v>N/A</x:v>
      </x:c>
      <x:c r="F66" s="18" t="str">
        <x:v>Key Manager + SYMM/AEAD/HMAC/MAC/Sign命令</x:v>
      </x:c>
      <x:c r="G66" s="18" t="str">
        <x:v>不存在/已删除handle、与命令不兼容usage、明确标记不可导出的Key请求私钥/对称Key导出</x:v>
      </x:c>
      <x:c r="H66" s="18" t="str">
        <x:v>验证eHSM以自身对象策略拒绝错误Key引用和敏感导出</x:v>
      </x:c>
      <x:c r="I66" s="18" t="str">
        <x:v>验证对象是eHSM固件/硬件拒绝路径；Host仅负责构造并提交刺激。必须证明请求已到达eHSM，不能把Host本地拒绝当作本用例PASS。</x:v>
      </x:c>
      <x:c r="J66" s="18" t="str">
        <x:v>专用key fixture；handle、usage、exportable属性及查询方法已冻结</x:v>
      </x:c>
      <x:c r="K66" s="18" t="str">
        <x:v>逐vector提交真实eHSM命令；记录raw结果、输出sentinel和对象状态；随后对合法对象执行健康操作</x:v>
      </x:c>
      <x:c r="L66" s="18" t="str">
        <x:v>不存在/已删除handle、与命令不兼容usage、明确标记不可导出的Key请求私钥/对称Key导出</x:v>
      </x:c>
      <x:c r="M66" s="18" t="str">
        <x:v>全部禁止组合拒绝；不输出Key材料；对象状态不变；合法对象仍可用</x:v>
      </x:c>
      <x:c r="N66" s="18" t="str">
        <x:v>raw eHSM拒绝 + 无敏感输出 + 对象无副作用；Evidence必须包含Mailbox已提交/命令ID/raw eHSM响应，随后执行健康BASIC证明服务未失效</x:v>
      </x:c>
      <x:c r="O66" s="18" t="str">
        <x:v>P0</x:v>
      </x:c>
      <x:c r="P66" s="18" t="str">
        <x:v>L3_EMU_INTEGRATION</x:v>
      </x:c>
      <x:c r="Q66" s="18" t="str">
        <x:v>HIGH</x:v>
      </x:c>
      <x:c r="R66" s="18" t="str">
        <x:v>WAVE2_IDENTITY_KEY_PERMISSION</x:v>
      </x:c>
      <x:c r="S66" s="18" t="str">
        <x:v>GSP</x:v>
      </x:c>
      <x:c r="T66" s="18" t="str">
        <x:v>待移植</x:v>
      </x:c>
      <x:c r="U66" s="18" t="str">
        <x:v>PLANNED</x:v>
      </x:c>
      <x:c r="V66" s="18" t="str">
        <x:v>MUST_PASS_IF_CONTRACT_AND_FIXTURE_AVAILABLE; OTHERWISE INCONCLUSIVE_WITH_OWNER</x:v>
      </x:c>
      <x:c r="W66" s="18" t="str">
        <x:v>NEEDS_KEY_POLICY_CONTRACT</x:v>
      </x:c>
      <x:c r="X66" s="18" t="str">
        <x:v>SRC-0005/SRC-0014/SRC-0018; Key Manager合同</x:v>
      </x:c>
    </x:row>
    <x:row r="67" ht="72" customHeight="1">
      <x:c r="A67" s="18" t="str">
        <x:v>EHSM-NEG-OTP-001</x:v>
      </x:c>
      <x:c r="B67" s="18" t="str">
        <x:v>EHSM_NEGATIVE</x:v>
      </x:c>
      <x:c r="C67" s="18" t="str">
        <x:v>EHSM_FIRMWARE_OR_HARDWARE</x:v>
      </x:c>
      <x:c r="D67" s="18" t="str">
        <x:v>BL/FW</x:v>
      </x:c>
      <x:c r="E67" s="18" t="str">
        <x:v>N/A</x:v>
      </x:c>
      <x:c r="F67" s="18" t="str">
        <x:v>BL/FW OTP_READ / OTP_WRITE</x:v>
      </x:c>
      <x:c r="G67" s="18" t="str">
        <x:v>结构合法但offset/length越出批准对象、跨对象边界、访问受保护区域；写vector仅用专用OTP fixture</x:v>
      </x:c>
      <x:c r="H67" s="18" t="str">
        <x:v>验证eHSM而非Host执行OTP范围和对象保护</x:v>
      </x:c>
      <x:c r="I67" s="18" t="str">
        <x:v>验证对象是eHSM固件/硬件拒绝路径；Host仅负责构造并提交刺激。必须证明请求已到达eHSM，不能把Host本地拒绝当作本用例PASS。</x:v>
      </x:c>
      <x:c r="J67" s="18" t="str">
        <x:v>OTP对象/offset/length合同冻结；可证明请求真实提交；禁止量产Key区域</x:v>
      </x:c>
      <x:c r="K67" s="18" t="str">
        <x:v>记录允许区域和目标状态；提交负向vector；读取raw结果；复核目标及相邻对象</x:v>
      </x:c>
      <x:c r="L67" s="18" t="str">
        <x:v>结构合法但offset/length越出批准对象、跨对象边界、访问受保护区域；写vector仅用专用OTP fixture</x:v>
      </x:c>
      <x:c r="M67" s="18" t="str">
        <x:v>非法访问由eHSM拒绝；无数据泄露、无部分写、无相邻对象变化</x:v>
      </x:c>
      <x:c r="N67" s="18" t="str">
        <x:v>Mailbox提交证据 + raw eHSM拒绝 + OTP状态无副作用；Evidence必须包含Mailbox已提交/命令ID/raw eHSM响应，随后执行健康BASIC证明服务未失效</x:v>
      </x:c>
      <x:c r="O67" s="18" t="str">
        <x:v>P0</x:v>
      </x:c>
      <x:c r="P67" s="18" t="str">
        <x:v>L3_EMU_INTEGRATION</x:v>
      </x:c>
      <x:c r="Q67" s="18" t="str">
        <x:v>HIGH</x:v>
      </x:c>
      <x:c r="R67" s="18" t="str">
        <x:v>WAVE2_IDENTITY_KEY_PERMISSION</x:v>
      </x:c>
      <x:c r="S67" s="18" t="str">
        <x:v>GSP</x:v>
      </x:c>
      <x:c r="T67" s="18" t="str">
        <x:v>待移植</x:v>
      </x:c>
      <x:c r="U67" s="18" t="str">
        <x:v>PLANNED</x:v>
      </x:c>
      <x:c r="V67" s="18" t="str">
        <x:v>MUST_PASS_IF_CONTRACT_AND_FIXTURE_AVAILABLE; OTHERWISE INCONCLUSIVE_WITH_OWNER</x:v>
      </x:c>
      <x:c r="W67" s="18" t="str">
        <x:v>NEEDS_OTP_OBJECT_MAP_AND_FIXTURE</x:v>
      </x:c>
      <x:c r="X67" s="18" t="str">
        <x:v>SRC-0005/SRC-0012/SRC-0014/SRC-0018; OTP合同</x:v>
      </x:c>
    </x:row>
    <x:row r="68" ht="72" customHeight="1">
      <x:c r="A68" s="18" t="str">
        <x:v>EHSM-NEG-STATE-001</x:v>
      </x:c>
      <x:c r="B68" s="18" t="str">
        <x:v>EHSM_NEGATIVE</x:v>
      </x:c>
      <x:c r="C68" s="18" t="str">
        <x:v>EHSM_FIRMWARE_OR_HARDWARE</x:v>
      </x:c>
      <x:c r="D68" s="18" t="str">
        <x:v>BL/FW</x:v>
      </x:c>
      <x:c r="E68" s="18" t="str">
        <x:v>N/A</x:v>
      </x:c>
      <x:c r="F68" s="18" t="str">
        <x:v>MB_CMD_ID_CHANGE_LIFECYCLE / MB_CMD_ID_CHANGE_CONTROL_FIELD</x:v>
      </x:c>
      <x:c r="G68" s="18" t="str">
        <x:v>格式合法但不允许的回退、越级、重复或保留目标值；每次仅改变一个状态条件</x:v>
      </x:c>
      <x:c r="H68" s="18" t="str">
        <x:v>验证eHSM不可逆状态机和控制字段拒绝非法转换</x:v>
      </x:c>
      <x:c r="I68" s="18" t="str">
        <x:v>验证对象是eHSM固件/硬件拒绝路径；Host仅负责构造并提交刺激。必须证明请求已到达eHSM，不能把Host本地拒绝当作本用例PASS。</x:v>
      </x:c>
      <x:c r="J68" s="18" t="str">
        <x:v>一次性专用实例；批准转换矩阵、读取方法、报废/恢复方案和人工批准齐全</x:v>
      </x:c>
      <x:c r="K68" s="18" t="str">
        <x:v>读取初始状态；提交非法转换；读取raw结果和状态；对允许的非破坏性查询复测</x:v>
      </x:c>
      <x:c r="L68" s="18" t="str">
        <x:v>格式合法但不允许的回退、越级、重复或保留目标值；每次仅改变一个状态条件</x:v>
      </x:c>
      <x:c r="M68" s="18" t="str">
        <x:v>非法转换拒绝；状态和控制字段不发生部分改变；设备仍可查询</x:v>
      </x:c>
      <x:c r="N68" s="18" t="str">
        <x:v>raw eHSM拒绝 + 状态readback不变；Evidence必须包含Mailbox已提交/命令ID/raw eHSM响应，随后执行健康BASIC证明服务未失效</x:v>
      </x:c>
      <x:c r="O68" s="18" t="str">
        <x:v>P0</x:v>
      </x:c>
      <x:c r="P68" s="18" t="str">
        <x:v>L3_EMU_INTEGRATION</x:v>
      </x:c>
      <x:c r="Q68" s="18" t="str">
        <x:v>HIGH</x:v>
      </x:c>
      <x:c r="R68" s="18" t="str">
        <x:v>WAVE2_IDENTITY_KEY_PERMISSION</x:v>
      </x:c>
      <x:c r="S68" s="18" t="str">
        <x:v>GSP</x:v>
      </x:c>
      <x:c r="T68" s="18" t="str">
        <x:v>待移植</x:v>
      </x:c>
      <x:c r="U68" s="18" t="str">
        <x:v>PLANNED</x:v>
      </x:c>
      <x:c r="V68" s="18" t="str">
        <x:v>MUST_PASS_IF_CONTRACT_AND_FIXTURE_AVAILABLE; OTHERWISE INCONCLUSIVE_WITH_OWNER</x:v>
      </x:c>
      <x:c r="W68" s="18" t="str">
        <x:v>NEEDS_DESTRUCTIVE_STATE_FIXTURE</x:v>
      </x:c>
      <x:c r="X68" s="18" t="str">
        <x:v>SRC-0005/SRC-0014/SRC-0018; Lifecycle/Control合同</x:v>
      </x:c>
    </x:row>
    <x:row r="69" ht="72" customHeight="1">
      <x:c r="A69" s="18" t="str">
        <x:v>EHSM-NEG-PROTOCOL-001</x:v>
      </x:c>
      <x:c r="B69" s="18" t="str">
        <x:v>EHSM_NEGATIVE</x:v>
      </x:c>
      <x:c r="C69" s="18" t="str">
        <x:v>EHSM_FIRMWARE_OR_HARDWARE</x:v>
      </x:c>
      <x:c r="D69" s="18" t="str">
        <x:v>BL/FW</x:v>
      </x:c>
      <x:c r="E69" s="18" t="str">
        <x:v>N/A</x:v>
      </x:c>
      <x:c r="F69" s="18" t="str">
        <x:v>代表性BL/FW命令 + 未支持command ID</x:v>
      </x:c>
      <x:c r="G69" s="18" t="str">
        <x:v>未支持command ID、保留枚举、声明payload长度与实际不一致；仅选能绕过Host本地校验并确认已送达eHSM的vector</x:v>
      </x:c>
      <x:c r="H69" s="18" t="str">
        <x:v>验证eHSM Mailbox命令解析器不会接受非法请求或失去服务</x:v>
      </x:c>
      <x:c r="I69" s="18" t="str">
        <x:v>验证对象是eHSM固件/硬件拒绝路径；Host仅负责构造并提交刺激。必须证明请求已到达eHSM，不能把Host本地拒绝当作本用例PASS。</x:v>
      </x:c>
      <x:c r="J69" s="18" t="str">
        <x:v>隔离的测试组包层可直接按现有Mailbox ABI写请求；不修改eHSM固件；后续健康BASIC可用</x:v>
      </x:c>
      <x:c r="K69" s="18" t="str">
        <x:v>从合法请求复制并单点变异；提交；记录command ID/note/raw响应；清理后执行健康BASIC</x:v>
      </x:c>
      <x:c r="L69" s="18" t="str">
        <x:v>未支持command ID、保留枚举、声明payload长度与实际不一致；仅选能绕过Host本地校验并确认已送达eHSM的vector</x:v>
      </x:c>
      <x:c r="M69" s="18" t="str">
        <x:v>eHSM明确拒绝；无部分业务副作用；后续健康BASIC成功；Host本地拒绝的vector记NOT_APPLICABLE而非PASS</x:v>
      </x:c>
      <x:c r="N69" s="18" t="str">
        <x:v>Mailbox事务已提交 + raw eHSM拒绝 + 服务可恢复；Evidence必须包含Mailbox已提交/命令ID/raw eHSM响应，随后执行健康BASIC证明服务未失效</x:v>
      </x:c>
      <x:c r="O69" s="18" t="str">
        <x:v>P0</x:v>
      </x:c>
      <x:c r="P69" s="18" t="str">
        <x:v>L3_EMU_INTEGRATION</x:v>
      </x:c>
      <x:c r="Q69" s="18" t="str">
        <x:v>HIGH</x:v>
      </x:c>
      <x:c r="R69" s="18" t="str">
        <x:v>WAVE4_CRYPTO_COMPAT_VENDOR</x:v>
      </x:c>
      <x:c r="S69" s="18" t="str">
        <x:v>GSP</x:v>
      </x:c>
      <x:c r="T69" s="18" t="str">
        <x:v>待移植</x:v>
      </x:c>
      <x:c r="U69" s="18" t="str">
        <x:v>PLANNED</x:v>
      </x:c>
      <x:c r="V69" s="18" t="str">
        <x:v>MUST_PASS_IF_CONTRACT_AND_FIXTURE_AVAILABLE; OTHERWISE INCONCLUSIVE_WITH_OWNER</x:v>
      </x:c>
      <x:c r="W69" s="18" t="str">
        <x:v>NEEDS_ISOLATED_RAW_REQUEST_BUILDER</x:v>
      </x:c>
      <x:c r="X69" s="18" t="str">
        <x:v>SRC-0005/SRC-0014/SRC-0018; Mailbox ABI</x:v>
      </x:c>
    </x:row>
  </x:sheetData>
  <x:mergeCells>
    <x:mergeCell ref="A1:X1"/>
  </x:mergeCells>
  <x:conditionalFormatting sqref="B4:W69">
    <x:cfRule type="containsText" dxfId="12" priority="1" operator="containsText" text="BLOCK"/>
    <x:cfRule type="containsText" dxfId="13" priority="2" operator="containsText" text="NEEDS"/>
    <x:cfRule type="containsText" dxfId="14" priority="3" operator="containsText" text="READY"/>
    <x:cfRule type="containsText" dxfId="15" priority="4" operator="containsText" text="COMPLETED"/>
    <x:cfRule type="containsText" dxfId="16" priority="5" operator="containsText" text="SUPERSEDED"/>
    <x:cfRule type="containsText" dxfId="17" priority="6" operator="containsText" text="N/A"/>
  </x:conditionalFormatting>
  <x:dataValidations count="2">
    <x:dataValidation type="list" sqref="T4:T69">
      <x:formula1>"待移植,MANUAL,AUTOMATED"</x:formula1>
    </x:dataValidation>
    <x:dataValidation type="list" sqref="U4:U69">
      <x:formula1>"PLANNED,READY,BLOCKED,IMPLEMENTED,EXECUTED"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c0220fc671442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32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12" hidden="0" customWidth="1"/>
    <x:col min="10" max="10" width="24" hidden="0" customWidth="1"/>
    <x:col min="11" max="11" width="24" hidden="0" customWidth="1"/>
    <x:col min="12" max="12" width="16" hidden="0" customWidth="1"/>
    <x:col min="13" max="13" width="16" hidden="0" customWidth="1"/>
    <x:col min="14" max="14" width="16" hidden="0" customWidth="1"/>
    <x:col min="15" max="15" width="28" hidden="0" customWidth="1"/>
    <x:col min="16" max="16" width="28" hidden="0" customWidth="1"/>
  </x:cols>
  <x:sheetData>
    <x:row r="1" ht="30" customHeight="1">
      <x:c r="A1" s="3" t="str">
        <x:v>SoC 安全集成测试用例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3" ht="30" customHeight="1">
      <x:c r="A3" s="10" t="str">
        <x:v>用例 ID</x:v>
      </x:c>
      <x:c r="B3" s="22" t="str">
        <x:v>分组</x:v>
      </x:c>
      <x:c r="C3" s="22" t="str">
        <x:v>名称</x:v>
      </x:c>
      <x:c r="D3" s="22" t="str">
        <x:v>目标</x:v>
      </x:c>
      <x:c r="E3" s="22" t="str">
        <x:v>前置条件</x:v>
      </x:c>
      <x:c r="F3" s="22" t="str">
        <x:v>步骤</x:v>
      </x:c>
      <x:c r="G3" s="22" t="str">
        <x:v>输入/激励</x:v>
      </x:c>
      <x:c r="H3" s="22" t="str">
        <x:v>预期结果</x:v>
      </x:c>
      <x:c r="I3" s="22" t="str">
        <x:v>优先级</x:v>
      </x:c>
      <x:c r="J3" s="22" t="str">
        <x:v>验证层级</x:v>
      </x:c>
      <x:c r="K3" s="22" t="str">
        <x:v>波次</x:v>
      </x:c>
      <x:c r="L3" s="22" t="str">
        <x:v>Owner</x:v>
      </x:c>
      <x:c r="M3" s="22" t="str">
        <x:v>自动化</x:v>
      </x:c>
      <x:c r="N3" s="22" t="str">
        <x:v>状态</x:v>
      </x:c>
      <x:c r="O3" s="22" t="str">
        <x:v>准入门禁</x:v>
      </x:c>
      <x:c r="P3" s="11" t="str">
        <x:v>来源</x:v>
      </x:c>
    </x:row>
    <x:row r="4" ht="66" customHeight="1">
      <x:c r="A4" s="17" t="str">
        <x:v>SOC-MAILBOX-001</x:v>
      </x:c>
      <x:c r="B4" s="17" t="str">
        <x:v>MAILBOX</x:v>
      </x:c>
      <x:c r="C4" s="17" t="str">
        <x:v>16路Mailbox通道独立性</x:v>
      </x:c>
      <x:c r="D4" s="17" t="str">
        <x:v>通过软件遍历16路direct Mailbox，用同一条无副作用命令验证各channel功能译码、响应归属和无跨通道串扰。</x:v>
      </x:c>
      <x:c r="E4" s="17" t="str">
        <x:v>direct aperture base/stride、16路实现状态和测试可用channel已冻结；每路使用独立context/response sentinel；不修改eHSM固件。</x:v>
      </x:c>
      <x:c r="F4" s="17" t="str">
        <x:v>对channel 0～15逐路选择服务通道，提交同一条只读BASIC并记录command ID、NOTE、raw response；每次检查本通道输出和其他通道NOTE/response sentinel；最后复测channel 0。</x:v>
      </x:c>
      <x:c r="G4" s="17" t="str">
        <x:v>16个channel作为同一case的vector，不拆成16条case；未实现窗口按冻结RTL定义判断。</x:v>
      </x:c>
      <x:c r="H4" s="17" t="str">
        <x:v>每个实现channel均独立完成正确命令；响应只出现在对应channel；其他channel状态和sentinel不变；未实现窗口按合同拒绝；channel 0复测成功。</x:v>
      </x:c>
      <x:c r="I4" s="17" t="str">
        <x:v>P0</x:v>
      </x:c>
      <x:c r="J4" s="17" t="str">
        <x:v>L3_EMU_INTEGRATION</x:v>
      </x:c>
      <x:c r="K4" s="17" t="str">
        <x:v>WAVE0_DAY0_SMOKE</x:v>
      </x:c>
      <x:c r="L4" s="17" t="str">
        <x:v>GSP</x:v>
      </x:c>
      <x:c r="M4" s="17" t="str">
        <x:v>待移植</x:v>
      </x:c>
      <x:c r="N4" s="17" t="str">
        <x:v>PLANNED</x:v>
      </x:c>
      <x:c r="O4" s="17" t="str">
        <x:v>NEEDS_DIRECT_MAILBOX_CHANNEL_MAP</x:v>
      </x:c>
      <x:c r="P4" s="17" t="str">
        <x:v>SRC-0017 芯片系统安全方案 8.5/8.6/8.7/10.3; eHSM HP TRM 4.11 §2.5.2/§12.3/§12.4; CE-SEC-010；direct aperture/channel绑定待冻结</x:v>
      </x:c>
    </x:row>
    <x:row r="5" ht="66" customHeight="1">
      <x:c r="A5" s="18" t="str">
        <x:v>SOC-MAILBOX-002</x:v>
      </x:c>
      <x:c r="B5" s="18" t="str">
        <x:v>MAILBOX</x:v>
      </x:c>
      <x:c r="C5" s="18" t="str">
        <x:v>Mailbox INFO/NOTE功能握手</x:v>
      </x:c>
      <x:c r="D5" s="18" t="str">
        <x:v>通过Host侧MMIO轨迹和寄存器轮询验证S2H/H2S INFO、NOTE置位/清除、数据先于通知可见以及连续事务恢复。</x:v>
      </x:c>
      <x:c r="E5" s="18" t="str">
        <x:v>Mailbox寄存器位义和读写属性已冻结；测试层可记录Host侧MMIO访问及阶段快照，但不修改Vendor eHSM固件。</x:v>
      </x:c>
      <x:c r="F5" s="18" t="str">
        <x:v>在一个已冻结channel执行无副作用BASIC；记录发布前后S2H INFO/NOTE、响应前后H2S INFO/NOTE和清除动作；连续执行两次不同sentinel事务。</x:v>
      </x:c>
      <x:c r="G5" s="18" t="str">
        <x:v>正常请求/响应、IRQ禁用轮询、连续两次事务作为vector。</x:v>
      </x:c>
      <x:c r="H5" s="18" t="str">
        <x:v>请求数据在S2H NOTE前写入；响应数据在H2S NOTE后可读；NOTE按合同置位/清除；两次响应不重放、不混淆且后续事务可用。精确cycle/CDC仍由硬件补充验证。</x:v>
      </x:c>
      <x:c r="I5" s="18" t="str">
        <x:v>P0</x:v>
      </x:c>
      <x:c r="J5" s="18" t="str">
        <x:v>L3_EMU_INTEGRATION</x:v>
      </x:c>
      <x:c r="K5" s="18" t="str">
        <x:v>WAVE0_DAY0_SMOKE</x:v>
      </x:c>
      <x:c r="L5" s="18" t="str">
        <x:v>GSP</x:v>
      </x:c>
      <x:c r="M5" s="18" t="str">
        <x:v>待移植</x:v>
      </x:c>
      <x:c r="N5" s="18" t="str">
        <x:v>PLANNED</x:v>
      </x:c>
      <x:c r="O5" s="18" t="str">
        <x:v>NEEDS_MAILBOX_INFO_NOTE_REGISTER_CONTRACT</x:v>
      </x:c>
      <x:c r="P5" s="18" t="str">
        <x:v>eHSM HP TRM 4.11 §2.5.2/§12.3/§12.4; ehsm-host-adapter.md；INFO/NOTE准确位义待冻结</x:v>
      </x:c>
    </x:row>
    <x:row r="6" ht="66" customHeight="1">
      <x:c r="A6" s="18" t="str">
        <x:v>SOC-FIREWALL-001</x:v>
      </x:c>
      <x:c r="B6" s="18" t="str">
        <x:v>FIREWALL</x:v>
      </x:c>
      <x:c r="C6" s="18" t="str">
        <x:v>Firewall 配置权限</x:v>
      </x:c>
      <x:c r="D6" s="18" t="str">
        <x:v>验证 C908 具备 Firewall 配置权限，非安全管理核不具备配置权限；本用例不依赖鉴权或 LCS。</x:v>
      </x:c>
      <x:c r="E6" s="18" t="str">
        <x:v>冻结 Firewall 配置寄存器、C908/非安全管理核 master_id 和默认值；若未冻结则结果为 INCONCLUSIVE。</x:v>
      </x:c>
      <x:c r="F6" s="18" t="str">
        <x:v>C908 写入一组可恢复配置并回读；恢复基线；再由非安全管理核写入同一寄存器并回读/检查目标配置。</x:v>
      </x:c>
      <x:c r="G6" s="18" t="str">
        <x:v>同一合法配置值，由 C908 与非安全管理核分别发起写事务。</x:v>
      </x:c>
      <x:c r="H6" s="18" t="str">
        <x:v>C908 写入生效且回读一致；非安全管理核写入被阻断或不生效，配置保持不变。总线响应按冻结 RTL 判定，不把鉴权失败作为判据。</x:v>
      </x:c>
      <x:c r="I6" s="18" t="str">
        <x:v>P0</x:v>
      </x:c>
      <x:c r="J6" s="18" t="str">
        <x:v>L3_EMU_INTEGRATION</x:v>
      </x:c>
      <x:c r="K6" s="18" t="str">
        <x:v>WAVE3_MULTIDIE_FIREWALL_FAULT</x:v>
      </x:c>
      <x:c r="L6" s="18" t="str">
        <x:v>GSP</x:v>
      </x:c>
      <x:c r="M6" s="18" t="str">
        <x:v>待移植</x:v>
      </x:c>
      <x:c r="N6" s="18" t="str">
        <x:v>PLANNED</x:v>
      </x:c>
      <x:c r="O6" s="18" t="str">
        <x:v>NEEDS_FIREWALL_REGISTER_AND_MASTER_ID_MAP</x:v>
      </x:c>
      <x:c r="P6" s="18" t="str">
        <x:v>用户确认的测试边界；SRC-0016/SRC-0017；精确 master_id/寄存器绑定待 SRC-0022/RTL 冻结</x:v>
      </x:c>
    </x:row>
    <x:row r="7" ht="66" customHeight="1">
      <x:c r="A7" s="18" t="str">
        <x:v>SOC-FIREWALL-002</x:v>
      </x:c>
      <x:c r="B7" s="18" t="str">
        <x:v>FIREWALL</x:v>
      </x:c>
      <x:c r="C7" s="18" t="str">
        <x:v>SRAM 配置后隔离生效</x:v>
      </x:c>
      <x:c r="D7" s="18" t="str">
        <x:v>验证 C908 配置 SRAM Region 权限后，授权访问按配置成功，未授权访问不能改变或获得受保护数据。</x:v>
      </x:c>
      <x:c r="E7" s="18" t="str">
        <x:v>冻结 SRAM Region 地址、粒度、权限编码、授权/未授权 master_id；测试区域可恢复且不含量产秘密。</x:v>
      </x:c>
      <x:c r="F7" s="18" t="str">
        <x:v>C908 配置一个 SRAM Region；授权 Master 读写并比对；未授权 Master 读写；授权 Master 再次回读目标与相邻 guard；最后恢复基线。</x:v>
      </x:c>
      <x:c r="G7" s="18" t="str">
        <x:v>一个可恢复 Region；RO/RW/无权限等值作为同一用例的参数向量，不拆成大量独立 case。</x:v>
      </x:c>
      <x:c r="H7" s="18" t="str">
        <x:v>授权组合符合权限编码；未授权写后数据和相邻 guard 不变，未授权读不返回受保护真数据；具体 response 依据冻结 RTL。是否真正未选中 slave 由硬件验证证据补充。</x:v>
      </x:c>
      <x:c r="I7" s="18" t="str">
        <x:v>P0</x:v>
      </x:c>
      <x:c r="J7" s="18" t="str">
        <x:v>L3_EMU_INTEGRATION</x:v>
      </x:c>
      <x:c r="K7" s="18" t="str">
        <x:v>WAVE3_MULTIDIE_FIREWALL_FAULT</x:v>
      </x:c>
      <x:c r="L7" s="18" t="str">
        <x:v>GSP</x:v>
      </x:c>
      <x:c r="M7" s="18" t="str">
        <x:v>待移植</x:v>
      </x:c>
      <x:c r="N7" s="18" t="str">
        <x:v>PLANNED</x:v>
      </x:c>
      <x:c r="O7" s="18" t="str">
        <x:v>NEEDS_SRAM_REGION_PERMISSION_MAP</x:v>
      </x:c>
      <x:c r="P7" s="18" t="str">
        <x:v>SRC-0017 §10.3；精确 Region/master/response 绑定待 SRC-0022/RTL 冻结</x:v>
      </x:c>
    </x:row>
    <x:row r="8" ht="66" customHeight="1">
      <x:c r="A8" s="18" t="str">
        <x:v>SOC-HSM-STATUS-001</x:v>
      </x:c>
      <x:c r="B8" s="18" t="str">
        <x:v>HSM-STATUS</x:v>
      </x:c>
      <x:c r="C8" s="18" t="str">
        <x:v>HSM 状态/错误寄存器读取通路</x:v>
      </x:c>
      <x:c r="D8" s="18" t="str">
        <x:v>验证 SoC 软件能够读取映射后的 o_hsm_status、o_hsm_err_hw、o_hsm_err_fw 寄存器，作为通路冒烟；不声称覆盖每个状态位和错误位。</x:v>
      </x:c>
      <x:c r="E8" s="18" t="str">
        <x:v>冻结三个信号的 SoC 地址/宽度/读取顺序和正常态预期；使用原版 eHSM BL/FW，不增加测试命令、测试钩子或固件定制。</x:v>
      </x:c>
      <x:c r="F8" s="18" t="str">
        <x:v>启动到稳定正常态；连续读取三个映射寄存器并保存 raw 值；执行一个已存在的无副作用 Mailbox BASIC 命令；再次读取并比较文档允许的变化。</x:v>
      </x:c>
      <x:c r="G8" s="18" t="str">
        <x:v>正常启动状态 + 一条已有的只读/无副作用 BASIC 命令。</x:v>
      </x:c>
      <x:c r="H8" s="18" t="str">
        <x:v>所有读取事务成功；raw 值可重复获取且符合冻结的正常态定义；不得凭未冻结位定义判 PASS。软件可构造错误另由SOC-HSM-ERROR-001验证，无法自然驱动的bit由硬件补充验证。</x:v>
      </x:c>
      <x:c r="I8" s="18" t="str">
        <x:v>P0</x:v>
      </x:c>
      <x:c r="J8" s="18" t="str">
        <x:v>L3_EMU_INTEGRATION</x:v>
      </x:c>
      <x:c r="K8" s="18" t="str">
        <x:v>WAVE3_MULTIDIE_FIREWALL_FAULT</x:v>
      </x:c>
      <x:c r="L8" s="18" t="str">
        <x:v>GSP</x:v>
      </x:c>
      <x:c r="M8" s="18" t="str">
        <x:v>待移植</x:v>
      </x:c>
      <x:c r="N8" s="18" t="str">
        <x:v>PLANNED</x:v>
      </x:c>
      <x:c r="O8" s="18" t="str">
        <x:v>NEEDS_HSM_STATUS_ERROR_REGISTER_MAP</x:v>
      </x:c>
      <x:c r="P8" s="18" t="str">
        <x:v>SRC-0017 芯片系统安全方案 8.5/8.6/8.7/10.3; eHSM HP TRM 4.11 §2.5.2/§12.3/§12.4; SRC-0022（当前精确映射待补齐）</x:v>
      </x:c>
    </x:row>
    <x:row r="9" ht="66" customHeight="1">
      <x:c r="A9" s="18" t="str">
        <x:v>SOC-HSM-ERROR-001</x:v>
      </x:c>
      <x:c r="B9" s="18" t="str">
        <x:v>HSM-ERROR</x:v>
      </x:c>
      <x:c r="C9" s="18" t="str">
        <x:v>软件可构造eHSM错误到SoC寄存器映射</x:v>
      </x:c>
      <x:c r="D9" s="18" t="str">
        <x:v>使用现有eHSM负向命令构造已知FW错误，验证o_hsm_err_fw/o_hsm_status的软件可见映射、锁存、清除和恢复。</x:v>
      </x:c>
      <x:c r="E9" s="18" t="str">
        <x:v>冻结负向命令raw返回到o_hsm_err_fw/status bit的权威映射及clear语义；复用EHSM-NEG用例，不增加eHSM测试命令或钩子。</x:v>
      </x:c>
      <x:c r="F9" s="18" t="str">
        <x:v>读取错误寄存器基线；执行错误签名/错误MAC/非法Key等已明确映射的负向vector；读取status/err_fw/err_hw；按合同清除；执行合法健康命令并再次读取。</x:v>
      </x:c>
      <x:c r="G9" s="18" t="str">
        <x:v>只纳入有权威映射的现有负向命令；不同错误作为vector，未映射命令不猜测预期bit。</x:v>
      </x:c>
      <x:c r="H9" s="18" t="str">
        <x:v>eHSM raw失败与指定err_fw/status bit一致；无无关bit串扰；err_hw不因FW业务错误误置位；锁存/清除符合合同；合法命令恢复成功。</x:v>
      </x:c>
      <x:c r="I9" s="18" t="str">
        <x:v>P0</x:v>
      </x:c>
      <x:c r="J9" s="18" t="str">
        <x:v>L3_EMU_INTEGRATION</x:v>
      </x:c>
      <x:c r="K9" s="18" t="str">
        <x:v>WAVE0_DAY0_SMOKE</x:v>
      </x:c>
      <x:c r="L9" s="18" t="str">
        <x:v>GSP</x:v>
      </x:c>
      <x:c r="M9" s="18" t="str">
        <x:v>待移植</x:v>
      </x:c>
      <x:c r="N9" s="18" t="str">
        <x:v>PLANNED</x:v>
      </x:c>
      <x:c r="O9" s="18" t="str">
        <x:v>NEEDS_EHSM_ERROR_TO_SOC_BIT_MAP</x:v>
      </x:c>
      <x:c r="P9" s="18" t="str">
        <x:v>SRC-0017 芯片系统安全方案 8.5/8.6/8.7/10.3; eHSM HP TRM 4.11 §2.5.2/§12.3/§12.4; EHSM-NEG用例；错误到顶层bit映射待Vendor/RTL冻结</x:v>
      </x:c>
    </x:row>
    <x:row r="10" ht="66" customHeight="1">
      <x:c r="A10" s="18" t="str">
        <x:v>SOC-RESET-001</x:v>
      </x:c>
      <x:c r="B10" s="18" t="str">
        <x:v>RESET</x:v>
      </x:c>
      <x:c r="C10" s="18" t="str">
        <x:v>软件可控复位后的安全状态恢复</x:v>
      </x:c>
      <x:c r="D10" s="18" t="str">
        <x:v>通过现有reset controller、RAS接口或EMU控制触发eHSM reset/SoC warm reset，验证软件可见Mailbox、Firewall和HSM状态按reset matrix清除或保持。</x:v>
      </x:c>
      <x:c r="E10" s="18" t="str">
        <x:v>reset触发方法、reset matrix和测试重入机制已冻结；使用retained marker或外部runner区分复位前后阶段；不由security产品路径擅自reset。</x:v>
      </x:c>
      <x:c r="F10" s="18" t="str">
        <x:v>配置可恢复Firewall/寄存器基线并写入事务sentinel；在idle和可控已提交阶段触发支持的reset；重启测试入口后读取Mailbox/status/error/Firewall；重新初始化并执行健康BASIC。</x:v>
      </x:c>
      <x:c r="G10" s="18" t="str">
        <x:v>eHSM reset、SoC warm reset作为vector；power reset和精确cycle相位留给硬件补充验证。</x:v>
      </x:c>
      <x:c r="H10" s="18" t="str">
        <x:v>复位后无旧事务伪成功或重放；软件可见状态的清除/保持符合矩阵；Firewall无意外放宽；重新初始化后新事务独立成功。</x:v>
      </x:c>
      <x:c r="I10" s="18" t="str">
        <x:v>P0</x:v>
      </x:c>
      <x:c r="J10" s="18" t="str">
        <x:v>L4_FAULT_RELEASE</x:v>
      </x:c>
      <x:c r="K10" s="18" t="str">
        <x:v>WAVE0_DAY0_SMOKE</x:v>
      </x:c>
      <x:c r="L10" s="18" t="str">
        <x:v>GSP</x:v>
      </x:c>
      <x:c r="M10" s="18" t="str">
        <x:v>待移植</x:v>
      </x:c>
      <x:c r="N10" s="18" t="str">
        <x:v>PLANNED</x:v>
      </x:c>
      <x:c r="O10" s="18" t="str">
        <x:v>NEEDS_RESET_CONTROL_AND_MATRIX</x:v>
      </x:c>
      <x:c r="P10" s="18" t="str">
        <x:v>SRC-0016/SRC-0017；reset matrix与控制接口待冻结</x:v>
      </x:c>
    </x:row>
    <x:row r="11" ht="66" customHeight="1">
      <x:c r="A11" s="18" t="str">
        <x:v>SOC-IRQ-001</x:v>
      </x:c>
      <x:c r="B11" s="18" t="str">
        <x:v>IRQ</x:v>
      </x:c>
      <x:c r="C11" s="18" t="str">
        <x:v>Mailbox/错误IRQ软件功能</x:v>
      </x:c>
      <x:c r="D11" s="18" t="str">
        <x:v>通过软件配置APLIC、IRQ mask/clear和handler，验证16路Mailbox IRQ及可软件构造错误IRQ的路由、屏蔽、识别和清除。</x:v>
      </x:c>
      <x:c r="E11" s="18" t="str">
        <x:v>16路encoded IRQ宏已存在；channel到IRQ逐项映射、错误IRQ、mask/clear寄存器和独立测试Profile已冻结；产品首版仍可保持poll。</x:v>
      </x:c>
      <x:c r="F11" s="18" t="str">
        <x:v>逐channel注册handler并enable；提交无副作用命令；检查ISR source/counter；mask后重复并以poll确认事件仍可完成；unmask/clear后复测；对有映射的错误事件执行相同步骤。</x:v>
      </x:c>
      <x:c r="G11" s="18" t="str">
        <x:v>channel 0～15、mask/unmask、连续两次事件和可软件构造错误作为同一case的vector。</x:v>
      </x:c>
      <x:c r="H11" s="18" t="str">
        <x:v>只有对应IRQ/handler计数增加；mask时不进入ISR但轮询状态仍正确；clear后不风暴且下一事件可再次触发；无跨channel串源。pulse/CDC/多源同周期由硬件补充验证。</x:v>
      </x:c>
      <x:c r="I11" s="18" t="str">
        <x:v>P0</x:v>
      </x:c>
      <x:c r="J11" s="18" t="str">
        <x:v>L3_EMU_INTEGRATION</x:v>
      </x:c>
      <x:c r="K11" s="18" t="str">
        <x:v>WAVE0_DAY0_SMOKE</x:v>
      </x:c>
      <x:c r="L11" s="18" t="str">
        <x:v>GSP</x:v>
      </x:c>
      <x:c r="M11" s="18" t="str">
        <x:v>待移植</x:v>
      </x:c>
      <x:c r="N11" s="18" t="str">
        <x:v>PLANNED</x:v>
      </x:c>
      <x:c r="O11" s="18" t="str">
        <x:v>NEEDS_IRQ_CHANNEL_ERROR_MAP_AND_TEST_PROFILE</x:v>
      </x:c>
      <x:c r="P11" s="18" t="str">
        <x:v>CE-SEC-010；SRC-0022；IRQ逐channel和错误源映射待冻结</x:v>
      </x:c>
    </x:row>
  </x:sheetData>
  <x:mergeCells>
    <x:mergeCell ref="A1:P1"/>
  </x:mergeCells>
  <x:conditionalFormatting sqref="O4:O11">
    <x:cfRule type="containsText" dxfId="18" priority="1" operator="containsText" text="BLOCK"/>
    <x:cfRule type="containsText" dxfId="19" priority="2" operator="containsText" text="NEEDS"/>
    <x:cfRule type="containsText" dxfId="20" priority="3" operator="containsText" text="READY"/>
    <x:cfRule type="containsText" dxfId="21" priority="4" operator="containsText" text="COMPLETED"/>
    <x:cfRule type="containsText" dxfId="22" priority="5" operator="containsText" text="SUPERSEDED"/>
    <x:cfRule type="containsText" dxfId="23" priority="6" operator="containsText" text="N/A"/>
  </x:conditionalFormatting>
  <x:pageMargins left="0.7" right="0.7" top="0.75" bottom="0.75" header="0.3" footer="0.3"/>
  <x:tableParts count="1">
    <x:tablePart xmlns:r="http://schemas.openxmlformats.org/officeDocument/2006/relationships" r:id="R3dd5b951956242d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34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18" hidden="0" customWidth="1"/>
    <x:col min="9" max="9" width="38" hidden="0" customWidth="1"/>
    <x:col min="10" max="10" width="20" hidden="0" customWidth="1"/>
    <x:col min="11" max="11" width="20" hidden="0" customWidth="1"/>
    <x:col min="12" max="12" width="42" hidden="0" customWidth="1"/>
  </x:cols>
  <x:sheetData>
    <x:row r="1" ht="30" customHeight="1">
      <x:c r="A1" s="3" t="str">
        <x:v>SoC软件功能case对应的硬件补充验证需求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3" ht="30" customHeight="1">
      <x:c r="A3" s="10" t="str">
        <x:v>需求 ID</x:v>
      </x:c>
      <x:c r="B3" s="22" t="str">
        <x:v>分组</x:v>
      </x:c>
      <x:c r="C3" s="22" t="str">
        <x:v>补充验证目标</x:v>
      </x:c>
      <x:c r="D3" s="22" t="str">
        <x:v>关联软件用例</x:v>
      </x:c>
      <x:c r="E3" s="22" t="str">
        <x:v>软件配置/激励</x:v>
      </x:c>
      <x:c r="F3" s="22" t="str">
        <x:v>软件通过判据</x:v>
      </x:c>
      <x:c r="G3" s="22" t="str">
        <x:v>仍需硬件补充的内容</x:v>
      </x:c>
      <x:c r="H3" s="22" t="str">
        <x:v>建议Owner</x:v>
      </x:c>
      <x:c r="I3" s="22" t="str">
        <x:v>来源/待绑定</x:v>
      </x:c>
      <x:c r="J3" s="22" t="str">
        <x:v>分层结论</x:v>
      </x:c>
      <x:c r="K3" s="22" t="str">
        <x:v>状态</x:v>
      </x:c>
      <x:c r="L3" s="11" t="str">
        <x:v>禁止事项</x:v>
      </x:c>
    </x:row>
    <x:row r="4" ht="78" customHeight="1">
      <x:c r="A4" s="17" t="str">
        <x:v>HW-MBX-001</x:v>
      </x:c>
      <x:c r="B4" s="17" t="str">
        <x:v>MAILBOX_PATH</x:v>
      </x:c>
      <x:c r="C4" s="17" t="str">
        <x:v>16路Mailbox内部译码补充</x:v>
      </x:c>
      <x:c r="D4" s="17" t="str">
        <x:v>SOC-MAILBOX-001</x:v>
      </x:c>
      <x:c r="E4" s="17" t="str">
        <x:v>软件遍历16路并检查响应归属、邻路sentinel和未实现窗口。</x:v>
      </x:c>
      <x:c r="F4" s="17" t="str">
        <x:v>每路功能独立且无软件可见串扰。</x:v>
      </x:c>
      <x:c r="G4" s="17" t="str">
        <x:v>内部address decode/slave select、保留地址全空间和不可见短脉冲断言。</x:v>
      </x:c>
      <x:c r="H4" s="17" t="str">
        <x:v>RTL/DV</x:v>
      </x:c>
      <x:c r="I4" s="17" t="str">
        <x:v>SRC-0018; SRC-0022；direct aperture待冻结</x:v>
      </x:c>
      <x:c r="J4" s="17" t="str">
        <x:v>SOFTWARE_CASE_PLUS_HW_SUPPLEMENT</x:v>
      </x:c>
      <x:c r="K4" s="17" t="str">
        <x:v>PLANNED</x:v>
      </x:c>
      <x:c r="L4" s="17" t="str">
        <x:v>不得要求eHSM固件定制、测试命令或测试钩子；软件功能PASS与硬件补充Evidence分别记录</x:v>
      </x:c>
    </x:row>
    <x:row r="5" ht="78" customHeight="1">
      <x:c r="A5" s="18" t="str">
        <x:v>HW-MBX-002</x:v>
      </x:c>
      <x:c r="B5" s="18" t="str">
        <x:v>MAILBOX_PATH</x:v>
      </x:c>
      <x:c r="C5" s="18" t="str">
        <x:v>INFO/NOTE逐周期与CDC补充</x:v>
      </x:c>
      <x:c r="D5" s="18" t="str">
        <x:v>SOC-MAILBOX-002</x:v>
      </x:c>
      <x:c r="E5" s="18" t="str">
        <x:v>软件记录INFO/NOTE阶段快照、连续事务和轮询结果。</x:v>
      </x:c>
      <x:c r="F5" s="18" t="str">
        <x:v>数据/通知顺序正确，无重放和软件可见丢失。</x:v>
      </x:c>
      <x:c r="G5" s="18" t="str">
        <x:v>逐cycle发布顺序、跨时钟同步、同周期竞争和pulse不丢失。</x:v>
      </x:c>
      <x:c r="H5" s="18" t="str">
        <x:v>RTL/DV</x:v>
      </x:c>
      <x:c r="I5" s="18" t="str">
        <x:v>SRC-0018; eHSM HP TRM</x:v>
      </x:c>
      <x:c r="J5" s="18" t="str">
        <x:v>SOFTWARE_CASE_PLUS_HW_SUPPLEMENT</x:v>
      </x:c>
      <x:c r="K5" s="18" t="str">
        <x:v>PLANNED</x:v>
      </x:c>
      <x:c r="L5" s="18" t="str">
        <x:v>不得要求eHSM固件定制、测试命令或测试钩子；软件功能PASS与硬件补充Evidence分别记录</x:v>
      </x:c>
    </x:row>
    <x:row r="6" ht="78" customHeight="1">
      <x:c r="A6" s="18" t="str">
        <x:v>HW-FW-001</x:v>
      </x:c>
      <x:c r="B6" s="18" t="str">
        <x:v>FIREWALL</x:v>
      </x:c>
      <x:c r="C6" s="18" t="str">
        <x:v>Firewall配置内部阻断补充</x:v>
      </x:c>
      <x:c r="D6" s="18" t="str">
        <x:v>SOC-FIREWALL-001</x:v>
      </x:c>
      <x:c r="E6" s="18" t="str">
        <x:v>C908和非安全管理核写同一配置并回读。</x:v>
      </x:c>
      <x:c r="F6" s="18" t="str">
        <x:v>C908生效，非安全管理核写不生效且配置不变。</x:v>
      </x:c>
      <x:c r="G6" s="18" t="str">
        <x:v>master_id命中、内部write-enable不产生及总线response波形。</x:v>
      </x:c>
      <x:c r="H6" s="18" t="str">
        <x:v>RTL/DV</x:v>
      </x:c>
      <x:c r="I6" s="18" t="str">
        <x:v>精确master_id/寄存器待RTL/SRC-0022冻结</x:v>
      </x:c>
      <x:c r="J6" s="18" t="str">
        <x:v>SOFTWARE_CASE_PLUS_HW_SUPPLEMENT</x:v>
      </x:c>
      <x:c r="K6" s="18" t="str">
        <x:v>PLANNED</x:v>
      </x:c>
      <x:c r="L6" s="18" t="str">
        <x:v>不得要求eHSM固件定制、测试命令或测试钩子；软件功能PASS与硬件补充Evidence分别记录</x:v>
      </x:c>
    </x:row>
    <x:row r="7" ht="78" customHeight="1">
      <x:c r="A7" s="18" t="str">
        <x:v>HW-FW-002</x:v>
      </x:c>
      <x:c r="B7" s="18" t="str">
        <x:v>FIREWALL</x:v>
      </x:c>
      <x:c r="C7" s="18" t="str">
        <x:v>SRAM隔离逐拍阻断补充</x:v>
      </x:c>
      <x:c r="D7" s="18" t="str">
        <x:v>SOC-FIREWALL-002</x:v>
      </x:c>
      <x:c r="E7" s="18" t="str">
        <x:v>软件配置Region并执行授权/未授权读写、边界和guard检查。</x:v>
      </x:c>
      <x:c r="F7" s="18" t="str">
        <x:v>授权访问正确，未授权不读真值且不改变数据。</x:v>
      </x:c>
      <x:c r="G7" s="18" t="str">
        <x:v>跨区/burst每拍判定、slave select/write-enable不产生及不可见瞬态。</x:v>
      </x:c>
      <x:c r="H7" s="18" t="str">
        <x:v>RTL/DV</x:v>
      </x:c>
      <x:c r="I7" s="18" t="str">
        <x:v>SRC-0017 §10.3；Region/权限/response待冻结</x:v>
      </x:c>
      <x:c r="J7" s="18" t="str">
        <x:v>SOFTWARE_CASE_PLUS_HW_SUPPLEMENT</x:v>
      </x:c>
      <x:c r="K7" s="18" t="str">
        <x:v>PLANNED</x:v>
      </x:c>
      <x:c r="L7" s="18" t="str">
        <x:v>不得要求eHSM固件定制、测试命令或测试钩子；软件功能PASS与硬件补充Evidence分别记录</x:v>
      </x:c>
    </x:row>
    <x:row r="8" ht="78" customHeight="1">
      <x:c r="A8" s="18" t="str">
        <x:v>HW-HSM-001</x:v>
      </x:c>
      <x:c r="B8" s="18" t="str">
        <x:v>HSM_STATUS_ERROR</x:v>
      </x:c>
      <x:c r="C8" s="18" t="str">
        <x:v>状态/错误未覆盖bit映射补充</x:v>
      </x:c>
      <x:c r="D8" s="18" t="str">
        <x:v>SOC-HSM-STATUS-001 + SOC-HSM-ERROR-001</x:v>
      </x:c>
      <x:c r="E8" s="18" t="str">
        <x:v>软件读取正常态并用已有负向命令驱动可构造bit。</x:v>
      </x:c>
      <x:c r="F8" s="18" t="str">
        <x:v>正常值和已映射错误bit读取正确，无无关bit串扰。</x:v>
      </x:c>
      <x:c r="G8" s="18" t="str">
        <x:v>软件无法自然驱动的全部实现bit、极性、宽度、CDC/锁存和保留位。</x:v>
      </x:c>
      <x:c r="H8" s="18" t="str">
        <x:v>eHSM/RTL/DV</x:v>
      </x:c>
      <x:c r="I8" s="18" t="str">
        <x:v>SRC-0018; SRC-0022；bit map待冻结</x:v>
      </x:c>
      <x:c r="J8" s="18" t="str">
        <x:v>SOFTWARE_CASE_PLUS_HW_SUPPLEMENT</x:v>
      </x:c>
      <x:c r="K8" s="18" t="str">
        <x:v>PLANNED</x:v>
      </x:c>
      <x:c r="L8" s="18" t="str">
        <x:v>不得要求eHSM固件定制、测试命令或测试钩子；软件功能PASS与硬件补充Evidence分别记录</x:v>
      </x:c>
    </x:row>
    <x:row r="9" ht="78" customHeight="1">
      <x:c r="A9" s="18" t="str">
        <x:v>HW-HSM-002</x:v>
      </x:c>
      <x:c r="B9" s="18" t="str">
        <x:v>HSM_STATUS_ERROR</x:v>
      </x:c>
      <x:c r="C9" s="18" t="str">
        <x:v>硬件错误源与pulse行为补充</x:v>
      </x:c>
      <x:c r="D9" s="18" t="str">
        <x:v>SOC-HSM-ERROR-001</x:v>
      </x:c>
      <x:c r="E9" s="18" t="str">
        <x:v>软件用错误签名/MAC/Key等已映射FW错误检查锁存、清除和恢复。</x:v>
      </x:c>
      <x:c r="F9" s="18" t="str">
        <x:v>raw错误、目标err_fw/status bit及清除恢复一致。</x:v>
      </x:c>
      <x:c r="G9" s="18" t="str">
        <x:v>ECC/watchdog等硬件错误、无法公开构造的err_hw、pulse捕获和计数边界。</x:v>
      </x:c>
      <x:c r="H9" s="18" t="str">
        <x:v>eHSM/RTL/DV</x:v>
      </x:c>
      <x:c r="I9" s="18" t="str">
        <x:v>错误源到输出映射和fault model待冻结</x:v>
      </x:c>
      <x:c r="J9" s="18" t="str">
        <x:v>SOFTWARE_CASE_PLUS_HW_SUPPLEMENT</x:v>
      </x:c>
      <x:c r="K9" s="18" t="str">
        <x:v>PLANNED</x:v>
      </x:c>
      <x:c r="L9" s="18" t="str">
        <x:v>不得要求eHSM固件定制、测试命令或测试钩子；软件功能PASS与硬件补充Evidence分别记录</x:v>
      </x:c>
    </x:row>
    <x:row r="10" ht="78" customHeight="1">
      <x:c r="A10" s="18" t="str">
        <x:v>HW-RST-001</x:v>
      </x:c>
      <x:c r="B10" s="18" t="str">
        <x:v>RESET</x:v>
      </x:c>
      <x:c r="C10" s="18" t="str">
        <x:v>精确复位相位和内部状态补充</x:v>
      </x:c>
      <x:c r="D10" s="18" t="str">
        <x:v>SOC-RESET-001</x:v>
      </x:c>
      <x:c r="E10" s="18" t="str">
        <x:v>软件触发可控eHSM/warm reset并检查重启后的Mailbox/Firewall/status/error。</x:v>
      </x:c>
      <x:c r="F10" s="18" t="str">
        <x:v>无旧事务伪成功/重放，软件可见清除/保持符合matrix。</x:v>
      </x:c>
      <x:c r="G10" s="18" t="str">
        <x:v>power reset、精确请求相位、内部状态机/reset domain/CDC和不可见瞬态。</x:v>
      </x:c>
      <x:c r="H10" s="18" t="str">
        <x:v>RTL/DV/SoC</x:v>
      </x:c>
      <x:c r="I10" s="18" t="str">
        <x:v>reset control与matrix待冻结</x:v>
      </x:c>
      <x:c r="J10" s="18" t="str">
        <x:v>SOFTWARE_CASE_PLUS_HW_SUPPLEMENT</x:v>
      </x:c>
      <x:c r="K10" s="18" t="str">
        <x:v>PLANNED</x:v>
      </x:c>
      <x:c r="L10" s="18" t="str">
        <x:v>不得要求eHSM固件定制、测试命令或测试钩子；软件功能PASS与硬件补充Evidence分别记录</x:v>
      </x:c>
    </x:row>
    <x:row r="11" ht="78" customHeight="1">
      <x:c r="A11" s="18" t="str">
        <x:v>HW-IRQ-001</x:v>
      </x:c>
      <x:c r="B11" s="18" t="str">
        <x:v>INTERRUPT</x:v>
      </x:c>
      <x:c r="C11" s="18" t="str">
        <x:v>IRQ逐周期与多源并发补充</x:v>
      </x:c>
      <x:c r="D11" s="18" t="str">
        <x:v>SOC-IRQ-001</x:v>
      </x:c>
      <x:c r="E11" s="18" t="str">
        <x:v>软件配置APLIC、mask/clear/handler并逐channel触发命令和可构造错误。</x:v>
      </x:c>
      <x:c r="F11" s="18" t="str">
        <x:v>正确source/handler，mask/clear有效，无软件可见串源或风暴。</x:v>
      </x:c>
      <x:c r="G11" s="18" t="str">
        <x:v>pulse宽度、CDC、聚合逻辑、多源同周期、优先级和无法软件构造的错误IRQ。</x:v>
      </x:c>
      <x:c r="H11" s="18" t="str">
        <x:v>RTL/DV</x:v>
      </x:c>
      <x:c r="I11" s="18" t="str">
        <x:v>SRC-0022已有16路宏；逐channel/error map待冻结</x:v>
      </x:c>
      <x:c r="J11" s="18" t="str">
        <x:v>SOFTWARE_CASE_PLUS_HW_SUPPLEMENT</x:v>
      </x:c>
      <x:c r="K11" s="18" t="str">
        <x:v>PLANNED</x:v>
      </x:c>
      <x:c r="L11" s="18" t="str">
        <x:v>不得要求eHSM固件定制、测试命令或测试钩子；软件功能PASS与硬件补充Evidence分别记录</x:v>
      </x:c>
    </x:row>
  </x:sheetData>
  <x:mergeCells>
    <x:mergeCell ref="A1:L1"/>
  </x:mergeCells>
  <x:conditionalFormatting sqref="J4:K11">
    <x:cfRule type="containsText" dxfId="24" priority="1" operator="containsText" text="BLOCK"/>
    <x:cfRule type="containsText" dxfId="25" priority="2" operator="containsText" text="NEEDS"/>
    <x:cfRule type="containsText" dxfId="26" priority="3" operator="containsText" text="READY"/>
    <x:cfRule type="containsText" dxfId="27" priority="4" operator="containsText" text="COMPLETED"/>
    <x:cfRule type="containsText" dxfId="28" priority="5" operator="containsText" text="SUPERSEDED"/>
    <x:cfRule type="containsText" dxfId="29" priority="6" operator="containsText" text="N/A"/>
  </x:conditionalFormatting>
  <x:pageMargins left="0.7" right="0.7" top="0.75" bottom="0.75" header="0.3" footer="0.3"/>
  <x:tableParts count="1">
    <x:tablePart xmlns:r="http://schemas.openxmlformats.org/officeDocument/2006/relationships" r:id="Rfa2e7679a5ef4cb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20" hidden="0" customWidth="1"/>
    <x:col min="5" max="5" width="42" hidden="0" customWidth="1"/>
    <x:col min="6" max="6" width="10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42" hidden="0" customWidth="1"/>
    <x:col min="15" max="15" width="42" hidden="0" customWidth="1"/>
    <x:col min="16" max="16" width="42" hidden="0" customWidth="1"/>
    <x:col min="17" max="17" width="42" hidden="0" customWidth="1"/>
    <x:col min="18" max="18" width="42" hidden="0" customWidth="1"/>
    <x:col min="19" max="19" width="42" hidden="0" customWidth="1"/>
    <x:col min="20" max="20" width="28" hidden="0" customWidth="1"/>
  </x:cols>
  <x:sheetData>
    <x:row r="1" ht="30" customHeight="1">
      <x:c r="A1" s="3" t="str">
        <x:v>供后续 Codex 使用的 bare-metal 软件用例移植指导（74条；8项硬件补充不移植）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3" ht="30" customHeight="1">
      <x:c r="A3" s="10" t="str">
        <x:v>用例 ID</x:v>
      </x:c>
      <x:c r="B3" s="22" t="str">
        <x:v>来源工作表</x:v>
      </x:c>
      <x:c r="C3" s="22" t="str">
        <x:v>域</x:v>
      </x:c>
      <x:c r="D3" s="22" t="str">
        <x:v>分组</x:v>
      </x:c>
      <x:c r="E3" s="22" t="str">
        <x:v>名称</x:v>
      </x:c>
      <x:c r="F3" s="22" t="str">
        <x:v>优先级</x:v>
      </x:c>
      <x:c r="G3" s="22" t="str">
        <x:v>实现难度</x:v>
      </x:c>
      <x:c r="H3" s="22" t="str">
        <x:v>验证层级</x:v>
      </x:c>
      <x:c r="I3" s="22" t="str">
        <x:v>波次</x:v>
      </x:c>
      <x:c r="J3" s="22" t="str">
        <x:v>目标仓库</x:v>
      </x:c>
      <x:c r="K3" s="22" t="str">
        <x:v>设计状态</x:v>
      </x:c>
      <x:c r="L3" s="22" t="str">
        <x:v>流片前门禁</x:v>
      </x:c>
      <x:c r="M3" s="22" t="str">
        <x:v>准入门禁</x:v>
      </x:c>
      <x:c r="N3" s="22" t="str">
        <x:v>移植实现要求</x:v>
      </x:c>
      <x:c r="O3" s="22" t="str">
        <x:v>所需输入</x:v>
      </x:c>
      <x:c r="P3" s="22" t="str">
        <x:v>禁止事项</x:v>
      </x:c>
      <x:c r="Q3" s="22" t="str">
        <x:v>完成标准</x:v>
      </x:c>
      <x:c r="R3" s="22" t="str">
        <x:v>Evidence 要求</x:v>
      </x:c>
      <x:c r="S3" s="22" t="str">
        <x:v>Codex 执行顺序</x:v>
      </x:c>
      <x:c r="T3" s="11" t="str">
        <x:v>备注</x:v>
      </x:c>
    </x:row>
    <x:row r="4" ht="72" customHeight="1">
      <x:c r="A4" s="17" t="str">
        <x:v>MB-BL-001-BASIC</x:v>
      </x:c>
      <x:c r="B4" s="17" t="str">
        <x:v>Mailbox用例</x:v>
      </x:c>
      <x:c r="C4" s="17" t="str">
        <x:v>MAILBOX_COMMAND</x:v>
      </x:c>
      <x:c r="D4" s="17" t="str">
        <x:v>BASIC</x:v>
      </x:c>
      <x:c r="E4" s="17" t="str">
        <x:v>MB_CMD_ID_BL_READ_VER - BASIC</x:v>
      </x:c>
      <x:c r="F4" s="17" t="str">
        <x:v>P0</x:v>
      </x:c>
      <x:c r="G4" s="17" t="str">
        <x:v>LOW</x:v>
      </x:c>
      <x:c r="H4" s="17" t="str">
        <x:v>L3_EMU_INTEGRATION</x:v>
      </x:c>
      <x:c r="I4" s="17" t="str">
        <x:v>WAVE0_DAY0_SMOKE</x:v>
      </x:c>
      <x:c r="J4" s="17" t="str">
        <x:v>../baremetal</x:v>
      </x:c>
      <x:c r="K4" s="17" t="str">
        <x:v>DESIGN_COMPLETE</x:v>
      </x:c>
      <x:c r="L4" s="17" t="str">
        <x:v>MUST_PASS_BASIC</x:v>
      </x:c>
      <x:c r="M4" s="17" t="str">
        <x:v>READY_AFTER_BASELINE</x:v>
      </x:c>
      <x:c r="N4" s="17" t="str">
        <x:v>BASIC复用Vendor正式Typed API和真实Mailbox闭环；保留case_id</x:v>
      </x:c>
      <x:c r="O4" s="17" t="str">
        <x:v>READY_AFTER_BASELINE; 实施前登记 ../baremetal branch/commit、RTL/eHSM/软件 baseline，以及本用例所需的冻结地址、master_id、Region/权限编码</x:v>
      </x:c>
      <x:c r="P4" s="17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4" s="17" t="str">
        <x:v>可构建；可枚举和单独执行；结果为 PASS/FAIL/INCONCLUSIVE；Expected 可追溯；日志含 case ID、baseline、输入/输出摘要和错误码</x:v>
      </x:c>
      <x:c r="R4" s="17" t="str">
        <x:v>至少保留run ID、case/vector ID、baseline、Mailbox提交证据、raw eHSM返回、对象/Flash/counter/状态前后快照和日志哈希；硬件内部信号证据由硬件验证团队提供</x:v>
      </x:c>
      <x:c r="S4" s="17" t="str">
        <x:v>先检查 ../baremetal 现状和仓库规则，再规划落点并实现；本表不预设目录、模块、Runner 或文件名</x:v>
      </x:c>
      <x:c r="T4" s="17" t="str"/>
    </x:row>
    <x:row r="5" ht="72" customHeight="1">
      <x:c r="A5" s="18" t="str">
        <x:v>MB-BL-002-BASIC</x:v>
      </x:c>
      <x:c r="B5" s="18" t="str">
        <x:v>Mailbox用例</x:v>
      </x:c>
      <x:c r="C5" s="18" t="str">
        <x:v>MAILBOX_COMMAND</x:v>
      </x:c>
      <x:c r="D5" s="18" t="str">
        <x:v>BASIC</x:v>
      </x:c>
      <x:c r="E5" s="18" t="str">
        <x:v>MB_CMD_ID_BL_OTP_READ - BASIC</x:v>
      </x:c>
      <x:c r="F5" s="18" t="str">
        <x:v>P0</x:v>
      </x:c>
      <x:c r="G5" s="18" t="str">
        <x:v>MEDIUM_HIGH</x:v>
      </x:c>
      <x:c r="H5" s="18" t="str">
        <x:v>L3_EMU_INTEGRATION</x:v>
      </x:c>
      <x:c r="I5" s="18" t="str">
        <x:v>WAVE1_ROOT_OF_TRUST</x:v>
      </x:c>
      <x:c r="J5" s="18" t="str">
        <x:v>../baremetal</x:v>
      </x:c>
      <x:c r="K5" s="18" t="str">
        <x:v>DESIGN_COMPLETE</x:v>
      </x:c>
      <x:c r="L5" s="18" t="str">
        <x:v>MUST_PASS_BASIC</x:v>
      </x:c>
      <x:c r="M5" s="18" t="str">
        <x:v>READY_AFTER_BASELINE</x:v>
      </x:c>
      <x:c r="N5" s="18" t="str">
        <x:v>BASIC复用Vendor正式Typed API和真实Mailbox闭环；保留case_id</x:v>
      </x:c>
      <x:c r="O5" s="18" t="str">
        <x:v>READY_AFTER_BASELINE; 实施前登记 ../baremetal branch/commit、RTL/eHSM/软件 baseline，以及本用例所需的冻结地址、master_id、Region/权限编码</x:v>
      </x:c>
      <x:c r="P5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5" s="18" t="str">
        <x:v>可构建；可枚举和单独执行；结果为 PASS/FAIL/INCONCLUSIVE；Expected 可追溯；日志含 case ID、baseline、输入/输出摘要和错误码</x:v>
      </x:c>
      <x:c r="R5" s="18" t="str">
        <x:v>至少保留run ID、case/vector ID、baseline、Mailbox提交证据、raw eHSM返回、对象/Flash/counter/状态前后快照和日志哈希；硬件内部信号证据由硬件验证团队提供</x:v>
      </x:c>
      <x:c r="S5" s="18" t="str">
        <x:v>先检查 ../baremetal 现状和仓库规则，再规划落点并实现；本表不预设目录、模块、Runner 或文件名</x:v>
      </x:c>
      <x:c r="T5" s="18" t="str"/>
    </x:row>
    <x:row r="6" ht="72" customHeight="1">
      <x:c r="A6" s="18" t="str">
        <x:v>MB-BL-003-BASIC</x:v>
      </x:c>
      <x:c r="B6" s="18" t="str">
        <x:v>Mailbox用例</x:v>
      </x:c>
      <x:c r="C6" s="18" t="str">
        <x:v>MAILBOX_COMMAND</x:v>
      </x:c>
      <x:c r="D6" s="18" t="str">
        <x:v>BASIC</x:v>
      </x:c>
      <x:c r="E6" s="18" t="str">
        <x:v>MB_CMD_ID_BL_OTP_WRITE - BASIC</x:v>
      </x:c>
      <x:c r="F6" s="18" t="str">
        <x:v>P0</x:v>
      </x:c>
      <x:c r="G6" s="18" t="str">
        <x:v>HIGH</x:v>
      </x:c>
      <x:c r="H6" s="18" t="str">
        <x:v>L3_EMU_INTEGRATION</x:v>
      </x:c>
      <x:c r="I6" s="18" t="str">
        <x:v>WAVE1_ROOT_OF_TRUST</x:v>
      </x:c>
      <x:c r="J6" s="18" t="str">
        <x:v>../baremetal</x:v>
      </x:c>
      <x:c r="K6" s="18" t="str">
        <x:v>DESIGN_COMPLETE</x:v>
      </x:c>
      <x:c r="L6" s="18" t="str">
        <x:v>DEDICATED_FIXTURE_OR_INCONCLUSIVE</x:v>
      </x:c>
      <x:c r="M6" s="18" t="str">
        <x:v>NEEDS_DEDICATED_FIXTURE_AND_APPROVAL</x:v>
      </x:c>
      <x:c r="N6" s="18" t="str">
        <x:v>BASIC复用Vendor正式Typed API和真实Mailbox闭环；保留case_id</x:v>
      </x:c>
      <x:c r="O6" s="18" t="str">
        <x:v>NEEDS_DEDICATED_FIXTURE_AND_APPROVAL; 实施前登记 ../baremetal branch/commit、RTL/eHSM/软件 baseline，以及本用例所需的冻结地址、master_id、Region/权限编码</x:v>
      </x:c>
      <x:c r="P6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6" s="18" t="str">
        <x:v>可构建；可枚举和单独执行；结果为 PASS/FAIL/INCONCLUSIVE；Expected 可追溯；日志含 case ID、baseline、输入/输出摘要和错误码</x:v>
      </x:c>
      <x:c r="R6" s="18" t="str">
        <x:v>至少保留run ID、case/vector ID、baseline、Mailbox提交证据、raw eHSM返回、对象/Flash/counter/状态前后快照和日志哈希；硬件内部信号证据由硬件验证团队提供</x:v>
      </x:c>
      <x:c r="S6" s="18" t="str">
        <x:v>先检查 ../baremetal 现状和仓库规则，再规划落点并实现；本表不预设目录、模块、Runner 或文件名</x:v>
      </x:c>
      <x:c r="T6" s="18" t="str"/>
    </x:row>
    <x:row r="7" ht="72" customHeight="1">
      <x:c r="A7" s="18" t="str">
        <x:v>MB-BL-004-BASIC</x:v>
      </x:c>
      <x:c r="B7" s="18" t="str">
        <x:v>Mailbox用例</x:v>
      </x:c>
      <x:c r="C7" s="18" t="str">
        <x:v>MAILBOX_COMMAND</x:v>
      </x:c>
      <x:c r="D7" s="18" t="str">
        <x:v>BASIC</x:v>
      </x:c>
      <x:c r="E7" s="18" t="str">
        <x:v>MB_CMD_ID_BL_REG_RD - BASIC</x:v>
      </x:c>
      <x:c r="F7" s="18" t="str">
        <x:v>P0</x:v>
      </x:c>
      <x:c r="G7" s="18" t="str">
        <x:v>MEDIUM_HIGH</x:v>
      </x:c>
      <x:c r="H7" s="18" t="str">
        <x:v>L3_EMU_INTEGRATION</x:v>
      </x:c>
      <x:c r="I7" s="18" t="str">
        <x:v>WAVE4_CRYPTO_COMPAT_VENDOR</x:v>
      </x:c>
      <x:c r="J7" s="18" t="str">
        <x:v>../baremetal</x:v>
      </x:c>
      <x:c r="K7" s="18" t="str">
        <x:v>DESIGN_COMPLETE</x:v>
      </x:c>
      <x:c r="L7" s="18" t="str">
        <x:v>MUST_PASS_BASIC</x:v>
      </x:c>
      <x:c r="M7" s="18" t="str">
        <x:v>READY_AFTER_BASELINE</x:v>
      </x:c>
      <x:c r="N7" s="18" t="str">
        <x:v>BASIC复用Vendor正式Typed API和真实Mailbox闭环；保留case_id</x:v>
      </x:c>
      <x:c r="O7" s="18" t="str">
        <x:v>READY_AFTER_BASELINE; 实施前登记 ../baremetal branch/commit、RTL/eHSM/软件 baseline，以及本用例所需的冻结地址、master_id、Region/权限编码</x:v>
      </x:c>
      <x:c r="P7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7" s="18" t="str">
        <x:v>可构建；可枚举和单独执行；结果为 PASS/FAIL/INCONCLUSIVE；Expected 可追溯；日志含 case ID、baseline、输入/输出摘要和错误码</x:v>
      </x:c>
      <x:c r="R7" s="18" t="str">
        <x:v>至少保留run ID、case/vector ID、baseline、Mailbox提交证据、raw eHSM返回、对象/Flash/counter/状态前后快照和日志哈希；硬件内部信号证据由硬件验证团队提供</x:v>
      </x:c>
      <x:c r="S7" s="18" t="str">
        <x:v>先检查 ../baremetal 现状和仓库规则，再规划落点并实现；本表不预设目录、模块、Runner 或文件名</x:v>
      </x:c>
      <x:c r="T7" s="18" t="str"/>
    </x:row>
    <x:row r="8" ht="72" customHeight="1">
      <x:c r="A8" s="18" t="str">
        <x:v>MB-BL-005-BASIC</x:v>
      </x:c>
      <x:c r="B8" s="18" t="str">
        <x:v>Mailbox用例</x:v>
      </x:c>
      <x:c r="C8" s="18" t="str">
        <x:v>MAILBOX_COMMAND</x:v>
      </x:c>
      <x:c r="D8" s="18" t="str">
        <x:v>BASIC</x:v>
      </x:c>
      <x:c r="E8" s="18" t="str">
        <x:v>MB_CMD_ID_BL_REG_WR - BASIC</x:v>
      </x:c>
      <x:c r="F8" s="18" t="str">
        <x:v>P0</x:v>
      </x:c>
      <x:c r="G8" s="18" t="str">
        <x:v>MEDIUM_HIGH</x:v>
      </x:c>
      <x:c r="H8" s="18" t="str">
        <x:v>L3_EMU_INTEGRATION</x:v>
      </x:c>
      <x:c r="I8" s="18" t="str">
        <x:v>WAVE4_CRYPTO_COMPAT_VENDOR</x:v>
      </x:c>
      <x:c r="J8" s="18" t="str">
        <x:v>../baremetal</x:v>
      </x:c>
      <x:c r="K8" s="18" t="str">
        <x:v>DESIGN_COMPLETE</x:v>
      </x:c>
      <x:c r="L8" s="18" t="str">
        <x:v>MUST_PASS_BASIC</x:v>
      </x:c>
      <x:c r="M8" s="18" t="str">
        <x:v>NEEDS_DEDICATED_FIXTURE_AND_APPROVAL</x:v>
      </x:c>
      <x:c r="N8" s="18" t="str">
        <x:v>BASIC复用Vendor正式Typed API和真实Mailbox闭环；保留case_id</x:v>
      </x:c>
      <x:c r="O8" s="18" t="str">
        <x:v>NEEDS_DEDICATED_FIXTURE_AND_APPROVAL; 实施前登记 ../baremetal branch/commit、RTL/eHSM/软件 baseline，以及本用例所需的冻结地址、master_id、Region/权限编码</x:v>
      </x:c>
      <x:c r="P8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8" s="18" t="str">
        <x:v>可构建；可枚举和单独执行；结果为 PASS/FAIL/INCONCLUSIVE；Expected 可追溯；日志含 case ID、baseline、输入/输出摘要和错误码</x:v>
      </x:c>
      <x:c r="R8" s="18" t="str">
        <x:v>至少保留run ID、case/vector ID、baseline、Mailbox提交证据、raw eHSM返回、对象/Flash/counter/状态前后快照和日志哈希；硬件内部信号证据由硬件验证团队提供</x:v>
      </x:c>
      <x:c r="S8" s="18" t="str">
        <x:v>先检查 ../baremetal 现状和仓库规则，再规划落点并实现；本表不预设目录、模块、Runner 或文件名</x:v>
      </x:c>
      <x:c r="T8" s="18" t="str"/>
    </x:row>
    <x:row r="9" ht="72" customHeight="1">
      <x:c r="A9" s="18" t="str">
        <x:v>MB-BL-006-BASIC</x:v>
      </x:c>
      <x:c r="B9" s="18" t="str">
        <x:v>Mailbox用例</x:v>
      </x:c>
      <x:c r="C9" s="18" t="str">
        <x:v>MAILBOX_COMMAND</x:v>
      </x:c>
      <x:c r="D9" s="18" t="str">
        <x:v>BASIC</x:v>
      </x:c>
      <x:c r="E9" s="18" t="str">
        <x:v>MB_CMD_ID_BL_FW_UPGRADE - BASIC</x:v>
      </x:c>
      <x:c r="F9" s="18" t="str">
        <x:v>P0</x:v>
      </x:c>
      <x:c r="G9" s="18" t="str">
        <x:v>HIGH</x:v>
      </x:c>
      <x:c r="H9" s="18" t="str">
        <x:v>L3_EMU_INTEGRATION</x:v>
      </x:c>
      <x:c r="I9" s="18" t="str">
        <x:v>WAVE1_ROOT_OF_TRUST</x:v>
      </x:c>
      <x:c r="J9" s="18" t="str">
        <x:v>../baremetal</x:v>
      </x:c>
      <x:c r="K9" s="18" t="str">
        <x:v>DESIGN_COMPLETE</x:v>
      </x:c>
      <x:c r="L9" s="18" t="str">
        <x:v>DEDICATED_FIXTURE_OR_INCONCLUSIVE</x:v>
      </x:c>
      <x:c r="M9" s="18" t="str">
        <x:v>NEEDS_DEDICATED_FIXTURE_AND_APPROVAL</x:v>
      </x:c>
      <x:c r="N9" s="18" t="str">
        <x:v>BASIC复用Vendor正式Typed API和真实Mailbox闭环；保留case_id</x:v>
      </x:c>
      <x:c r="O9" s="18" t="str">
        <x:v>NEEDS_DEDICATED_FIXTURE_AND_APPROVAL; 实施前登记 ../baremetal branch/commit、RTL/eHSM/软件 baseline，以及本用例所需的冻结地址、master_id、Region/权限编码</x:v>
      </x:c>
      <x:c r="P9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9" s="18" t="str">
        <x:v>可构建；可枚举和单独执行；结果为 PASS/FAIL/INCONCLUSIVE；Expected 可追溯；日志含 case ID、baseline、输入/输出摘要和错误码</x:v>
      </x:c>
      <x:c r="R9" s="18" t="str">
        <x:v>至少保留run ID、case/vector ID、baseline、Mailbox提交证据、raw eHSM返回、对象/Flash/counter/状态前后快照和日志哈希；硬件内部信号证据由硬件验证团队提供</x:v>
      </x:c>
      <x:c r="S9" s="18" t="str">
        <x:v>先检查 ../baremetal 现状和仓库规则，再规划落点并实现；本表不预设目录、模块、Runner 或文件名</x:v>
      </x:c>
      <x:c r="T9" s="18" t="str"/>
    </x:row>
    <x:row r="10" ht="72" customHeight="1">
      <x:c r="A10" s="18" t="str">
        <x:v>MB-BL-007-BASIC</x:v>
      </x:c>
      <x:c r="B10" s="18" t="str">
        <x:v>Mailbox用例</x:v>
      </x:c>
      <x:c r="C10" s="18" t="str">
        <x:v>MAILBOX_COMMAND</x:v>
      </x:c>
      <x:c r="D10" s="18" t="str">
        <x:v>BASIC</x:v>
      </x:c>
      <x:c r="E10" s="18" t="str">
        <x:v>MB_CMD_ID_BL_VERIFY_IMAGE - BASIC</x:v>
      </x:c>
      <x:c r="F10" s="18" t="str">
        <x:v>P0</x:v>
      </x:c>
      <x:c r="G10" s="18" t="str">
        <x:v>MEDIUM_HIGH</x:v>
      </x:c>
      <x:c r="H10" s="18" t="str">
        <x:v>L3_EMU_INTEGRATION</x:v>
      </x:c>
      <x:c r="I10" s="18" t="str">
        <x:v>WAVE1_ROOT_OF_TRUST</x:v>
      </x:c>
      <x:c r="J10" s="18" t="str">
        <x:v>../baremetal</x:v>
      </x:c>
      <x:c r="K10" s="18" t="str">
        <x:v>DESIGN_COMPLETE</x:v>
      </x:c>
      <x:c r="L10" s="18" t="str">
        <x:v>MUST_PASS_BASIC</x:v>
      </x:c>
      <x:c r="M10" s="18" t="str">
        <x:v>READY_AFTER_BASELINE</x:v>
      </x:c>
      <x:c r="N10" s="18" t="str">
        <x:v>BASIC复用Vendor正式Typed API和真实Mailbox闭环；保留case_id</x:v>
      </x:c>
      <x:c r="O10" s="18" t="str">
        <x:v>READY_AFTER_BASELINE; 实施前登记 ../baremetal branch/commit、RTL/eHSM/软件 baseline，以及本用例所需的冻结地址、master_id、Region/权限编码</x:v>
      </x:c>
      <x:c r="P10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10" s="18" t="str">
        <x:v>可构建；可枚举和单独执行；结果为 PASS/FAIL/INCONCLUSIVE；Expected 可追溯；日志含 case ID、baseline、输入/输出摘要和错误码</x:v>
      </x:c>
      <x:c r="R10" s="18" t="str">
        <x:v>至少保留run ID、case/vector ID、baseline、Mailbox提交证据、raw eHSM返回、对象/Flash/counter/状态前后快照和日志哈希；硬件内部信号证据由硬件验证团队提供</x:v>
      </x:c>
      <x:c r="S10" s="18" t="str">
        <x:v>先检查 ../baremetal 现状和仓库规则，再规划落点并实现；本表不预设目录、模块、Runner 或文件名</x:v>
      </x:c>
      <x:c r="T10" s="18" t="str"/>
    </x:row>
    <x:row r="11" ht="72" customHeight="1">
      <x:c r="A11" s="18" t="str">
        <x:v>MB-BL-008-BASIC</x:v>
      </x:c>
      <x:c r="B11" s="18" t="str">
        <x:v>Mailbox用例</x:v>
      </x:c>
      <x:c r="C11" s="18" t="str">
        <x:v>MAILBOX_COMMAND</x:v>
      </x:c>
      <x:c r="D11" s="18" t="str">
        <x:v>BASIC</x:v>
      </x:c>
      <x:c r="E11" s="18" t="str">
        <x:v>MB_CMD_ID_BL_GET_RANDOM_KEY - BASIC</x:v>
      </x:c>
      <x:c r="F11" s="18" t="str">
        <x:v>P0</x:v>
      </x:c>
      <x:c r="G11" s="18" t="str">
        <x:v>MEDIUM_HIGH</x:v>
      </x:c>
      <x:c r="H11" s="18" t="str">
        <x:v>L3_EMU_INTEGRATION</x:v>
      </x:c>
      <x:c r="I11" s="18" t="str">
        <x:v>WAVE2_IDENTITY_KEY_PERMISSION</x:v>
      </x:c>
      <x:c r="J11" s="18" t="str">
        <x:v>../baremetal</x:v>
      </x:c>
      <x:c r="K11" s="18" t="str">
        <x:v>DESIGN_COMPLETE</x:v>
      </x:c>
      <x:c r="L11" s="18" t="str">
        <x:v>MUST_PASS_BASIC</x:v>
      </x:c>
      <x:c r="M11" s="18" t="str">
        <x:v>READY_AFTER_BASELINE</x:v>
      </x:c>
      <x:c r="N11" s="18" t="str">
        <x:v>BASIC复用Vendor正式Typed API和真实Mailbox闭环；保留case_id</x:v>
      </x:c>
      <x:c r="O11" s="18" t="str">
        <x:v>READY_AFTER_BASELINE; 实施前登记 ../baremetal branch/commit、RTL/eHSM/软件 baseline，以及本用例所需的冻结地址、master_id、Region/权限编码</x:v>
      </x:c>
      <x:c r="P11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11" s="18" t="str">
        <x:v>可构建；可枚举和单独执行；结果为 PASS/FAIL/INCONCLUSIVE；Expected 可追溯；日志含 case ID、baseline、输入/输出摘要和错误码</x:v>
      </x:c>
      <x:c r="R11" s="18" t="str">
        <x:v>至少保留run ID、case/vector ID、baseline、Mailbox提交证据、raw eHSM返回、对象/Flash/counter/状态前后快照和日志哈希；硬件内部信号证据由硬件验证团队提供</x:v>
      </x:c>
      <x:c r="S11" s="18" t="str">
        <x:v>先检查 ../baremetal 现状和仓库规则，再规划落点并实现；本表不预设目录、模块、Runner 或文件名</x:v>
      </x:c>
      <x:c r="T11" s="18" t="str"/>
    </x:row>
    <x:row r="12" ht="72" customHeight="1">
      <x:c r="A12" s="18" t="str">
        <x:v>MB-BL-009-BASIC</x:v>
      </x:c>
      <x:c r="B12" s="18" t="str">
        <x:v>Mailbox用例</x:v>
      </x:c>
      <x:c r="C12" s="18" t="str">
        <x:v>MAILBOX_COMMAND</x:v>
      </x:c>
      <x:c r="D12" s="18" t="str">
        <x:v>BASIC</x:v>
      </x:c>
      <x:c r="E12" s="18" t="str">
        <x:v>MB_CMD_ID_BL_ENCRYPT_KEY - BASIC</x:v>
      </x:c>
      <x:c r="F12" s="18" t="str">
        <x:v>P0</x:v>
      </x:c>
      <x:c r="G12" s="18" t="str">
        <x:v>MEDIUM_HIGH</x:v>
      </x:c>
      <x:c r="H12" s="18" t="str">
        <x:v>L3_EMU_INTEGRATION</x:v>
      </x:c>
      <x:c r="I12" s="18" t="str">
        <x:v>WAVE2_IDENTITY_KEY_PERMISSION</x:v>
      </x:c>
      <x:c r="J12" s="18" t="str">
        <x:v>../baremetal</x:v>
      </x:c>
      <x:c r="K12" s="18" t="str">
        <x:v>DESIGN_COMPLETE</x:v>
      </x:c>
      <x:c r="L12" s="18" t="str">
        <x:v>MUST_PASS_BASIC</x:v>
      </x:c>
      <x:c r="M12" s="18" t="str">
        <x:v>READY_AFTER_BASELINE</x:v>
      </x:c>
      <x:c r="N12" s="18" t="str">
        <x:v>BASIC复用Vendor正式Typed API和真实Mailbox闭环；保留case_id</x:v>
      </x:c>
      <x:c r="O12" s="18" t="str">
        <x:v>READY_AFTER_BASELINE; 实施前登记 ../baremetal branch/commit、RTL/eHSM/软件 baseline，以及本用例所需的冻结地址、master_id、Region/权限编码</x:v>
      </x:c>
      <x:c r="P12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12" s="18" t="str">
        <x:v>可构建；可枚举和单独执行；结果为 PASS/FAIL/INCONCLUSIVE；Expected 可追溯；日志含 case ID、baseline、输入/输出摘要和错误码</x:v>
      </x:c>
      <x:c r="R12" s="18" t="str">
        <x:v>至少保留run ID、case/vector ID、baseline、Mailbox提交证据、raw eHSM返回、对象/Flash/counter/状态前后快照和日志哈希；硬件内部信号证据由硬件验证团队提供</x:v>
      </x:c>
      <x:c r="S12" s="18" t="str">
        <x:v>先检查 ../baremetal 现状和仓库规则，再规划落点并实现；本表不预设目录、模块、Runner 或文件名</x:v>
      </x:c>
      <x:c r="T12" s="18" t="str"/>
    </x:row>
    <x:row r="13" ht="72" customHeight="1">
      <x:c r="A13" s="18" t="str">
        <x:v>MB-BL-010-BASIC</x:v>
      </x:c>
      <x:c r="B13" s="18" t="str">
        <x:v>Mailbox用例</x:v>
      </x:c>
      <x:c r="C13" s="18" t="str">
        <x:v>MAILBOX_COMMAND</x:v>
      </x:c>
      <x:c r="D13" s="18" t="str">
        <x:v>BASIC</x:v>
      </x:c>
      <x:c r="E13" s="18" t="str">
        <x:v>MB_CMD_ID_BL_GET_CHALLENGE - BASIC</x:v>
      </x:c>
      <x:c r="F13" s="18" t="str">
        <x:v>P0</x:v>
      </x:c>
      <x:c r="G13" s="18" t="str">
        <x:v>MEDIUM_HIGH</x:v>
      </x:c>
      <x:c r="H13" s="18" t="str">
        <x:v>L3_EMU_INTEGRATION</x:v>
      </x:c>
      <x:c r="I13" s="18" t="str">
        <x:v>WAVE2_IDENTITY_KEY_PERMISSION</x:v>
      </x:c>
      <x:c r="J13" s="18" t="str">
        <x:v>../baremetal</x:v>
      </x:c>
      <x:c r="K13" s="18" t="str">
        <x:v>DESIGN_COMPLETE</x:v>
      </x:c>
      <x:c r="L13" s="18" t="str">
        <x:v>MUST_PASS_BASIC</x:v>
      </x:c>
      <x:c r="M13" s="18" t="str">
        <x:v>READY_AFTER_BASELINE</x:v>
      </x:c>
      <x:c r="N13" s="18" t="str">
        <x:v>BASIC复用Vendor正式Typed API和真实Mailbox闭环；保留case_id</x:v>
      </x:c>
      <x:c r="O13" s="18" t="str">
        <x:v>READY_AFTER_BASELINE; 实施前登记 ../baremetal branch/commit、RTL/eHSM/软件 baseline，以及本用例所需的冻结地址、master_id、Region/权限编码</x:v>
      </x:c>
      <x:c r="P13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13" s="18" t="str">
        <x:v>可构建；可枚举和单独执行；结果为 PASS/FAIL/INCONCLUSIVE；Expected 可追溯；日志含 case ID、baseline、输入/输出摘要和错误码</x:v>
      </x:c>
      <x:c r="R13" s="18" t="str">
        <x:v>至少保留run ID、case/vector ID、baseline、Mailbox提交证据、raw eHSM返回、对象/Flash/counter/状态前后快照和日志哈希；硬件内部信号证据由硬件验证团队提供</x:v>
      </x:c>
      <x:c r="S13" s="18" t="str">
        <x:v>先检查 ../baremetal 现状和仓库规则，再规划落点并实现；本表不预设目录、模块、Runner 或文件名</x:v>
      </x:c>
      <x:c r="T13" s="18" t="str"/>
    </x:row>
    <x:row r="14" ht="72" customHeight="1">
      <x:c r="A14" s="18" t="str">
        <x:v>MB-BL-011-BASIC</x:v>
      </x:c>
      <x:c r="B14" s="18" t="str">
        <x:v>Mailbox用例</x:v>
      </x:c>
      <x:c r="C14" s="18" t="str">
        <x:v>MAILBOX_COMMAND</x:v>
      </x:c>
      <x:c r="D14" s="18" t="str">
        <x:v>BASIC</x:v>
      </x:c>
      <x:c r="E14" s="18" t="str">
        <x:v>MB_CMD_ID_BL_DEBUG_AUTH - BASIC</x:v>
      </x:c>
      <x:c r="F14" s="18" t="str">
        <x:v>P0</x:v>
      </x:c>
      <x:c r="G14" s="18" t="str">
        <x:v>MEDIUM_HIGH</x:v>
      </x:c>
      <x:c r="H14" s="18" t="str">
        <x:v>L3_EMU_INTEGRATION</x:v>
      </x:c>
      <x:c r="I14" s="18" t="str">
        <x:v>WAVE2_IDENTITY_KEY_PERMISSION</x:v>
      </x:c>
      <x:c r="J14" s="18" t="str">
        <x:v>../baremetal</x:v>
      </x:c>
      <x:c r="K14" s="18" t="str">
        <x:v>DESIGN_COMPLETE</x:v>
      </x:c>
      <x:c r="L14" s="18" t="str">
        <x:v>MUST_PASS_BASIC</x:v>
      </x:c>
      <x:c r="M14" s="18" t="str">
        <x:v>READY_AFTER_BASELINE</x:v>
      </x:c>
      <x:c r="N14" s="18" t="str">
        <x:v>BASIC复用Vendor正式Typed API和真实Mailbox闭环；保留case_id</x:v>
      </x:c>
      <x:c r="O14" s="18" t="str">
        <x:v>READY_AFTER_BASELINE; 实施前登记 ../baremetal branch/commit、RTL/eHSM/软件 baseline，以及本用例所需的冻结地址、master_id、Region/权限编码</x:v>
      </x:c>
      <x:c r="P14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14" s="18" t="str">
        <x:v>可构建；可枚举和单独执行；结果为 PASS/FAIL/INCONCLUSIVE；Expected 可追溯；日志含 case ID、baseline、输入/输出摘要和错误码</x:v>
      </x:c>
      <x:c r="R14" s="18" t="str">
        <x:v>至少保留run ID、case/vector ID、baseline、Mailbox提交证据、raw eHSM返回、对象/Flash/counter/状态前后快照和日志哈希；硬件内部信号证据由硬件验证团队提供</x:v>
      </x:c>
      <x:c r="S14" s="18" t="str">
        <x:v>先检查 ../baremetal 现状和仓库规则，再规划落点并实现；本表不预设目录、模块、Runner 或文件名</x:v>
      </x:c>
      <x:c r="T14" s="18" t="str"/>
    </x:row>
    <x:row r="15" ht="72" customHeight="1">
      <x:c r="A15" s="18" t="str">
        <x:v>MB-BL-012-BASIC</x:v>
      </x:c>
      <x:c r="B15" s="18" t="str">
        <x:v>Mailbox用例</x:v>
      </x:c>
      <x:c r="C15" s="18" t="str">
        <x:v>MAILBOX_COMMAND</x:v>
      </x:c>
      <x:c r="D15" s="18" t="str">
        <x:v>BASIC</x:v>
      </x:c>
      <x:c r="E15" s="18" t="str">
        <x:v>MB_CMD_ID_BL_CLOSE_DEBUG - BASIC</x:v>
      </x:c>
      <x:c r="F15" s="18" t="str">
        <x:v>P0</x:v>
      </x:c>
      <x:c r="G15" s="18" t="str">
        <x:v>MEDIUM_HIGH</x:v>
      </x:c>
      <x:c r="H15" s="18" t="str">
        <x:v>L3_EMU_INTEGRATION</x:v>
      </x:c>
      <x:c r="I15" s="18" t="str">
        <x:v>WAVE2_IDENTITY_KEY_PERMISSION</x:v>
      </x:c>
      <x:c r="J15" s="18" t="str">
        <x:v>../baremetal</x:v>
      </x:c>
      <x:c r="K15" s="18" t="str">
        <x:v>DESIGN_COMPLETE</x:v>
      </x:c>
      <x:c r="L15" s="18" t="str">
        <x:v>MUST_PASS_BASIC</x:v>
      </x:c>
      <x:c r="M15" s="18" t="str">
        <x:v>READY_AFTER_BASELINE</x:v>
      </x:c>
      <x:c r="N15" s="18" t="str">
        <x:v>BASIC复用Vendor正式Typed API和真实Mailbox闭环；保留case_id</x:v>
      </x:c>
      <x:c r="O15" s="18" t="str">
        <x:v>READY_AFTER_BASELINE; 实施前登记 ../baremetal branch/commit、RTL/eHSM/软件 baseline，以及本用例所需的冻结地址、master_id、Region/权限编码</x:v>
      </x:c>
      <x:c r="P15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15" s="18" t="str">
        <x:v>可构建；可枚举和单独执行；结果为 PASS/FAIL/INCONCLUSIVE；Expected 可追溯；日志含 case ID、baseline、输入/输出摘要和错误码</x:v>
      </x:c>
      <x:c r="R15" s="18" t="str">
        <x:v>至少保留run ID、case/vector ID、baseline、Mailbox提交证据、raw eHSM返回、对象/Flash/counter/状态前后快照和日志哈希；硬件内部信号证据由硬件验证团队提供</x:v>
      </x:c>
      <x:c r="S15" s="18" t="str">
        <x:v>先检查 ../baremetal 现状和仓库规则，再规划落点并实现；本表不预设目录、模块、Runner 或文件名</x:v>
      </x:c>
      <x:c r="T15" s="18" t="str"/>
    </x:row>
    <x:row r="16" ht="72" customHeight="1">
      <x:c r="A16" s="18" t="str">
        <x:v>MB-BL-013-BASIC</x:v>
      </x:c>
      <x:c r="B16" s="18" t="str">
        <x:v>Mailbox用例</x:v>
      </x:c>
      <x:c r="C16" s="18" t="str">
        <x:v>MAILBOX_COMMAND</x:v>
      </x:c>
      <x:c r="D16" s="18" t="str">
        <x:v>BASIC</x:v>
      </x:c>
      <x:c r="E16" s="18" t="str">
        <x:v>MB_CMD_ID_BL_SET_UART_BAUDRATE - BASIC</x:v>
      </x:c>
      <x:c r="F16" s="18" t="str">
        <x:v>P0</x:v>
      </x:c>
      <x:c r="G16" s="18" t="str">
        <x:v>MEDIUM</x:v>
      </x:c>
      <x:c r="H16" s="18" t="str">
        <x:v>L3_EMU_INTEGRATION</x:v>
      </x:c>
      <x:c r="I16" s="18" t="str">
        <x:v>WAVE4_CRYPTO_COMPAT_VENDOR</x:v>
      </x:c>
      <x:c r="J16" s="18" t="str">
        <x:v>../baremetal</x:v>
      </x:c>
      <x:c r="K16" s="18" t="str">
        <x:v>DESIGN_COMPLETE</x:v>
      </x:c>
      <x:c r="L16" s="18" t="str">
        <x:v>MUST_PASS_BASIC</x:v>
      </x:c>
      <x:c r="M16" s="18" t="str">
        <x:v>READY_AFTER_BASELINE</x:v>
      </x:c>
      <x:c r="N16" s="18" t="str">
        <x:v>BASIC复用Vendor正式Typed API和真实Mailbox闭环；保留case_id</x:v>
      </x:c>
      <x:c r="O16" s="18" t="str">
        <x:v>READY_AFTER_BASELINE; 实施前登记 ../baremetal branch/commit、RTL/eHSM/软件 baseline，以及本用例所需的冻结地址、master_id、Region/权限编码</x:v>
      </x:c>
      <x:c r="P16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16" s="18" t="str">
        <x:v>可构建；可枚举和单独执行；结果为 PASS/FAIL/INCONCLUSIVE；Expected 可追溯；日志含 case ID、baseline、输入/输出摘要和错误码</x:v>
      </x:c>
      <x:c r="R16" s="18" t="str">
        <x:v>至少保留run ID、case/vector ID、baseline、Mailbox提交证据、raw eHSM返回、对象/Flash/counter/状态前后快照和日志哈希；硬件内部信号证据由硬件验证团队提供</x:v>
      </x:c>
      <x:c r="S16" s="18" t="str">
        <x:v>先检查 ../baremetal 现状和仓库规则，再规划落点并实现；本表不预设目录、模块、Runner 或文件名</x:v>
      </x:c>
      <x:c r="T16" s="18" t="str"/>
    </x:row>
    <x:row r="17" ht="72" customHeight="1">
      <x:c r="A17" s="18" t="str">
        <x:v>MB-BL-014-BASIC</x:v>
      </x:c>
      <x:c r="B17" s="18" t="str">
        <x:v>Mailbox用例</x:v>
      </x:c>
      <x:c r="C17" s="18" t="str">
        <x:v>MAILBOX_COMMAND</x:v>
      </x:c>
      <x:c r="D17" s="18" t="str">
        <x:v>BASIC</x:v>
      </x:c>
      <x:c r="E17" s="18" t="str">
        <x:v>MB_CMD_ID_BL_SELF_TEST - BASIC</x:v>
      </x:c>
      <x:c r="F17" s="18" t="str">
        <x:v>P0</x:v>
      </x:c>
      <x:c r="G17" s="18" t="str">
        <x:v>MEDIUM</x:v>
      </x:c>
      <x:c r="H17" s="18" t="str">
        <x:v>L3_EMU_INTEGRATION</x:v>
      </x:c>
      <x:c r="I17" s="18" t="str">
        <x:v>WAVE0_DAY0_SMOKE</x:v>
      </x:c>
      <x:c r="J17" s="18" t="str">
        <x:v>../baremetal</x:v>
      </x:c>
      <x:c r="K17" s="18" t="str">
        <x:v>DESIGN_COMPLETE</x:v>
      </x:c>
      <x:c r="L17" s="18" t="str">
        <x:v>MUST_PASS_BASIC</x:v>
      </x:c>
      <x:c r="M17" s="18" t="str">
        <x:v>READY_AFTER_BASELINE</x:v>
      </x:c>
      <x:c r="N17" s="18" t="str">
        <x:v>BASIC复用Vendor正式Typed API和真实Mailbox闭环；保留case_id</x:v>
      </x:c>
      <x:c r="O17" s="18" t="str">
        <x:v>READY_AFTER_BASELINE; 实施前登记 ../baremetal branch/commit、RTL/eHSM/软件 baseline，以及本用例所需的冻结地址、master_id、Region/权限编码</x:v>
      </x:c>
      <x:c r="P17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17" s="18" t="str">
        <x:v>可构建；可枚举和单独执行；结果为 PASS/FAIL/INCONCLUSIVE；Expected 可追溯；日志含 case ID、baseline、输入/输出摘要和错误码</x:v>
      </x:c>
      <x:c r="R17" s="18" t="str">
        <x:v>至少保留run ID、case/vector ID、baseline、Mailbox提交证据、raw eHSM返回、对象/Flash/counter/状态前后快照和日志哈希；硬件内部信号证据由硬件验证团队提供</x:v>
      </x:c>
      <x:c r="S17" s="18" t="str">
        <x:v>先检查 ../baremetal 现状和仓库规则，再规划落点并实现；本表不预设目录、模块、Runner 或文件名</x:v>
      </x:c>
      <x:c r="T17" s="18" t="str"/>
    </x:row>
    <x:row r="18" ht="72" customHeight="1">
      <x:c r="A18" s="18" t="str">
        <x:v>MB-BL-015-BASIC</x:v>
      </x:c>
      <x:c r="B18" s="18" t="str">
        <x:v>Mailbox用例</x:v>
      </x:c>
      <x:c r="C18" s="18" t="str">
        <x:v>MAILBOX_COMMAND</x:v>
      </x:c>
      <x:c r="D18" s="18" t="str">
        <x:v>BASIC</x:v>
      </x:c>
      <x:c r="E18" s="18" t="str">
        <x:v>MB_CMD_ID_BL_READ_SELF_TEST_RESULT - BASIC</x:v>
      </x:c>
      <x:c r="F18" s="18" t="str">
        <x:v>P0</x:v>
      </x:c>
      <x:c r="G18" s="18" t="str">
        <x:v>MEDIUM</x:v>
      </x:c>
      <x:c r="H18" s="18" t="str">
        <x:v>L3_EMU_INTEGRATION</x:v>
      </x:c>
      <x:c r="I18" s="18" t="str">
        <x:v>WAVE0_DAY0_SMOKE</x:v>
      </x:c>
      <x:c r="J18" s="18" t="str">
        <x:v>../baremetal</x:v>
      </x:c>
      <x:c r="K18" s="18" t="str">
        <x:v>DESIGN_COMPLETE</x:v>
      </x:c>
      <x:c r="L18" s="18" t="str">
        <x:v>MUST_PASS_BASIC</x:v>
      </x:c>
      <x:c r="M18" s="18" t="str">
        <x:v>READY_AFTER_BASELINE</x:v>
      </x:c>
      <x:c r="N18" s="18" t="str">
        <x:v>BASIC复用Vendor正式Typed API和真实Mailbox闭环；保留case_id</x:v>
      </x:c>
      <x:c r="O18" s="18" t="str">
        <x:v>READY_AFTER_BASELINE; 实施前登记 ../baremetal branch/commit、RTL/eHSM/软件 baseline，以及本用例所需的冻结地址、master_id、Region/权限编码</x:v>
      </x:c>
      <x:c r="P18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18" s="18" t="str">
        <x:v>可构建；可枚举和单独执行；结果为 PASS/FAIL/INCONCLUSIVE；Expected 可追溯；日志含 case ID、baseline、输入/输出摘要和错误码</x:v>
      </x:c>
      <x:c r="R18" s="18" t="str">
        <x:v>至少保留run ID、case/vector ID、baseline、Mailbox提交证据、raw eHSM返回、对象/Flash/counter/状态前后快照和日志哈希；硬件内部信号证据由硬件验证团队提供</x:v>
      </x:c>
      <x:c r="S18" s="18" t="str">
        <x:v>先检查 ../baremetal 现状和仓库规则，再规划落点并实现；本表不预设目录、模块、Runner 或文件名</x:v>
      </x:c>
      <x:c r="T18" s="18" t="str"/>
    </x:row>
    <x:row r="19" ht="72" customHeight="1">
      <x:c r="A19" s="18" t="str">
        <x:v>MB-FW-016-BASIC</x:v>
      </x:c>
      <x:c r="B19" s="18" t="str">
        <x:v>Mailbox用例</x:v>
      </x:c>
      <x:c r="C19" s="18" t="str">
        <x:v>MAILBOX_COMMAND</x:v>
      </x:c>
      <x:c r="D19" s="18" t="str">
        <x:v>BASIC</x:v>
      </x:c>
      <x:c r="E19" s="18" t="str">
        <x:v>MB_CMD_ID_SYMM_CIPHER - BASIC</x:v>
      </x:c>
      <x:c r="F19" s="18" t="str">
        <x:v>P0</x:v>
      </x:c>
      <x:c r="G19" s="18" t="str">
        <x:v>MEDIUM</x:v>
      </x:c>
      <x:c r="H19" s="18" t="str">
        <x:v>L3_EMU_INTEGRATION</x:v>
      </x:c>
      <x:c r="I19" s="18" t="str">
        <x:v>WAVE4_CRYPTO_COMPAT_VENDOR</x:v>
      </x:c>
      <x:c r="J19" s="18" t="str">
        <x:v>../baremetal</x:v>
      </x:c>
      <x:c r="K19" s="18" t="str">
        <x:v>DESIGN_COMPLETE</x:v>
      </x:c>
      <x:c r="L19" s="18" t="str">
        <x:v>MUST_PASS_BASIC</x:v>
      </x:c>
      <x:c r="M19" s="18" t="str">
        <x:v>READY_AFTER_BASELINE</x:v>
      </x:c>
      <x:c r="N19" s="18" t="str">
        <x:v>BASIC复用Vendor正式Typed API和真实Mailbox闭环；保留case_id</x:v>
      </x:c>
      <x:c r="O19" s="18" t="str">
        <x:v>READY_AFTER_BASELINE; 实施前登记 ../baremetal branch/commit、RTL/eHSM/软件 baseline，以及本用例所需的冻结地址、master_id、Region/权限编码</x:v>
      </x:c>
      <x:c r="P19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19" s="18" t="str">
        <x:v>可构建；可枚举和单独执行；结果为 PASS/FAIL/INCONCLUSIVE；Expected 可追溯；日志含 case ID、baseline、输入/输出摘要和错误码</x:v>
      </x:c>
      <x:c r="R19" s="18" t="str">
        <x:v>至少保留run ID、case/vector ID、baseline、Mailbox提交证据、raw eHSM返回、对象/Flash/counter/状态前后快照和日志哈希；硬件内部信号证据由硬件验证团队提供</x:v>
      </x:c>
      <x:c r="S19" s="18" t="str">
        <x:v>先检查 ../baremetal 现状和仓库规则，再规划落点并实现；本表不预设目录、模块、Runner 或文件名</x:v>
      </x:c>
      <x:c r="T19" s="18" t="str"/>
    </x:row>
    <x:row r="20" ht="72" customHeight="1">
      <x:c r="A20" s="18" t="str">
        <x:v>MB-FW-017-BASIC</x:v>
      </x:c>
      <x:c r="B20" s="18" t="str">
        <x:v>Mailbox用例</x:v>
      </x:c>
      <x:c r="C20" s="18" t="str">
        <x:v>MAILBOX_COMMAND</x:v>
      </x:c>
      <x:c r="D20" s="18" t="str">
        <x:v>BASIC</x:v>
      </x:c>
      <x:c r="E20" s="18" t="str">
        <x:v>MB_CMD_ID_AEAD_GCM - BASIC</x:v>
      </x:c>
      <x:c r="F20" s="18" t="str">
        <x:v>P0</x:v>
      </x:c>
      <x:c r="G20" s="18" t="str">
        <x:v>MEDIUM</x:v>
      </x:c>
      <x:c r="H20" s="18" t="str">
        <x:v>L3_EMU_INTEGRATION</x:v>
      </x:c>
      <x:c r="I20" s="18" t="str">
        <x:v>WAVE4_CRYPTO_COMPAT_VENDOR</x:v>
      </x:c>
      <x:c r="J20" s="18" t="str">
        <x:v>../baremetal</x:v>
      </x:c>
      <x:c r="K20" s="18" t="str">
        <x:v>DESIGN_COMPLETE</x:v>
      </x:c>
      <x:c r="L20" s="18" t="str">
        <x:v>MUST_PASS_BASIC</x:v>
      </x:c>
      <x:c r="M20" s="18" t="str">
        <x:v>READY_AFTER_BASELINE</x:v>
      </x:c>
      <x:c r="N20" s="18" t="str">
        <x:v>BASIC复用Vendor正式Typed API和真实Mailbox闭环；保留case_id</x:v>
      </x:c>
      <x:c r="O20" s="18" t="str">
        <x:v>READY_AFTER_BASELINE; 实施前登记 ../baremetal branch/commit、RTL/eHSM/软件 baseline，以及本用例所需的冻结地址、master_id、Region/权限编码</x:v>
      </x:c>
      <x:c r="P20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20" s="18" t="str">
        <x:v>可构建；可枚举和单独执行；结果为 PASS/FAIL/INCONCLUSIVE；Expected 可追溯；日志含 case ID、baseline、输入/输出摘要和错误码</x:v>
      </x:c>
      <x:c r="R20" s="18" t="str">
        <x:v>至少保留run ID、case/vector ID、baseline、Mailbox提交证据、raw eHSM返回、对象/Flash/counter/状态前后快照和日志哈希；硬件内部信号证据由硬件验证团队提供</x:v>
      </x:c>
      <x:c r="S20" s="18" t="str">
        <x:v>先检查 ../baremetal 现状和仓库规则，再规划落点并实现；本表不预设目录、模块、Runner 或文件名</x:v>
      </x:c>
      <x:c r="T20" s="18" t="str"/>
    </x:row>
    <x:row r="21" ht="72" customHeight="1">
      <x:c r="A21" s="18" t="str">
        <x:v>MB-FW-018-BASIC</x:v>
      </x:c>
      <x:c r="B21" s="18" t="str">
        <x:v>Mailbox用例</x:v>
      </x:c>
      <x:c r="C21" s="18" t="str">
        <x:v>MAILBOX_COMMAND</x:v>
      </x:c>
      <x:c r="D21" s="18" t="str">
        <x:v>BASIC</x:v>
      </x:c>
      <x:c r="E21" s="18" t="str">
        <x:v>MB_CMD_ID_AEAD_CCM - BASIC</x:v>
      </x:c>
      <x:c r="F21" s="18" t="str">
        <x:v>P0</x:v>
      </x:c>
      <x:c r="G21" s="18" t="str">
        <x:v>MEDIUM</x:v>
      </x:c>
      <x:c r="H21" s="18" t="str">
        <x:v>L3_EMU_INTEGRATION</x:v>
      </x:c>
      <x:c r="I21" s="18" t="str">
        <x:v>WAVE4_CRYPTO_COMPAT_VENDOR</x:v>
      </x:c>
      <x:c r="J21" s="18" t="str">
        <x:v>../baremetal</x:v>
      </x:c>
      <x:c r="K21" s="18" t="str">
        <x:v>DESIGN_COMPLETE</x:v>
      </x:c>
      <x:c r="L21" s="18" t="str">
        <x:v>MUST_PASS_BASIC</x:v>
      </x:c>
      <x:c r="M21" s="18" t="str">
        <x:v>READY_AFTER_BASELINE</x:v>
      </x:c>
      <x:c r="N21" s="18" t="str">
        <x:v>BASIC复用Vendor正式Typed API和真实Mailbox闭环；保留case_id</x:v>
      </x:c>
      <x:c r="O21" s="18" t="str">
        <x:v>READY_AFTER_BASELINE; 实施前登记 ../baremetal branch/commit、RTL/eHSM/软件 baseline，以及本用例所需的冻结地址、master_id、Region/权限编码</x:v>
      </x:c>
      <x:c r="P21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21" s="18" t="str">
        <x:v>可构建；可枚举和单独执行；结果为 PASS/FAIL/INCONCLUSIVE；Expected 可追溯；日志含 case ID、baseline、输入/输出摘要和错误码</x:v>
      </x:c>
      <x:c r="R21" s="18" t="str">
        <x:v>至少保留run ID、case/vector ID、baseline、Mailbox提交证据、raw eHSM返回、对象/Flash/counter/状态前后快照和日志哈希；硬件内部信号证据由硬件验证团队提供</x:v>
      </x:c>
      <x:c r="S21" s="18" t="str">
        <x:v>先检查 ../baremetal 现状和仓库规则，再规划落点并实现；本表不预设目录、模块、Runner 或文件名</x:v>
      </x:c>
      <x:c r="T21" s="18" t="str"/>
    </x:row>
    <x:row r="22" ht="72" customHeight="1">
      <x:c r="A22" s="18" t="str">
        <x:v>MB-FW-019-BASIC</x:v>
      </x:c>
      <x:c r="B22" s="18" t="str">
        <x:v>Mailbox用例</x:v>
      </x:c>
      <x:c r="C22" s="18" t="str">
        <x:v>MAILBOX_COMMAND</x:v>
      </x:c>
      <x:c r="D22" s="18" t="str">
        <x:v>BASIC</x:v>
      </x:c>
      <x:c r="E22" s="18" t="str">
        <x:v>MB_CMD_ID_HASH - BASIC</x:v>
      </x:c>
      <x:c r="F22" s="18" t="str">
        <x:v>P0</x:v>
      </x:c>
      <x:c r="G22" s="18" t="str">
        <x:v>MEDIUM</x:v>
      </x:c>
      <x:c r="H22" s="18" t="str">
        <x:v>L3_EMU_INTEGRATION</x:v>
      </x:c>
      <x:c r="I22" s="18" t="str">
        <x:v>WAVE4_CRYPTO_COMPAT_VENDOR</x:v>
      </x:c>
      <x:c r="J22" s="18" t="str">
        <x:v>../baremetal</x:v>
      </x:c>
      <x:c r="K22" s="18" t="str">
        <x:v>DESIGN_COMPLETE</x:v>
      </x:c>
      <x:c r="L22" s="18" t="str">
        <x:v>MUST_PASS_BASIC</x:v>
      </x:c>
      <x:c r="M22" s="18" t="str">
        <x:v>READY_AFTER_BASELINE</x:v>
      </x:c>
      <x:c r="N22" s="18" t="str">
        <x:v>BASIC复用Vendor正式Typed API和真实Mailbox闭环；保留case_id</x:v>
      </x:c>
      <x:c r="O22" s="18" t="str">
        <x:v>READY_AFTER_BASELINE; 实施前登记 ../baremetal branch/commit、RTL/eHSM/软件 baseline，以及本用例所需的冻结地址、master_id、Region/权限编码</x:v>
      </x:c>
      <x:c r="P22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22" s="18" t="str">
        <x:v>可构建；可枚举和单独执行；结果为 PASS/FAIL/INCONCLUSIVE；Expected 可追溯；日志含 case ID、baseline、输入/输出摘要和错误码</x:v>
      </x:c>
      <x:c r="R22" s="18" t="str">
        <x:v>至少保留run ID、case/vector ID、baseline、Mailbox提交证据、raw eHSM返回、对象/Flash/counter/状态前后快照和日志哈希；硬件内部信号证据由硬件验证团队提供</x:v>
      </x:c>
      <x:c r="S22" s="18" t="str">
        <x:v>先检查 ../baremetal 现状和仓库规则，再规划落点并实现；本表不预设目录、模块、Runner 或文件名</x:v>
      </x:c>
      <x:c r="T22" s="18" t="str"/>
    </x:row>
    <x:row r="23" ht="72" customHeight="1">
      <x:c r="A23" s="18" t="str">
        <x:v>MB-FW-020-BASIC</x:v>
      </x:c>
      <x:c r="B23" s="18" t="str">
        <x:v>Mailbox用例</x:v>
      </x:c>
      <x:c r="C23" s="18" t="str">
        <x:v>MAILBOX_COMMAND</x:v>
      </x:c>
      <x:c r="D23" s="18" t="str">
        <x:v>BASIC</x:v>
      </x:c>
      <x:c r="E23" s="18" t="str">
        <x:v>MB_CMD_ID_HMAC - BASIC</x:v>
      </x:c>
      <x:c r="F23" s="18" t="str">
        <x:v>P0</x:v>
      </x:c>
      <x:c r="G23" s="18" t="str">
        <x:v>MEDIUM</x:v>
      </x:c>
      <x:c r="H23" s="18" t="str">
        <x:v>L3_EMU_INTEGRATION</x:v>
      </x:c>
      <x:c r="I23" s="18" t="str">
        <x:v>WAVE4_CRYPTO_COMPAT_VENDOR</x:v>
      </x:c>
      <x:c r="J23" s="18" t="str">
        <x:v>../baremetal</x:v>
      </x:c>
      <x:c r="K23" s="18" t="str">
        <x:v>DESIGN_COMPLETE</x:v>
      </x:c>
      <x:c r="L23" s="18" t="str">
        <x:v>MUST_PASS_BASIC</x:v>
      </x:c>
      <x:c r="M23" s="18" t="str">
        <x:v>READY_AFTER_BASELINE</x:v>
      </x:c>
      <x:c r="N23" s="18" t="str">
        <x:v>BASIC复用Vendor正式Typed API和真实Mailbox闭环；保留case_id</x:v>
      </x:c>
      <x:c r="O23" s="18" t="str">
        <x:v>READY_AFTER_BASELINE; 实施前登记 ../baremetal branch/commit、RTL/eHSM/软件 baseline，以及本用例所需的冻结地址、master_id、Region/权限编码</x:v>
      </x:c>
      <x:c r="P23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23" s="18" t="str">
        <x:v>可构建；可枚举和单独执行；结果为 PASS/FAIL/INCONCLUSIVE；Expected 可追溯；日志含 case ID、baseline、输入/输出摘要和错误码</x:v>
      </x:c>
      <x:c r="R23" s="18" t="str">
        <x:v>至少保留run ID、case/vector ID、baseline、Mailbox提交证据、raw eHSM返回、对象/Flash/counter/状态前后快照和日志哈希；硬件内部信号证据由硬件验证团队提供</x:v>
      </x:c>
      <x:c r="S23" s="18" t="str">
        <x:v>先检查 ../baremetal 现状和仓库规则，再规划落点并实现；本表不预设目录、模块、Runner 或文件名</x:v>
      </x:c>
      <x:c r="T23" s="18" t="str"/>
    </x:row>
    <x:row r="24" ht="72" customHeight="1">
      <x:c r="A24" s="18" t="str">
        <x:v>MB-FW-021-BASIC</x:v>
      </x:c>
      <x:c r="B24" s="18" t="str">
        <x:v>Mailbox用例</x:v>
      </x:c>
      <x:c r="C24" s="18" t="str">
        <x:v>MAILBOX_COMMAND</x:v>
      </x:c>
      <x:c r="D24" s="18" t="str">
        <x:v>BASIC</x:v>
      </x:c>
      <x:c r="E24" s="18" t="str">
        <x:v>MB_CMD_ID_MAC - BASIC</x:v>
      </x:c>
      <x:c r="F24" s="18" t="str">
        <x:v>P0</x:v>
      </x:c>
      <x:c r="G24" s="18" t="str">
        <x:v>MEDIUM</x:v>
      </x:c>
      <x:c r="H24" s="18" t="str">
        <x:v>L3_EMU_INTEGRATION</x:v>
      </x:c>
      <x:c r="I24" s="18" t="str">
        <x:v>WAVE4_CRYPTO_COMPAT_VENDOR</x:v>
      </x:c>
      <x:c r="J24" s="18" t="str">
        <x:v>../baremetal</x:v>
      </x:c>
      <x:c r="K24" s="18" t="str">
        <x:v>DESIGN_COMPLETE</x:v>
      </x:c>
      <x:c r="L24" s="18" t="str">
        <x:v>MUST_PASS_BASIC</x:v>
      </x:c>
      <x:c r="M24" s="18" t="str">
        <x:v>READY_AFTER_BASELINE</x:v>
      </x:c>
      <x:c r="N24" s="18" t="str">
        <x:v>BASIC复用Vendor正式Typed API和真实Mailbox闭环；保留case_id</x:v>
      </x:c>
      <x:c r="O24" s="18" t="str">
        <x:v>READY_AFTER_BASELINE; 实施前登记 ../baremetal branch/commit、RTL/eHSM/软件 baseline，以及本用例所需的冻结地址、master_id、Region/权限编码</x:v>
      </x:c>
      <x:c r="P24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24" s="18" t="str">
        <x:v>可构建；可枚举和单独执行；结果为 PASS/FAIL/INCONCLUSIVE；Expected 可追溯；日志含 case ID、baseline、输入/输出摘要和错误码</x:v>
      </x:c>
      <x:c r="R24" s="18" t="str">
        <x:v>至少保留run ID、case/vector ID、baseline、Mailbox提交证据、raw eHSM返回、对象/Flash/counter/状态前后快照和日志哈希；硬件内部信号证据由硬件验证团队提供</x:v>
      </x:c>
      <x:c r="S24" s="18" t="str">
        <x:v>先检查 ../baremetal 现状和仓库规则，再规划落点并实现；本表不预设目录、模块、Runner 或文件名</x:v>
      </x:c>
      <x:c r="T24" s="18" t="str"/>
    </x:row>
    <x:row r="25" ht="72" customHeight="1">
      <x:c r="A25" s="18" t="str">
        <x:v>MB-FW-022-BASIC</x:v>
      </x:c>
      <x:c r="B25" s="18" t="str">
        <x:v>Mailbox用例</x:v>
      </x:c>
      <x:c r="C25" s="18" t="str">
        <x:v>MAILBOX_COMMAND</x:v>
      </x:c>
      <x:c r="D25" s="18" t="str">
        <x:v>BASIC</x:v>
      </x:c>
      <x:c r="E25" s="18" t="str">
        <x:v>MB_CMD_ID_SM2_CIPHER - BASIC</x:v>
      </x:c>
      <x:c r="F25" s="18" t="str">
        <x:v>P0</x:v>
      </x:c>
      <x:c r="G25" s="18" t="str">
        <x:v>MEDIUM</x:v>
      </x:c>
      <x:c r="H25" s="18" t="str">
        <x:v>L3_EMU_INTEGRATION</x:v>
      </x:c>
      <x:c r="I25" s="18" t="str">
        <x:v>WAVE4_CRYPTO_COMPAT_VENDOR</x:v>
      </x:c>
      <x:c r="J25" s="18" t="str">
        <x:v>../baremetal</x:v>
      </x:c>
      <x:c r="K25" s="18" t="str">
        <x:v>DESIGN_COMPLETE</x:v>
      </x:c>
      <x:c r="L25" s="18" t="str">
        <x:v>MUST_PASS_BASIC</x:v>
      </x:c>
      <x:c r="M25" s="18" t="str">
        <x:v>READY_AFTER_BASELINE</x:v>
      </x:c>
      <x:c r="N25" s="18" t="str">
        <x:v>BASIC复用Vendor正式Typed API和真实Mailbox闭环；保留case_id</x:v>
      </x:c>
      <x:c r="O25" s="18" t="str">
        <x:v>READY_AFTER_BASELINE; 实施前登记 ../baremetal branch/commit、RTL/eHSM/软件 baseline，以及本用例所需的冻结地址、master_id、Region/权限编码</x:v>
      </x:c>
      <x:c r="P25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25" s="18" t="str">
        <x:v>可构建；可枚举和单独执行；结果为 PASS/FAIL/INCONCLUSIVE；Expected 可追溯；日志含 case ID、baseline、输入/输出摘要和错误码</x:v>
      </x:c>
      <x:c r="R25" s="18" t="str">
        <x:v>至少保留run ID、case/vector ID、baseline、Mailbox提交证据、raw eHSM返回、对象/Flash/counter/状态前后快照和日志哈希；硬件内部信号证据由硬件验证团队提供</x:v>
      </x:c>
      <x:c r="S25" s="18" t="str">
        <x:v>先检查 ../baremetal 现状和仓库规则，再规划落点并实现；本表不预设目录、模块、Runner 或文件名</x:v>
      </x:c>
      <x:c r="T25" s="18" t="str"/>
    </x:row>
    <x:row r="26" ht="72" customHeight="1">
      <x:c r="A26" s="18" t="str">
        <x:v>MB-FW-023-BASIC</x:v>
      </x:c>
      <x:c r="B26" s="18" t="str">
        <x:v>Mailbox用例</x:v>
      </x:c>
      <x:c r="C26" s="18" t="str">
        <x:v>MAILBOX_COMMAND</x:v>
      </x:c>
      <x:c r="D26" s="18" t="str">
        <x:v>BASIC</x:v>
      </x:c>
      <x:c r="E26" s="18" t="str">
        <x:v>MB_CMD_ID_SM2_SIGN - BASIC</x:v>
      </x:c>
      <x:c r="F26" s="18" t="str">
        <x:v>P0</x:v>
      </x:c>
      <x:c r="G26" s="18" t="str">
        <x:v>MEDIUM</x:v>
      </x:c>
      <x:c r="H26" s="18" t="str">
        <x:v>L3_EMU_INTEGRATION</x:v>
      </x:c>
      <x:c r="I26" s="18" t="str">
        <x:v>WAVE4_CRYPTO_COMPAT_VENDOR</x:v>
      </x:c>
      <x:c r="J26" s="18" t="str">
        <x:v>../baremetal</x:v>
      </x:c>
      <x:c r="K26" s="18" t="str">
        <x:v>DESIGN_COMPLETE</x:v>
      </x:c>
      <x:c r="L26" s="18" t="str">
        <x:v>MUST_PASS_BASIC</x:v>
      </x:c>
      <x:c r="M26" s="18" t="str">
        <x:v>READY_AFTER_BASELINE</x:v>
      </x:c>
      <x:c r="N26" s="18" t="str">
        <x:v>BASIC复用Vendor正式Typed API和真实Mailbox闭环；保留case_id</x:v>
      </x:c>
      <x:c r="O26" s="18" t="str">
        <x:v>READY_AFTER_BASELINE; 实施前登记 ../baremetal branch/commit、RTL/eHSM/软件 baseline，以及本用例所需的冻结地址、master_id、Region/权限编码</x:v>
      </x:c>
      <x:c r="P26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26" s="18" t="str">
        <x:v>可构建；可枚举和单独执行；结果为 PASS/FAIL/INCONCLUSIVE；Expected 可追溯；日志含 case ID、baseline、输入/输出摘要和错误码</x:v>
      </x:c>
      <x:c r="R26" s="18" t="str">
        <x:v>至少保留run ID、case/vector ID、baseline、Mailbox提交证据、raw eHSM返回、对象/Flash/counter/状态前后快照和日志哈希；硬件内部信号证据由硬件验证团队提供</x:v>
      </x:c>
      <x:c r="S26" s="18" t="str">
        <x:v>先检查 ../baremetal 现状和仓库规则，再规划落点并实现；本表不预设目录、模块、Runner 或文件名</x:v>
      </x:c>
      <x:c r="T26" s="18" t="str"/>
    </x:row>
    <x:row r="27" ht="72" customHeight="1">
      <x:c r="A27" s="18" t="str">
        <x:v>MB-FW-024-BASIC</x:v>
      </x:c>
      <x:c r="B27" s="18" t="str">
        <x:v>Mailbox用例</x:v>
      </x:c>
      <x:c r="C27" s="18" t="str">
        <x:v>MAILBOX_COMMAND</x:v>
      </x:c>
      <x:c r="D27" s="18" t="str">
        <x:v>BASIC</x:v>
      </x:c>
      <x:c r="E27" s="18" t="str">
        <x:v>MB_CMD_ID_RSA_CIPHER - BASIC</x:v>
      </x:c>
      <x:c r="F27" s="18" t="str">
        <x:v>P0</x:v>
      </x:c>
      <x:c r="G27" s="18" t="str">
        <x:v>MEDIUM</x:v>
      </x:c>
      <x:c r="H27" s="18" t="str">
        <x:v>L3_EMU_INTEGRATION</x:v>
      </x:c>
      <x:c r="I27" s="18" t="str">
        <x:v>WAVE4_CRYPTO_COMPAT_VENDOR</x:v>
      </x:c>
      <x:c r="J27" s="18" t="str">
        <x:v>../baremetal</x:v>
      </x:c>
      <x:c r="K27" s="18" t="str">
        <x:v>DESIGN_COMPLETE</x:v>
      </x:c>
      <x:c r="L27" s="18" t="str">
        <x:v>MUST_PASS_BASIC</x:v>
      </x:c>
      <x:c r="M27" s="18" t="str">
        <x:v>READY_AFTER_BASELINE</x:v>
      </x:c>
      <x:c r="N27" s="18" t="str">
        <x:v>BASIC复用Vendor正式Typed API和真实Mailbox闭环；保留case_id</x:v>
      </x:c>
      <x:c r="O27" s="18" t="str">
        <x:v>READY_AFTER_BASELINE; 实施前登记 ../baremetal branch/commit、RTL/eHSM/软件 baseline，以及本用例所需的冻结地址、master_id、Region/权限编码</x:v>
      </x:c>
      <x:c r="P27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27" s="18" t="str">
        <x:v>可构建；可枚举和单独执行；结果为 PASS/FAIL/INCONCLUSIVE；Expected 可追溯；日志含 case ID、baseline、输入/输出摘要和错误码</x:v>
      </x:c>
      <x:c r="R27" s="18" t="str">
        <x:v>至少保留run ID、case/vector ID、baseline、Mailbox提交证据、raw eHSM返回、对象/Flash/counter/状态前后快照和日志哈希；硬件内部信号证据由硬件验证团队提供</x:v>
      </x:c>
      <x:c r="S27" s="18" t="str">
        <x:v>先检查 ../baremetal 现状和仓库规则，再规划落点并实现；本表不预设目录、模块、Runner 或文件名</x:v>
      </x:c>
      <x:c r="T27" s="18" t="str"/>
    </x:row>
    <x:row r="28" ht="72" customHeight="1">
      <x:c r="A28" s="18" t="str">
        <x:v>MB-FW-025-BASIC</x:v>
      </x:c>
      <x:c r="B28" s="18" t="str">
        <x:v>Mailbox用例</x:v>
      </x:c>
      <x:c r="C28" s="18" t="str">
        <x:v>MAILBOX_COMMAND</x:v>
      </x:c>
      <x:c r="D28" s="18" t="str">
        <x:v>BASIC</x:v>
      </x:c>
      <x:c r="E28" s="18" t="str">
        <x:v>MB_CMD_ID_RSA_SIGN - BASIC</x:v>
      </x:c>
      <x:c r="F28" s="18" t="str">
        <x:v>P0</x:v>
      </x:c>
      <x:c r="G28" s="18" t="str">
        <x:v>MEDIUM</x:v>
      </x:c>
      <x:c r="H28" s="18" t="str">
        <x:v>L3_EMU_INTEGRATION</x:v>
      </x:c>
      <x:c r="I28" s="18" t="str">
        <x:v>WAVE4_CRYPTO_COMPAT_VENDOR</x:v>
      </x:c>
      <x:c r="J28" s="18" t="str">
        <x:v>../baremetal</x:v>
      </x:c>
      <x:c r="K28" s="18" t="str">
        <x:v>DESIGN_COMPLETE</x:v>
      </x:c>
      <x:c r="L28" s="18" t="str">
        <x:v>MUST_PASS_BASIC</x:v>
      </x:c>
      <x:c r="M28" s="18" t="str">
        <x:v>READY_AFTER_BASELINE</x:v>
      </x:c>
      <x:c r="N28" s="18" t="str">
        <x:v>BASIC复用Vendor正式Typed API和真实Mailbox闭环；保留case_id</x:v>
      </x:c>
      <x:c r="O28" s="18" t="str">
        <x:v>READY_AFTER_BASELINE; 实施前登记 ../baremetal branch/commit、RTL/eHSM/软件 baseline，以及本用例所需的冻结地址、master_id、Region/权限编码</x:v>
      </x:c>
      <x:c r="P28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28" s="18" t="str">
        <x:v>可构建；可枚举和单独执行；结果为 PASS/FAIL/INCONCLUSIVE；Expected 可追溯；日志含 case ID、baseline、输入/输出摘要和错误码</x:v>
      </x:c>
      <x:c r="R28" s="18" t="str">
        <x:v>至少保留run ID、case/vector ID、baseline、Mailbox提交证据、raw eHSM返回、对象/Flash/counter/状态前后快照和日志哈希；硬件内部信号证据由硬件验证团队提供</x:v>
      </x:c>
      <x:c r="S28" s="18" t="str">
        <x:v>先检查 ../baremetal 现状和仓库规则，再规划落点并实现；本表不预设目录、模块、Runner 或文件名</x:v>
      </x:c>
      <x:c r="T28" s="18" t="str"/>
    </x:row>
    <x:row r="29" ht="72" customHeight="1">
      <x:c r="A29" s="18" t="str">
        <x:v>MB-FW-026-BASIC</x:v>
      </x:c>
      <x:c r="B29" s="18" t="str">
        <x:v>Mailbox用例</x:v>
      </x:c>
      <x:c r="C29" s="18" t="str">
        <x:v>MAILBOX_COMMAND</x:v>
      </x:c>
      <x:c r="D29" s="18" t="str">
        <x:v>BASIC</x:v>
      </x:c>
      <x:c r="E29" s="18" t="str">
        <x:v>MB_CMD_ID_ECDSA - BASIC</x:v>
      </x:c>
      <x:c r="F29" s="18" t="str">
        <x:v>P0</x:v>
      </x:c>
      <x:c r="G29" s="18" t="str">
        <x:v>MEDIUM</x:v>
      </x:c>
      <x:c r="H29" s="18" t="str">
        <x:v>L3_EMU_INTEGRATION</x:v>
      </x:c>
      <x:c r="I29" s="18" t="str">
        <x:v>WAVE4_CRYPTO_COMPAT_VENDOR</x:v>
      </x:c>
      <x:c r="J29" s="18" t="str">
        <x:v>../baremetal</x:v>
      </x:c>
      <x:c r="K29" s="18" t="str">
        <x:v>DESIGN_COMPLETE</x:v>
      </x:c>
      <x:c r="L29" s="18" t="str">
        <x:v>MUST_PASS_BASIC</x:v>
      </x:c>
      <x:c r="M29" s="18" t="str">
        <x:v>READY_AFTER_BASELINE</x:v>
      </x:c>
      <x:c r="N29" s="18" t="str">
        <x:v>BASIC复用Vendor正式Typed API和真实Mailbox闭环；保留case_id</x:v>
      </x:c>
      <x:c r="O29" s="18" t="str">
        <x:v>READY_AFTER_BASELINE; 实施前登记 ../baremetal branch/commit、RTL/eHSM/软件 baseline，以及本用例所需的冻结地址、master_id、Region/权限编码</x:v>
      </x:c>
      <x:c r="P29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29" s="18" t="str">
        <x:v>可构建；可枚举和单独执行；结果为 PASS/FAIL/INCONCLUSIVE；Expected 可追溯；日志含 case ID、baseline、输入/输出摘要和错误码</x:v>
      </x:c>
      <x:c r="R29" s="18" t="str">
        <x:v>至少保留run ID、case/vector ID、baseline、Mailbox提交证据、raw eHSM返回、对象/Flash/counter/状态前后快照和日志哈希；硬件内部信号证据由硬件验证团队提供</x:v>
      </x:c>
      <x:c r="S29" s="18" t="str">
        <x:v>先检查 ../baremetal 现状和仓库规则，再规划落点并实现；本表不预设目录、模块、Runner 或文件名</x:v>
      </x:c>
      <x:c r="T29" s="18" t="str"/>
    </x:row>
    <x:row r="30" ht="72" customHeight="1">
      <x:c r="A30" s="18" t="str">
        <x:v>MB-FW-027-BASIC</x:v>
      </x:c>
      <x:c r="B30" s="18" t="str">
        <x:v>Mailbox用例</x:v>
      </x:c>
      <x:c r="C30" s="18" t="str">
        <x:v>MAILBOX_COMMAND</x:v>
      </x:c>
      <x:c r="D30" s="18" t="str">
        <x:v>BASIC</x:v>
      </x:c>
      <x:c r="E30" s="18" t="str">
        <x:v>MB_CMD_ID_RNG - BASIC</x:v>
      </x:c>
      <x:c r="F30" s="18" t="str">
        <x:v>P0</x:v>
      </x:c>
      <x:c r="G30" s="18" t="str">
        <x:v>MEDIUM</x:v>
      </x:c>
      <x:c r="H30" s="18" t="str">
        <x:v>L3_EMU_INTEGRATION</x:v>
      </x:c>
      <x:c r="I30" s="18" t="str">
        <x:v>WAVE0_DAY0_SMOKE</x:v>
      </x:c>
      <x:c r="J30" s="18" t="str">
        <x:v>../baremetal</x:v>
      </x:c>
      <x:c r="K30" s="18" t="str">
        <x:v>DESIGN_COMPLETE</x:v>
      </x:c>
      <x:c r="L30" s="18" t="str">
        <x:v>MUST_PASS_BASIC</x:v>
      </x:c>
      <x:c r="M30" s="18" t="str">
        <x:v>READY_AFTER_BASELINE</x:v>
      </x:c>
      <x:c r="N30" s="18" t="str">
        <x:v>BASIC复用Vendor正式Typed API和真实Mailbox闭环；保留case_id</x:v>
      </x:c>
      <x:c r="O30" s="18" t="str">
        <x:v>READY_AFTER_BASELINE; 实施前登记 ../baremetal branch/commit、RTL/eHSM/软件 baseline，以及本用例所需的冻结地址、master_id、Region/权限编码</x:v>
      </x:c>
      <x:c r="P30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30" s="18" t="str">
        <x:v>可构建；可枚举和单独执行；结果为 PASS/FAIL/INCONCLUSIVE；Expected 可追溯；日志含 case ID、baseline、输入/输出摘要和错误码</x:v>
      </x:c>
      <x:c r="R30" s="18" t="str">
        <x:v>至少保留run ID、case/vector ID、baseline、Mailbox提交证据、raw eHSM返回、对象/Flash/counter/状态前后快照和日志哈希；硬件内部信号证据由硬件验证团队提供</x:v>
      </x:c>
      <x:c r="S30" s="18" t="str">
        <x:v>先检查 ../baremetal 现状和仓库规则，再规划落点并实现；本表不预设目录、模块、Runner 或文件名</x:v>
      </x:c>
      <x:c r="T30" s="18" t="str"/>
    </x:row>
    <x:row r="31" ht="72" customHeight="1">
      <x:c r="A31" s="18" t="str">
        <x:v>MB-FW-028-BASIC</x:v>
      </x:c>
      <x:c r="B31" s="18" t="str">
        <x:v>Mailbox用例</x:v>
      </x:c>
      <x:c r="C31" s="18" t="str">
        <x:v>MAILBOX_COMMAND</x:v>
      </x:c>
      <x:c r="D31" s="18" t="str">
        <x:v>BASIC</x:v>
      </x:c>
      <x:c r="E31" s="18" t="str">
        <x:v>MB_CMD_ID_OTP_WRITE - BASIC</x:v>
      </x:c>
      <x:c r="F31" s="18" t="str">
        <x:v>P0</x:v>
      </x:c>
      <x:c r="G31" s="18" t="str">
        <x:v>HIGH</x:v>
      </x:c>
      <x:c r="H31" s="18" t="str">
        <x:v>L3_EMU_INTEGRATION</x:v>
      </x:c>
      <x:c r="I31" s="18" t="str">
        <x:v>WAVE1_ROOT_OF_TRUST</x:v>
      </x:c>
      <x:c r="J31" s="18" t="str">
        <x:v>../baremetal</x:v>
      </x:c>
      <x:c r="K31" s="18" t="str">
        <x:v>DESIGN_COMPLETE</x:v>
      </x:c>
      <x:c r="L31" s="18" t="str">
        <x:v>DEDICATED_FIXTURE_OR_INCONCLUSIVE</x:v>
      </x:c>
      <x:c r="M31" s="18" t="str">
        <x:v>NEEDS_DEDICATED_FIXTURE_AND_APPROVAL</x:v>
      </x:c>
      <x:c r="N31" s="18" t="str">
        <x:v>BASIC复用Vendor正式Typed API和真实Mailbox闭环；保留case_id</x:v>
      </x:c>
      <x:c r="O31" s="18" t="str">
        <x:v>NEEDS_DEDICATED_FIXTURE_AND_APPROVAL; 实施前登记 ../baremetal branch/commit、RTL/eHSM/软件 baseline，以及本用例所需的冻结地址、master_id、Region/权限编码</x:v>
      </x:c>
      <x:c r="P31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31" s="18" t="str">
        <x:v>可构建；可枚举和单独执行；结果为 PASS/FAIL/INCONCLUSIVE；Expected 可追溯；日志含 case ID、baseline、输入/输出摘要和错误码</x:v>
      </x:c>
      <x:c r="R31" s="18" t="str">
        <x:v>至少保留run ID、case/vector ID、baseline、Mailbox提交证据、raw eHSM返回、对象/Flash/counter/状态前后快照和日志哈希；硬件内部信号证据由硬件验证团队提供</x:v>
      </x:c>
      <x:c r="S31" s="18" t="str">
        <x:v>先检查 ../baremetal 现状和仓库规则，再规划落点并实现；本表不预设目录、模块、Runner 或文件名</x:v>
      </x:c>
      <x:c r="T31" s="18" t="str"/>
    </x:row>
    <x:row r="32" ht="72" customHeight="1">
      <x:c r="A32" s="18" t="str">
        <x:v>MB-FW-029-BASIC</x:v>
      </x:c>
      <x:c r="B32" s="18" t="str">
        <x:v>Mailbox用例</x:v>
      </x:c>
      <x:c r="C32" s="18" t="str">
        <x:v>MAILBOX_COMMAND</x:v>
      </x:c>
      <x:c r="D32" s="18" t="str">
        <x:v>BASIC</x:v>
      </x:c>
      <x:c r="E32" s="18" t="str">
        <x:v>MB_CMD_ID_OTP_READ - BASIC</x:v>
      </x:c>
      <x:c r="F32" s="18" t="str">
        <x:v>P0</x:v>
      </x:c>
      <x:c r="G32" s="18" t="str">
        <x:v>MEDIUM_HIGH</x:v>
      </x:c>
      <x:c r="H32" s="18" t="str">
        <x:v>L3_EMU_INTEGRATION</x:v>
      </x:c>
      <x:c r="I32" s="18" t="str">
        <x:v>WAVE1_ROOT_OF_TRUST</x:v>
      </x:c>
      <x:c r="J32" s="18" t="str">
        <x:v>../baremetal</x:v>
      </x:c>
      <x:c r="K32" s="18" t="str">
        <x:v>DESIGN_COMPLETE</x:v>
      </x:c>
      <x:c r="L32" s="18" t="str">
        <x:v>MUST_PASS_BASIC</x:v>
      </x:c>
      <x:c r="M32" s="18" t="str">
        <x:v>READY_AFTER_BASELINE</x:v>
      </x:c>
      <x:c r="N32" s="18" t="str">
        <x:v>BASIC复用Vendor正式Typed API和真实Mailbox闭环；保留case_id</x:v>
      </x:c>
      <x:c r="O32" s="18" t="str">
        <x:v>READY_AFTER_BASELINE; 实施前登记 ../baremetal branch/commit、RTL/eHSM/软件 baseline，以及本用例所需的冻结地址、master_id、Region/权限编码</x:v>
      </x:c>
      <x:c r="P32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32" s="18" t="str">
        <x:v>可构建；可枚举和单独执行；结果为 PASS/FAIL/INCONCLUSIVE；Expected 可追溯；日志含 case ID、baseline、输入/输出摘要和错误码</x:v>
      </x:c>
      <x:c r="R32" s="18" t="str">
        <x:v>至少保留run ID、case/vector ID、baseline、Mailbox提交证据、raw eHSM返回、对象/Flash/counter/状态前后快照和日志哈希；硬件内部信号证据由硬件验证团队提供</x:v>
      </x:c>
      <x:c r="S32" s="18" t="str">
        <x:v>先检查 ../baremetal 现状和仓库规则，再规划落点并实现；本表不预设目录、模块、Runner 或文件名</x:v>
      </x:c>
      <x:c r="T32" s="18" t="str"/>
    </x:row>
    <x:row r="33" ht="72" customHeight="1">
      <x:c r="A33" s="18" t="str">
        <x:v>MB-FW-030-BASIC</x:v>
      </x:c>
      <x:c r="B33" s="18" t="str">
        <x:v>Mailbox用例</x:v>
      </x:c>
      <x:c r="C33" s="18" t="str">
        <x:v>MAILBOX_COMMAND</x:v>
      </x:c>
      <x:c r="D33" s="18" t="str">
        <x:v>BASIC</x:v>
      </x:c>
      <x:c r="E33" s="18" t="str">
        <x:v>MB_CMD_ID_GET_CHALLENGE - BASIC</x:v>
      </x:c>
      <x:c r="F33" s="18" t="str">
        <x:v>P0</x:v>
      </x:c>
      <x:c r="G33" s="18" t="str">
        <x:v>MEDIUM_HIGH</x:v>
      </x:c>
      <x:c r="H33" s="18" t="str">
        <x:v>L3_EMU_INTEGRATION</x:v>
      </x:c>
      <x:c r="I33" s="18" t="str">
        <x:v>WAVE2_IDENTITY_KEY_PERMISSION</x:v>
      </x:c>
      <x:c r="J33" s="18" t="str">
        <x:v>../baremetal</x:v>
      </x:c>
      <x:c r="K33" s="18" t="str">
        <x:v>DESIGN_COMPLETE</x:v>
      </x:c>
      <x:c r="L33" s="18" t="str">
        <x:v>MUST_PASS_BASIC</x:v>
      </x:c>
      <x:c r="M33" s="18" t="str">
        <x:v>READY_AFTER_BASELINE</x:v>
      </x:c>
      <x:c r="N33" s="18" t="str">
        <x:v>BASIC复用Vendor正式Typed API和真实Mailbox闭环；保留case_id</x:v>
      </x:c>
      <x:c r="O33" s="18" t="str">
        <x:v>READY_AFTER_BASELINE; 实施前登记 ../baremetal branch/commit、RTL/eHSM/软件 baseline，以及本用例所需的冻结地址、master_id、Region/权限编码</x:v>
      </x:c>
      <x:c r="P33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33" s="18" t="str">
        <x:v>可构建；可枚举和单独执行；结果为 PASS/FAIL/INCONCLUSIVE；Expected 可追溯；日志含 case ID、baseline、输入/输出摘要和错误码</x:v>
      </x:c>
      <x:c r="R33" s="18" t="str">
        <x:v>至少保留run ID、case/vector ID、baseline、Mailbox提交证据、raw eHSM返回、对象/Flash/counter/状态前后快照和日志哈希；硬件内部信号证据由硬件验证团队提供</x:v>
      </x:c>
      <x:c r="S33" s="18" t="str">
        <x:v>先检查 ../baremetal 现状和仓库规则，再规划落点并实现；本表不预设目录、模块、Runner 或文件名</x:v>
      </x:c>
      <x:c r="T33" s="18" t="str"/>
    </x:row>
    <x:row r="34" ht="72" customHeight="1">
      <x:c r="A34" s="18" t="str">
        <x:v>MB-FW-031-BASIC</x:v>
      </x:c>
      <x:c r="B34" s="18" t="str">
        <x:v>Mailbox用例</x:v>
      </x:c>
      <x:c r="C34" s="18" t="str">
        <x:v>MAILBOX_COMMAND</x:v>
      </x:c>
      <x:c r="D34" s="18" t="str">
        <x:v>BASIC</x:v>
      </x:c>
      <x:c r="E34" s="18" t="str">
        <x:v>MB_CMD_ID_AUTH - BASIC</x:v>
      </x:c>
      <x:c r="F34" s="18" t="str">
        <x:v>P0</x:v>
      </x:c>
      <x:c r="G34" s="18" t="str">
        <x:v>MEDIUM_HIGH</x:v>
      </x:c>
      <x:c r="H34" s="18" t="str">
        <x:v>L3_EMU_INTEGRATION</x:v>
      </x:c>
      <x:c r="I34" s="18" t="str">
        <x:v>WAVE2_IDENTITY_KEY_PERMISSION</x:v>
      </x:c>
      <x:c r="J34" s="18" t="str">
        <x:v>../baremetal</x:v>
      </x:c>
      <x:c r="K34" s="18" t="str">
        <x:v>DESIGN_COMPLETE</x:v>
      </x:c>
      <x:c r="L34" s="18" t="str">
        <x:v>MUST_PASS_BASIC</x:v>
      </x:c>
      <x:c r="M34" s="18" t="str">
        <x:v>READY_AFTER_BASELINE</x:v>
      </x:c>
      <x:c r="N34" s="18" t="str">
        <x:v>BASIC复用Vendor正式Typed API和真实Mailbox闭环；保留case_id</x:v>
      </x:c>
      <x:c r="O34" s="18" t="str">
        <x:v>READY_AFTER_BASELINE; 实施前登记 ../baremetal branch/commit、RTL/eHSM/软件 baseline，以及本用例所需的冻结地址、master_id、Region/权限编码</x:v>
      </x:c>
      <x:c r="P34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34" s="18" t="str">
        <x:v>可构建；可枚举和单独执行；结果为 PASS/FAIL/INCONCLUSIVE；Expected 可追溯；日志含 case ID、baseline、输入/输出摘要和错误码</x:v>
      </x:c>
      <x:c r="R34" s="18" t="str">
        <x:v>至少保留run ID、case/vector ID、baseline、Mailbox提交证据、raw eHSM返回、对象/Flash/counter/状态前后快照和日志哈希；硬件内部信号证据由硬件验证团队提供</x:v>
      </x:c>
      <x:c r="S34" s="18" t="str">
        <x:v>先检查 ../baremetal 现状和仓库规则，再规划落点并实现；本表不预设目录、模块、Runner 或文件名</x:v>
      </x:c>
      <x:c r="T34" s="18" t="str"/>
    </x:row>
    <x:row r="35" ht="72" customHeight="1">
      <x:c r="A35" s="18" t="str">
        <x:v>MB-FW-032-BASIC</x:v>
      </x:c>
      <x:c r="B35" s="18" t="str">
        <x:v>Mailbox用例</x:v>
      </x:c>
      <x:c r="C35" s="18" t="str">
        <x:v>MAILBOX_COMMAND</x:v>
      </x:c>
      <x:c r="D35" s="18" t="str">
        <x:v>BASIC</x:v>
      </x:c>
      <x:c r="E35" s="18" t="str">
        <x:v>MB_CMD_ID_CLOSE_DEBUG - BASIC</x:v>
      </x:c>
      <x:c r="F35" s="18" t="str">
        <x:v>P0</x:v>
      </x:c>
      <x:c r="G35" s="18" t="str">
        <x:v>MEDIUM_HIGH</x:v>
      </x:c>
      <x:c r="H35" s="18" t="str">
        <x:v>L3_EMU_INTEGRATION</x:v>
      </x:c>
      <x:c r="I35" s="18" t="str">
        <x:v>WAVE2_IDENTITY_KEY_PERMISSION</x:v>
      </x:c>
      <x:c r="J35" s="18" t="str">
        <x:v>../baremetal</x:v>
      </x:c>
      <x:c r="K35" s="18" t="str">
        <x:v>DESIGN_COMPLETE</x:v>
      </x:c>
      <x:c r="L35" s="18" t="str">
        <x:v>MUST_PASS_BASIC</x:v>
      </x:c>
      <x:c r="M35" s="18" t="str">
        <x:v>READY_AFTER_BASELINE</x:v>
      </x:c>
      <x:c r="N35" s="18" t="str">
        <x:v>BASIC复用Vendor正式Typed API和真实Mailbox闭环；保留case_id</x:v>
      </x:c>
      <x:c r="O35" s="18" t="str">
        <x:v>READY_AFTER_BASELINE; 实施前登记 ../baremetal branch/commit、RTL/eHSM/软件 baseline，以及本用例所需的冻结地址、master_id、Region/权限编码</x:v>
      </x:c>
      <x:c r="P35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35" s="18" t="str">
        <x:v>可构建；可枚举和单独执行；结果为 PASS/FAIL/INCONCLUSIVE；Expected 可追溯；日志含 case ID、baseline、输入/输出摘要和错误码</x:v>
      </x:c>
      <x:c r="R35" s="18" t="str">
        <x:v>至少保留run ID、case/vector ID、baseline、Mailbox提交证据、raw eHSM返回、对象/Flash/counter/状态前后快照和日志哈希；硬件内部信号证据由硬件验证团队提供</x:v>
      </x:c>
      <x:c r="S35" s="18" t="str">
        <x:v>先检查 ../baremetal 现状和仓库规则，再规划落点并实现；本表不预设目录、模块、Runner 或文件名</x:v>
      </x:c>
      <x:c r="T35" s="18" t="str"/>
    </x:row>
    <x:row r="36" ht="72" customHeight="1">
      <x:c r="A36" s="18" t="str">
        <x:v>MB-FW-033-BASIC</x:v>
      </x:c>
      <x:c r="B36" s="18" t="str">
        <x:v>Mailbox用例</x:v>
      </x:c>
      <x:c r="C36" s="18" t="str">
        <x:v>MAILBOX_COMMAND</x:v>
      </x:c>
      <x:c r="D36" s="18" t="str">
        <x:v>BASIC</x:v>
      </x:c>
      <x:c r="E36" s="18" t="str">
        <x:v>MB_CMD_ID_FW_UPGRADE - BASIC</x:v>
      </x:c>
      <x:c r="F36" s="18" t="str">
        <x:v>P0</x:v>
      </x:c>
      <x:c r="G36" s="18" t="str">
        <x:v>HIGH</x:v>
      </x:c>
      <x:c r="H36" s="18" t="str">
        <x:v>L3_EMU_INTEGRATION</x:v>
      </x:c>
      <x:c r="I36" s="18" t="str">
        <x:v>WAVE1_ROOT_OF_TRUST</x:v>
      </x:c>
      <x:c r="J36" s="18" t="str">
        <x:v>../baremetal</x:v>
      </x:c>
      <x:c r="K36" s="18" t="str">
        <x:v>DESIGN_COMPLETE</x:v>
      </x:c>
      <x:c r="L36" s="18" t="str">
        <x:v>DEDICATED_FIXTURE_OR_INCONCLUSIVE</x:v>
      </x:c>
      <x:c r="M36" s="18" t="str">
        <x:v>NEEDS_DEDICATED_FIXTURE_AND_APPROVAL</x:v>
      </x:c>
      <x:c r="N36" s="18" t="str">
        <x:v>BASIC复用Vendor正式Typed API和真实Mailbox闭环；保留case_id</x:v>
      </x:c>
      <x:c r="O36" s="18" t="str">
        <x:v>NEEDS_DEDICATED_FIXTURE_AND_APPROVAL; 实施前登记 ../baremetal branch/commit、RTL/eHSM/软件 baseline，以及本用例所需的冻结地址、master_id、Region/权限编码</x:v>
      </x:c>
      <x:c r="P36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36" s="18" t="str">
        <x:v>可构建；可枚举和单独执行；结果为 PASS/FAIL/INCONCLUSIVE；Expected 可追溯；日志含 case ID、baseline、输入/输出摘要和错误码</x:v>
      </x:c>
      <x:c r="R36" s="18" t="str">
        <x:v>至少保留run ID、case/vector ID、baseline、Mailbox提交证据、raw eHSM返回、对象/Flash/counter/状态前后快照和日志哈希；硬件内部信号证据由硬件验证团队提供</x:v>
      </x:c>
      <x:c r="S36" s="18" t="str">
        <x:v>先检查 ../baremetal 现状和仓库规则，再规划落点并实现；本表不预设目录、模块、Runner 或文件名</x:v>
      </x:c>
      <x:c r="T36" s="18" t="str"/>
    </x:row>
    <x:row r="37" ht="72" customHeight="1">
      <x:c r="A37" s="18" t="str">
        <x:v>MB-FW-034-BASIC</x:v>
      </x:c>
      <x:c r="B37" s="18" t="str">
        <x:v>Mailbox用例</x:v>
      </x:c>
      <x:c r="C37" s="18" t="str">
        <x:v>MAILBOX_COMMAND</x:v>
      </x:c>
      <x:c r="D37" s="18" t="str">
        <x:v>BASIC</x:v>
      </x:c>
      <x:c r="E37" s="18" t="str">
        <x:v>MB_CMD_ID_SOC_VERIFY - BASIC</x:v>
      </x:c>
      <x:c r="F37" s="18" t="str">
        <x:v>P0</x:v>
      </x:c>
      <x:c r="G37" s="18" t="str">
        <x:v>MEDIUM_HIGH</x:v>
      </x:c>
      <x:c r="H37" s="18" t="str">
        <x:v>L3_EMU_INTEGRATION</x:v>
      </x:c>
      <x:c r="I37" s="18" t="str">
        <x:v>WAVE1_ROOT_OF_TRUST</x:v>
      </x:c>
      <x:c r="J37" s="18" t="str">
        <x:v>../baremetal</x:v>
      </x:c>
      <x:c r="K37" s="18" t="str">
        <x:v>DESIGN_COMPLETE</x:v>
      </x:c>
      <x:c r="L37" s="18" t="str">
        <x:v>MUST_PASS_BASIC</x:v>
      </x:c>
      <x:c r="M37" s="18" t="str">
        <x:v>READY_AFTER_BASELINE</x:v>
      </x:c>
      <x:c r="N37" s="18" t="str">
        <x:v>BASIC复用Vendor正式Typed API和真实Mailbox闭环；保留case_id</x:v>
      </x:c>
      <x:c r="O37" s="18" t="str">
        <x:v>READY_AFTER_BASELINE; 实施前登记 ../baremetal branch/commit、RTL/eHSM/软件 baseline，以及本用例所需的冻结地址、master_id、Region/权限编码</x:v>
      </x:c>
      <x:c r="P37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37" s="18" t="str">
        <x:v>可构建；可枚举和单独执行；结果为 PASS/FAIL/INCONCLUSIVE；Expected 可追溯；日志含 case ID、baseline、输入/输出摘要和错误码</x:v>
      </x:c>
      <x:c r="R37" s="18" t="str">
        <x:v>至少保留run ID、case/vector ID、baseline、Mailbox提交证据、raw eHSM返回、对象/Flash/counter/状态前后快照和日志哈希；硬件内部信号证据由硬件验证团队提供</x:v>
      </x:c>
      <x:c r="S37" s="18" t="str">
        <x:v>先检查 ../baremetal 现状和仓库规则，再规划落点并实现；本表不预设目录、模块、Runner 或文件名</x:v>
      </x:c>
      <x:c r="T37" s="18" t="str"/>
    </x:row>
    <x:row r="38" ht="72" customHeight="1">
      <x:c r="A38" s="18" t="str">
        <x:v>MB-FW-035-BASIC</x:v>
      </x:c>
      <x:c r="B38" s="18" t="str">
        <x:v>Mailbox用例</x:v>
      </x:c>
      <x:c r="C38" s="18" t="str">
        <x:v>MAILBOX_COMMAND</x:v>
      </x:c>
      <x:c r="D38" s="18" t="str">
        <x:v>BASIC</x:v>
      </x:c>
      <x:c r="E38" s="18" t="str">
        <x:v>MB_CMD_ID_INSTALL_RANDOM_KEY - BASIC</x:v>
      </x:c>
      <x:c r="F38" s="18" t="str">
        <x:v>P0</x:v>
      </x:c>
      <x:c r="G38" s="18" t="str">
        <x:v>MEDIUM_HIGH</x:v>
      </x:c>
      <x:c r="H38" s="18" t="str">
        <x:v>L3_EMU_INTEGRATION</x:v>
      </x:c>
      <x:c r="I38" s="18" t="str">
        <x:v>WAVE2_IDENTITY_KEY_PERMISSION</x:v>
      </x:c>
      <x:c r="J38" s="18" t="str">
        <x:v>../baremetal</x:v>
      </x:c>
      <x:c r="K38" s="18" t="str">
        <x:v>DESIGN_COMPLETE</x:v>
      </x:c>
      <x:c r="L38" s="18" t="str">
        <x:v>MUST_PASS_BASIC</x:v>
      </x:c>
      <x:c r="M38" s="18" t="str">
        <x:v>NEEDS_DEDICATED_FIXTURE_AND_APPROVAL</x:v>
      </x:c>
      <x:c r="N38" s="18" t="str">
        <x:v>BASIC复用Vendor正式Typed API和真实Mailbox闭环；保留case_id</x:v>
      </x:c>
      <x:c r="O38" s="18" t="str">
        <x:v>NEEDS_DEDICATED_FIXTURE_AND_APPROVAL; 实施前登记 ../baremetal branch/commit、RTL/eHSM/软件 baseline，以及本用例所需的冻结地址、master_id、Region/权限编码</x:v>
      </x:c>
      <x:c r="P38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38" s="18" t="str">
        <x:v>可构建；可枚举和单独执行；结果为 PASS/FAIL/INCONCLUSIVE；Expected 可追溯；日志含 case ID、baseline、输入/输出摘要和错误码</x:v>
      </x:c>
      <x:c r="R38" s="18" t="str">
        <x:v>至少保留run ID、case/vector ID、baseline、Mailbox提交证据、raw eHSM返回、对象/Flash/counter/状态前后快照和日志哈希；硬件内部信号证据由硬件验证团队提供</x:v>
      </x:c>
      <x:c r="S38" s="18" t="str">
        <x:v>先检查 ../baremetal 现状和仓库规则，再规划落点并实现；本表不预设目录、模块、Runner 或文件名</x:v>
      </x:c>
      <x:c r="T38" s="18" t="str"/>
    </x:row>
    <x:row r="39" ht="72" customHeight="1">
      <x:c r="A39" s="18" t="str">
        <x:v>MB-FW-036-BASIC</x:v>
      </x:c>
      <x:c r="B39" s="18" t="str">
        <x:v>Mailbox用例</x:v>
      </x:c>
      <x:c r="C39" s="18" t="str">
        <x:v>MAILBOX_COMMAND</x:v>
      </x:c>
      <x:c r="D39" s="18" t="str">
        <x:v>BASIC</x:v>
      </x:c>
      <x:c r="E39" s="18" t="str">
        <x:v>MB_CMD_ID_INSTALL_ENCRYPT_KEY - BASIC</x:v>
      </x:c>
      <x:c r="F39" s="18" t="str">
        <x:v>P0</x:v>
      </x:c>
      <x:c r="G39" s="18" t="str">
        <x:v>MEDIUM_HIGH</x:v>
      </x:c>
      <x:c r="H39" s="18" t="str">
        <x:v>L3_EMU_INTEGRATION</x:v>
      </x:c>
      <x:c r="I39" s="18" t="str">
        <x:v>WAVE2_IDENTITY_KEY_PERMISSION</x:v>
      </x:c>
      <x:c r="J39" s="18" t="str">
        <x:v>../baremetal</x:v>
      </x:c>
      <x:c r="K39" s="18" t="str">
        <x:v>DESIGN_COMPLETE</x:v>
      </x:c>
      <x:c r="L39" s="18" t="str">
        <x:v>MUST_PASS_BASIC</x:v>
      </x:c>
      <x:c r="M39" s="18" t="str">
        <x:v>NEEDS_DEDICATED_FIXTURE_AND_APPROVAL</x:v>
      </x:c>
      <x:c r="N39" s="18" t="str">
        <x:v>BASIC复用Vendor正式Typed API和真实Mailbox闭环；保留case_id</x:v>
      </x:c>
      <x:c r="O39" s="18" t="str">
        <x:v>NEEDS_DEDICATED_FIXTURE_AND_APPROVAL; 实施前登记 ../baremetal branch/commit、RTL/eHSM/软件 baseline，以及本用例所需的冻结地址、master_id、Region/权限编码</x:v>
      </x:c>
      <x:c r="P39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39" s="18" t="str">
        <x:v>可构建；可枚举和单独执行；结果为 PASS/FAIL/INCONCLUSIVE；Expected 可追溯；日志含 case ID、baseline、输入/输出摘要和错误码</x:v>
      </x:c>
      <x:c r="R39" s="18" t="str">
        <x:v>至少保留run ID、case/vector ID、baseline、Mailbox提交证据、raw eHSM返回、对象/Flash/counter/状态前后快照和日志哈希；硬件内部信号证据由硬件验证团队提供</x:v>
      </x:c>
      <x:c r="S39" s="18" t="str">
        <x:v>先检查 ../baremetal 现状和仓库规则，再规划落点并实现；本表不预设目录、模块、Runner 或文件名</x:v>
      </x:c>
      <x:c r="T39" s="18" t="str"/>
    </x:row>
    <x:row r="40" ht="72" customHeight="1">
      <x:c r="A40" s="18" t="str">
        <x:v>MB-FW-037-BASIC</x:v>
      </x:c>
      <x:c r="B40" s="18" t="str">
        <x:v>Mailbox用例</x:v>
      </x:c>
      <x:c r="C40" s="18" t="str">
        <x:v>MAILBOX_COMMAND</x:v>
      </x:c>
      <x:c r="D40" s="18" t="str">
        <x:v>BASIC</x:v>
      </x:c>
      <x:c r="E40" s="18" t="str">
        <x:v>MB_CMD_ID_GET_EMU - BASIC</x:v>
      </x:c>
      <x:c r="F40" s="18" t="str">
        <x:v>P0</x:v>
      </x:c>
      <x:c r="G40" s="18" t="str">
        <x:v>LOW</x:v>
      </x:c>
      <x:c r="H40" s="18" t="str">
        <x:v>L3_EMU_INTEGRATION</x:v>
      </x:c>
      <x:c r="I40" s="18" t="str">
        <x:v>WAVE0_DAY0_SMOKE</x:v>
      </x:c>
      <x:c r="J40" s="18" t="str">
        <x:v>../baremetal</x:v>
      </x:c>
      <x:c r="K40" s="18" t="str">
        <x:v>DESIGN_COMPLETE</x:v>
      </x:c>
      <x:c r="L40" s="18" t="str">
        <x:v>MUST_PASS_BASIC</x:v>
      </x:c>
      <x:c r="M40" s="18" t="str">
        <x:v>READY_AFTER_BASELINE</x:v>
      </x:c>
      <x:c r="N40" s="18" t="str">
        <x:v>BASIC复用Vendor正式Typed API和真实Mailbox闭环；保留case_id</x:v>
      </x:c>
      <x:c r="O40" s="18" t="str">
        <x:v>READY_AFTER_BASELINE; 实施前登记 ../baremetal branch/commit、RTL/eHSM/软件 baseline，以及本用例所需的冻结地址、master_id、Region/权限编码</x:v>
      </x:c>
      <x:c r="P40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40" s="18" t="str">
        <x:v>可构建；可枚举和单独执行；结果为 PASS/FAIL/INCONCLUSIVE；Expected 可追溯；日志含 case ID、baseline、输入/输出摘要和错误码</x:v>
      </x:c>
      <x:c r="R40" s="18" t="str">
        <x:v>至少保留run ID、case/vector ID、baseline、Mailbox提交证据、raw eHSM返回、对象/Flash/counter/状态前后快照和日志哈希；硬件内部信号证据由硬件验证团队提供</x:v>
      </x:c>
      <x:c r="S40" s="18" t="str">
        <x:v>先检查 ../baremetal 现状和仓库规则，再规划落点并实现；本表不预设目录、模块、Runner 或文件名</x:v>
      </x:c>
      <x:c r="T40" s="18" t="str"/>
    </x:row>
    <x:row r="41" ht="72" customHeight="1">
      <x:c r="A41" s="18" t="str">
        <x:v>MB-FW-038-BASIC</x:v>
      </x:c>
      <x:c r="B41" s="18" t="str">
        <x:v>Mailbox用例</x:v>
      </x:c>
      <x:c r="C41" s="18" t="str">
        <x:v>MAILBOX_COMMAND</x:v>
      </x:c>
      <x:c r="D41" s="18" t="str">
        <x:v>BASIC</x:v>
      </x:c>
      <x:c r="E41" s="18" t="str">
        <x:v>MB_CMD_ID_CHANGE_LIFECYCLE - BASIC</x:v>
      </x:c>
      <x:c r="F41" s="18" t="str">
        <x:v>P0</x:v>
      </x:c>
      <x:c r="G41" s="18" t="str">
        <x:v>HIGH</x:v>
      </x:c>
      <x:c r="H41" s="18" t="str">
        <x:v>L3_EMU_INTEGRATION</x:v>
      </x:c>
      <x:c r="I41" s="18" t="str">
        <x:v>WAVE2_IDENTITY_KEY_PERMISSION</x:v>
      </x:c>
      <x:c r="J41" s="18" t="str">
        <x:v>../baremetal</x:v>
      </x:c>
      <x:c r="K41" s="18" t="str">
        <x:v>DESIGN_COMPLETE</x:v>
      </x:c>
      <x:c r="L41" s="18" t="str">
        <x:v>DEDICATED_FIXTURE_OR_INCONCLUSIVE</x:v>
      </x:c>
      <x:c r="M41" s="18" t="str">
        <x:v>NEEDS_DEDICATED_FIXTURE_AND_APPROVAL</x:v>
      </x:c>
      <x:c r="N41" s="18" t="str">
        <x:v>BASIC复用Vendor正式Typed API和真实Mailbox闭环；保留case_id</x:v>
      </x:c>
      <x:c r="O41" s="18" t="str">
        <x:v>NEEDS_DEDICATED_FIXTURE_AND_APPROVAL; 实施前登记 ../baremetal branch/commit、RTL/eHSM/软件 baseline，以及本用例所需的冻结地址、master_id、Region/权限编码</x:v>
      </x:c>
      <x:c r="P41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41" s="18" t="str">
        <x:v>可构建；可枚举和单独执行；结果为 PASS/FAIL/INCONCLUSIVE；Expected 可追溯；日志含 case ID、baseline、输入/输出摘要和错误码</x:v>
      </x:c>
      <x:c r="R41" s="18" t="str">
        <x:v>至少保留run ID、case/vector ID、baseline、Mailbox提交证据、raw eHSM返回、对象/Flash/counter/状态前后快照和日志哈希；硬件内部信号证据由硬件验证团队提供</x:v>
      </x:c>
      <x:c r="S41" s="18" t="str">
        <x:v>先检查 ../baremetal 现状和仓库规则，再规划落点并实现；本表不预设目录、模块、Runner 或文件名</x:v>
      </x:c>
      <x:c r="T41" s="18" t="str"/>
    </x:row>
    <x:row r="42" ht="72" customHeight="1">
      <x:c r="A42" s="18" t="str">
        <x:v>MB-FW-039-BASIC</x:v>
      </x:c>
      <x:c r="B42" s="18" t="str">
        <x:v>Mailbox用例</x:v>
      </x:c>
      <x:c r="C42" s="18" t="str">
        <x:v>MAILBOX_COMMAND</x:v>
      </x:c>
      <x:c r="D42" s="18" t="str">
        <x:v>BASIC</x:v>
      </x:c>
      <x:c r="E42" s="18" t="str">
        <x:v>MB_CMD_ID_CHANGE_CONTROL_FIELD - BASIC</x:v>
      </x:c>
      <x:c r="F42" s="18" t="str">
        <x:v>P0</x:v>
      </x:c>
      <x:c r="G42" s="18" t="str">
        <x:v>HIGH</x:v>
      </x:c>
      <x:c r="H42" s="18" t="str">
        <x:v>L3_EMU_INTEGRATION</x:v>
      </x:c>
      <x:c r="I42" s="18" t="str">
        <x:v>WAVE2_IDENTITY_KEY_PERMISSION</x:v>
      </x:c>
      <x:c r="J42" s="18" t="str">
        <x:v>../baremetal</x:v>
      </x:c>
      <x:c r="K42" s="18" t="str">
        <x:v>DESIGN_COMPLETE</x:v>
      </x:c>
      <x:c r="L42" s="18" t="str">
        <x:v>DEDICATED_FIXTURE_OR_INCONCLUSIVE</x:v>
      </x:c>
      <x:c r="M42" s="18" t="str">
        <x:v>NEEDS_DEDICATED_FIXTURE_AND_APPROVAL</x:v>
      </x:c>
      <x:c r="N42" s="18" t="str">
        <x:v>BASIC复用Vendor正式Typed API和真实Mailbox闭环；保留case_id</x:v>
      </x:c>
      <x:c r="O42" s="18" t="str">
        <x:v>NEEDS_DEDICATED_FIXTURE_AND_APPROVAL; 实施前登记 ../baremetal branch/commit、RTL/eHSM/软件 baseline，以及本用例所需的冻结地址、master_id、Region/权限编码</x:v>
      </x:c>
      <x:c r="P42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42" s="18" t="str">
        <x:v>可构建；可枚举和单独执行；结果为 PASS/FAIL/INCONCLUSIVE；Expected 可追溯；日志含 case ID、baseline、输入/输出摘要和错误码</x:v>
      </x:c>
      <x:c r="R42" s="18" t="str">
        <x:v>至少保留run ID、case/vector ID、baseline、Mailbox提交证据、raw eHSM返回、对象/Flash/counter/状态前后快照和日志哈希；硬件内部信号证据由硬件验证团队提供</x:v>
      </x:c>
      <x:c r="S42" s="18" t="str">
        <x:v>先检查 ../baremetal 现状和仓库规则，再规划落点并实现；本表不预设目录、模块、Runner 或文件名</x:v>
      </x:c>
      <x:c r="T42" s="18" t="str"/>
    </x:row>
    <x:row r="43" ht="72" customHeight="1">
      <x:c r="A43" s="18" t="str">
        <x:v>MB-FW-040-BASIC</x:v>
      </x:c>
      <x:c r="B43" s="18" t="str">
        <x:v>Mailbox用例</x:v>
      </x:c>
      <x:c r="C43" s="18" t="str">
        <x:v>MAILBOX_COMMAND</x:v>
      </x:c>
      <x:c r="D43" s="18" t="str">
        <x:v>BASIC</x:v>
      </x:c>
      <x:c r="E43" s="18" t="str">
        <x:v>MB_CMD_ID_SET_UART_BAUDRATE - BASIC</x:v>
      </x:c>
      <x:c r="F43" s="18" t="str">
        <x:v>P0</x:v>
      </x:c>
      <x:c r="G43" s="18" t="str">
        <x:v>MEDIUM</x:v>
      </x:c>
      <x:c r="H43" s="18" t="str">
        <x:v>L3_EMU_INTEGRATION</x:v>
      </x:c>
      <x:c r="I43" s="18" t="str">
        <x:v>WAVE4_CRYPTO_COMPAT_VENDOR</x:v>
      </x:c>
      <x:c r="J43" s="18" t="str">
        <x:v>../baremetal</x:v>
      </x:c>
      <x:c r="K43" s="18" t="str">
        <x:v>DESIGN_COMPLETE</x:v>
      </x:c>
      <x:c r="L43" s="18" t="str">
        <x:v>MUST_PASS_BASIC</x:v>
      </x:c>
      <x:c r="M43" s="18" t="str">
        <x:v>READY_AFTER_BASELINE</x:v>
      </x:c>
      <x:c r="N43" s="18" t="str">
        <x:v>BASIC复用Vendor正式Typed API和真实Mailbox闭环；保留case_id</x:v>
      </x:c>
      <x:c r="O43" s="18" t="str">
        <x:v>READY_AFTER_BASELINE; 实施前登记 ../baremetal branch/commit、RTL/eHSM/软件 baseline，以及本用例所需的冻结地址、master_id、Region/权限编码</x:v>
      </x:c>
      <x:c r="P43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43" s="18" t="str">
        <x:v>可构建；可枚举和单独执行；结果为 PASS/FAIL/INCONCLUSIVE；Expected 可追溯；日志含 case ID、baseline、输入/输出摘要和错误码</x:v>
      </x:c>
      <x:c r="R43" s="18" t="str">
        <x:v>至少保留run ID、case/vector ID、baseline、Mailbox提交证据、raw eHSM返回、对象/Flash/counter/状态前后快照和日志哈希；硬件内部信号证据由硬件验证团队提供</x:v>
      </x:c>
      <x:c r="S43" s="18" t="str">
        <x:v>先检查 ../baremetal 现状和仓库规则，再规划落点并实现；本表不预设目录、模块、Runner 或文件名</x:v>
      </x:c>
      <x:c r="T43" s="18" t="str"/>
    </x:row>
    <x:row r="44" ht="72" customHeight="1">
      <x:c r="A44" s="18" t="str">
        <x:v>MB-FW-041-BASIC</x:v>
      </x:c>
      <x:c r="B44" s="18" t="str">
        <x:v>Mailbox用例</x:v>
      </x:c>
      <x:c r="C44" s="18" t="str">
        <x:v>MAILBOX_COMMAND</x:v>
      </x:c>
      <x:c r="D44" s="18" t="str">
        <x:v>BASIC</x:v>
      </x:c>
      <x:c r="E44" s="18" t="str">
        <x:v>MB_CMD_ID_FW_REG_WR - BASIC</x:v>
      </x:c>
      <x:c r="F44" s="18" t="str">
        <x:v>P0</x:v>
      </x:c>
      <x:c r="G44" s="18" t="str">
        <x:v>MEDIUM_HIGH</x:v>
      </x:c>
      <x:c r="H44" s="18" t="str">
        <x:v>L3_EMU_INTEGRATION</x:v>
      </x:c>
      <x:c r="I44" s="18" t="str">
        <x:v>WAVE4_CRYPTO_COMPAT_VENDOR</x:v>
      </x:c>
      <x:c r="J44" s="18" t="str">
        <x:v>../baremetal</x:v>
      </x:c>
      <x:c r="K44" s="18" t="str">
        <x:v>DESIGN_COMPLETE</x:v>
      </x:c>
      <x:c r="L44" s="18" t="str">
        <x:v>MUST_PASS_BASIC</x:v>
      </x:c>
      <x:c r="M44" s="18" t="str">
        <x:v>NEEDS_DEDICATED_FIXTURE_AND_APPROVAL</x:v>
      </x:c>
      <x:c r="N44" s="18" t="str">
        <x:v>BASIC复用Vendor正式Typed API和真实Mailbox闭环；保留case_id</x:v>
      </x:c>
      <x:c r="O44" s="18" t="str">
        <x:v>NEEDS_DEDICATED_FIXTURE_AND_APPROVAL; 实施前登记 ../baremetal branch/commit、RTL/eHSM/软件 baseline，以及本用例所需的冻结地址、master_id、Region/权限编码</x:v>
      </x:c>
      <x:c r="P44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44" s="18" t="str">
        <x:v>可构建；可枚举和单独执行；结果为 PASS/FAIL/INCONCLUSIVE；Expected 可追溯；日志含 case ID、baseline、输入/输出摘要和错误码</x:v>
      </x:c>
      <x:c r="R44" s="18" t="str">
        <x:v>至少保留run ID、case/vector ID、baseline、Mailbox提交证据、raw eHSM返回、对象/Flash/counter/状态前后快照和日志哈希；硬件内部信号证据由硬件验证团队提供</x:v>
      </x:c>
      <x:c r="S44" s="18" t="str">
        <x:v>先检查 ../baremetal 现状和仓库规则，再规划落点并实现；本表不预设目录、模块、Runner 或文件名</x:v>
      </x:c>
      <x:c r="T44" s="18" t="str"/>
    </x:row>
    <x:row r="45" ht="72" customHeight="1">
      <x:c r="A45" s="18" t="str">
        <x:v>MB-FW-042-BASIC</x:v>
      </x:c>
      <x:c r="B45" s="18" t="str">
        <x:v>Mailbox用例</x:v>
      </x:c>
      <x:c r="C45" s="18" t="str">
        <x:v>MAILBOX_COMMAND</x:v>
      </x:c>
      <x:c r="D45" s="18" t="str">
        <x:v>BASIC</x:v>
      </x:c>
      <x:c r="E45" s="18" t="str">
        <x:v>MB_CMD_ID_FW_REG_RD - BASIC</x:v>
      </x:c>
      <x:c r="F45" s="18" t="str">
        <x:v>P0</x:v>
      </x:c>
      <x:c r="G45" s="18" t="str">
        <x:v>MEDIUM_HIGH</x:v>
      </x:c>
      <x:c r="H45" s="18" t="str">
        <x:v>L3_EMU_INTEGRATION</x:v>
      </x:c>
      <x:c r="I45" s="18" t="str">
        <x:v>WAVE4_CRYPTO_COMPAT_VENDOR</x:v>
      </x:c>
      <x:c r="J45" s="18" t="str">
        <x:v>../baremetal</x:v>
      </x:c>
      <x:c r="K45" s="18" t="str">
        <x:v>DESIGN_COMPLETE</x:v>
      </x:c>
      <x:c r="L45" s="18" t="str">
        <x:v>MUST_PASS_BASIC</x:v>
      </x:c>
      <x:c r="M45" s="18" t="str">
        <x:v>READY_AFTER_BASELINE</x:v>
      </x:c>
      <x:c r="N45" s="18" t="str">
        <x:v>BASIC复用Vendor正式Typed API和真实Mailbox闭环；保留case_id</x:v>
      </x:c>
      <x:c r="O45" s="18" t="str">
        <x:v>READY_AFTER_BASELINE; 实施前登记 ../baremetal branch/commit、RTL/eHSM/软件 baseline，以及本用例所需的冻结地址、master_id、Region/权限编码</x:v>
      </x:c>
      <x:c r="P45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45" s="18" t="str">
        <x:v>可构建；可枚举和单独执行；结果为 PASS/FAIL/INCONCLUSIVE；Expected 可追溯；日志含 case ID、baseline、输入/输出摘要和错误码</x:v>
      </x:c>
      <x:c r="R45" s="18" t="str">
        <x:v>至少保留run ID、case/vector ID、baseline、Mailbox提交证据、raw eHSM返回、对象/Flash/counter/状态前后快照和日志哈希；硬件内部信号证据由硬件验证团队提供</x:v>
      </x:c>
      <x:c r="S45" s="18" t="str">
        <x:v>先检查 ../baremetal 现状和仓库规则，再规划落点并实现；本表不预设目录、模块、Runner 或文件名</x:v>
      </x:c>
      <x:c r="T45" s="18" t="str"/>
    </x:row>
    <x:row r="46" ht="72" customHeight="1">
      <x:c r="A46" s="18" t="str">
        <x:v>MB-FW-043-BASIC</x:v>
      </x:c>
      <x:c r="B46" s="18" t="str">
        <x:v>Mailbox用例</x:v>
      </x:c>
      <x:c r="C46" s="18" t="str">
        <x:v>MAILBOX_COMMAND</x:v>
      </x:c>
      <x:c r="D46" s="18" t="str">
        <x:v>BASIC</x:v>
      </x:c>
      <x:c r="E46" s="18" t="str">
        <x:v>MB_CMD_ID_EHSM_READ_VER - BASIC</x:v>
      </x:c>
      <x:c r="F46" s="18" t="str">
        <x:v>P0</x:v>
      </x:c>
      <x:c r="G46" s="18" t="str">
        <x:v>LOW</x:v>
      </x:c>
      <x:c r="H46" s="18" t="str">
        <x:v>L3_EMU_INTEGRATION</x:v>
      </x:c>
      <x:c r="I46" s="18" t="str">
        <x:v>WAVE0_DAY0_SMOKE</x:v>
      </x:c>
      <x:c r="J46" s="18" t="str">
        <x:v>../baremetal</x:v>
      </x:c>
      <x:c r="K46" s="18" t="str">
        <x:v>DESIGN_COMPLETE</x:v>
      </x:c>
      <x:c r="L46" s="18" t="str">
        <x:v>MUST_PASS_BASIC</x:v>
      </x:c>
      <x:c r="M46" s="18" t="str">
        <x:v>READY_AFTER_BASELINE</x:v>
      </x:c>
      <x:c r="N46" s="18" t="str">
        <x:v>BASIC复用Vendor正式Typed API和真实Mailbox闭环；保留case_id</x:v>
      </x:c>
      <x:c r="O46" s="18" t="str">
        <x:v>READY_AFTER_BASELINE; 实施前登记 ../baremetal branch/commit、RTL/eHSM/软件 baseline，以及本用例所需的冻结地址、master_id、Region/权限编码</x:v>
      </x:c>
      <x:c r="P46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46" s="18" t="str">
        <x:v>可构建；可枚举和单独执行；结果为 PASS/FAIL/INCONCLUSIVE；Expected 可追溯；日志含 case ID、baseline、输入/输出摘要和错误码</x:v>
      </x:c>
      <x:c r="R46" s="18" t="str">
        <x:v>至少保留run ID、case/vector ID、baseline、Mailbox提交证据、raw eHSM返回、对象/Flash/counter/状态前后快照和日志哈希；硬件内部信号证据由硬件验证团队提供</x:v>
      </x:c>
      <x:c r="S46" s="18" t="str">
        <x:v>先检查 ../baremetal 现状和仓库规则，再规划落点并实现；本表不预设目录、模块、Runner 或文件名</x:v>
      </x:c>
      <x:c r="T46" s="18" t="str"/>
    </x:row>
    <x:row r="47" ht="72" customHeight="1">
      <x:c r="A47" s="18" t="str">
        <x:v>MB-FW-044-BASIC</x:v>
      </x:c>
      <x:c r="B47" s="18" t="str">
        <x:v>Mailbox用例</x:v>
      </x:c>
      <x:c r="C47" s="18" t="str">
        <x:v>MAILBOX_COMMAND</x:v>
      </x:c>
      <x:c r="D47" s="18" t="str">
        <x:v>BASIC</x:v>
      </x:c>
      <x:c r="E47" s="18" t="str">
        <x:v>MB_CMD_ID_ENTER_WFI - BASIC</x:v>
      </x:c>
      <x:c r="F47" s="18" t="str">
        <x:v>P0</x:v>
      </x:c>
      <x:c r="G47" s="18" t="str">
        <x:v>MEDIUM_HIGH</x:v>
      </x:c>
      <x:c r="H47" s="18" t="str">
        <x:v>L3_EMU_INTEGRATION</x:v>
      </x:c>
      <x:c r="I47" s="18" t="str">
        <x:v>WAVE4_CRYPTO_COMPAT_VENDOR</x:v>
      </x:c>
      <x:c r="J47" s="18" t="str">
        <x:v>../baremetal</x:v>
      </x:c>
      <x:c r="K47" s="18" t="str">
        <x:v>DESIGN_COMPLETE</x:v>
      </x:c>
      <x:c r="L47" s="18" t="str">
        <x:v>MUST_PASS_BASIC</x:v>
      </x:c>
      <x:c r="M47" s="18" t="str">
        <x:v>READY_AFTER_BASELINE</x:v>
      </x:c>
      <x:c r="N47" s="18" t="str">
        <x:v>BASIC复用Vendor正式Typed API和真实Mailbox闭环；保留case_id</x:v>
      </x:c>
      <x:c r="O47" s="18" t="str">
        <x:v>READY_AFTER_BASELINE; 实施前登记 ../baremetal branch/commit、RTL/eHSM/软件 baseline，以及本用例所需的冻结地址、master_id、Region/权限编码</x:v>
      </x:c>
      <x:c r="P47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47" s="18" t="str">
        <x:v>可构建；可枚举和单独执行；结果为 PASS/FAIL/INCONCLUSIVE；Expected 可追溯；日志含 case ID、baseline、输入/输出摘要和错误码</x:v>
      </x:c>
      <x:c r="R47" s="18" t="str">
        <x:v>至少保留run ID、case/vector ID、baseline、Mailbox提交证据、raw eHSM返回、对象/Flash/counter/状态前后快照和日志哈希；硬件内部信号证据由硬件验证团队提供</x:v>
      </x:c>
      <x:c r="S47" s="18" t="str">
        <x:v>先检查 ../baremetal 现状和仓库规则，再规划落点并实现；本表不预设目录、模块、Runner 或文件名</x:v>
      </x:c>
      <x:c r="T47" s="18" t="str"/>
    </x:row>
    <x:row r="48" ht="72" customHeight="1">
      <x:c r="A48" s="18" t="str">
        <x:v>MB-FW-045-BASIC</x:v>
      </x:c>
      <x:c r="B48" s="18" t="str">
        <x:v>Mailbox用例</x:v>
      </x:c>
      <x:c r="C48" s="18" t="str">
        <x:v>MAILBOX_COMMAND</x:v>
      </x:c>
      <x:c r="D48" s="18" t="str">
        <x:v>BASIC</x:v>
      </x:c>
      <x:c r="E48" s="18" t="str">
        <x:v>MB_CMD_ID_EHSM_GEN_KEY - BASIC</x:v>
      </x:c>
      <x:c r="F48" s="18" t="str">
        <x:v>P0</x:v>
      </x:c>
      <x:c r="G48" s="18" t="str">
        <x:v>MEDIUM_HIGH</x:v>
      </x:c>
      <x:c r="H48" s="18" t="str">
        <x:v>L3_EMU_INTEGRATION</x:v>
      </x:c>
      <x:c r="I48" s="18" t="str">
        <x:v>WAVE2_IDENTITY_KEY_PERMISSION</x:v>
      </x:c>
      <x:c r="J48" s="18" t="str">
        <x:v>../baremetal</x:v>
      </x:c>
      <x:c r="K48" s="18" t="str">
        <x:v>DESIGN_COMPLETE</x:v>
      </x:c>
      <x:c r="L48" s="18" t="str">
        <x:v>MUST_PASS_BASIC</x:v>
      </x:c>
      <x:c r="M48" s="18" t="str">
        <x:v>READY_AFTER_BASELINE</x:v>
      </x:c>
      <x:c r="N48" s="18" t="str">
        <x:v>BASIC复用Vendor正式Typed API和真实Mailbox闭环；保留case_id</x:v>
      </x:c>
      <x:c r="O48" s="18" t="str">
        <x:v>READY_AFTER_BASELINE; 实施前登记 ../baremetal branch/commit、RTL/eHSM/软件 baseline，以及本用例所需的冻结地址、master_id、Region/权限编码</x:v>
      </x:c>
      <x:c r="P48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48" s="18" t="str">
        <x:v>可构建；可枚举和单独执行；结果为 PASS/FAIL/INCONCLUSIVE；Expected 可追溯；日志含 case ID、baseline、输入/输出摘要和错误码</x:v>
      </x:c>
      <x:c r="R48" s="18" t="str">
        <x:v>至少保留run ID、case/vector ID、baseline、Mailbox提交证据、raw eHSM返回、对象/Flash/counter/状态前后快照和日志哈希；硬件内部信号证据由硬件验证团队提供</x:v>
      </x:c>
      <x:c r="S48" s="18" t="str">
        <x:v>先检查 ../baremetal 现状和仓库规则，再规划落点并实现；本表不预设目录、模块、Runner 或文件名</x:v>
      </x:c>
      <x:c r="T48" s="18" t="str"/>
    </x:row>
    <x:row r="49" ht="72" customHeight="1">
      <x:c r="A49" s="18" t="str">
        <x:v>MB-FW-046-BASIC</x:v>
      </x:c>
      <x:c r="B49" s="18" t="str">
        <x:v>Mailbox用例</x:v>
      </x:c>
      <x:c r="C49" s="18" t="str">
        <x:v>MAILBOX_COMMAND</x:v>
      </x:c>
      <x:c r="D49" s="18" t="str">
        <x:v>BASIC</x:v>
      </x:c>
      <x:c r="E49" s="18" t="str">
        <x:v>MB_CMD_ID_EHSM_KEY_DERIVE - BASIC</x:v>
      </x:c>
      <x:c r="F49" s="18" t="str">
        <x:v>P0</x:v>
      </x:c>
      <x:c r="G49" s="18" t="str">
        <x:v>MEDIUM_HIGH</x:v>
      </x:c>
      <x:c r="H49" s="18" t="str">
        <x:v>L3_EMU_INTEGRATION</x:v>
      </x:c>
      <x:c r="I49" s="18" t="str">
        <x:v>WAVE2_IDENTITY_KEY_PERMISSION</x:v>
      </x:c>
      <x:c r="J49" s="18" t="str">
        <x:v>../baremetal</x:v>
      </x:c>
      <x:c r="K49" s="18" t="str">
        <x:v>DESIGN_COMPLETE</x:v>
      </x:c>
      <x:c r="L49" s="18" t="str">
        <x:v>MUST_PASS_BASIC</x:v>
      </x:c>
      <x:c r="M49" s="18" t="str">
        <x:v>READY_AFTER_BASELINE</x:v>
      </x:c>
      <x:c r="N49" s="18" t="str">
        <x:v>BASIC复用Vendor正式Typed API和真实Mailbox闭环；保留case_id</x:v>
      </x:c>
      <x:c r="O49" s="18" t="str">
        <x:v>READY_AFTER_BASELINE; 实施前登记 ../baremetal branch/commit、RTL/eHSM/软件 baseline，以及本用例所需的冻结地址、master_id、Region/权限编码</x:v>
      </x:c>
      <x:c r="P49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49" s="18" t="str">
        <x:v>可构建；可枚举和单独执行；结果为 PASS/FAIL/INCONCLUSIVE；Expected 可追溯；日志含 case ID、baseline、输入/输出摘要和错误码</x:v>
      </x:c>
      <x:c r="R49" s="18" t="str">
        <x:v>至少保留run ID、case/vector ID、baseline、Mailbox提交证据、raw eHSM返回、对象/Flash/counter/状态前后快照和日志哈希；硬件内部信号证据由硬件验证团队提供</x:v>
      </x:c>
      <x:c r="S49" s="18" t="str">
        <x:v>先检查 ../baremetal 现状和仓库规则，再规划落点并实现；本表不预设目录、模块、Runner 或文件名</x:v>
      </x:c>
      <x:c r="T49" s="18" t="str"/>
    </x:row>
    <x:row r="50" ht="72" customHeight="1">
      <x:c r="A50" s="18" t="str">
        <x:v>MB-FW-047-BASIC</x:v>
      </x:c>
      <x:c r="B50" s="18" t="str">
        <x:v>Mailbox用例</x:v>
      </x:c>
      <x:c r="C50" s="18" t="str">
        <x:v>MAILBOX_COMMAND</x:v>
      </x:c>
      <x:c r="D50" s="18" t="str">
        <x:v>BASIC</x:v>
      </x:c>
      <x:c r="E50" s="18" t="str">
        <x:v>MB_CMD_ID_EHSM_KEY_EXCHANGE - BASIC</x:v>
      </x:c>
      <x:c r="F50" s="18" t="str">
        <x:v>P0</x:v>
      </x:c>
      <x:c r="G50" s="18" t="str">
        <x:v>MEDIUM_HIGH</x:v>
      </x:c>
      <x:c r="H50" s="18" t="str">
        <x:v>L3_EMU_INTEGRATION</x:v>
      </x:c>
      <x:c r="I50" s="18" t="str">
        <x:v>WAVE2_IDENTITY_KEY_PERMISSION</x:v>
      </x:c>
      <x:c r="J50" s="18" t="str">
        <x:v>../baremetal</x:v>
      </x:c>
      <x:c r="K50" s="18" t="str">
        <x:v>DESIGN_COMPLETE</x:v>
      </x:c>
      <x:c r="L50" s="18" t="str">
        <x:v>MUST_PASS_BASIC</x:v>
      </x:c>
      <x:c r="M50" s="18" t="str">
        <x:v>READY_AFTER_BASELINE</x:v>
      </x:c>
      <x:c r="N50" s="18" t="str">
        <x:v>BASIC复用Vendor正式Typed API和真实Mailbox闭环；保留case_id</x:v>
      </x:c>
      <x:c r="O50" s="18" t="str">
        <x:v>READY_AFTER_BASELINE; 实施前登记 ../baremetal branch/commit、RTL/eHSM/软件 baseline，以及本用例所需的冻结地址、master_id、Region/权限编码</x:v>
      </x:c>
      <x:c r="P50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50" s="18" t="str">
        <x:v>可构建；可枚举和单独执行；结果为 PASS/FAIL/INCONCLUSIVE；Expected 可追溯；日志含 case ID、baseline、输入/输出摘要和错误码</x:v>
      </x:c>
      <x:c r="R50" s="18" t="str">
        <x:v>至少保留run ID、case/vector ID、baseline、Mailbox提交证据、raw eHSM返回、对象/Flash/counter/状态前后快照和日志哈希；硬件内部信号证据由硬件验证团队提供</x:v>
      </x:c>
      <x:c r="S50" s="18" t="str">
        <x:v>先检查 ../baremetal 现状和仓库规则，再规划落点并实现；本表不预设目录、模块、Runner 或文件名</x:v>
      </x:c>
      <x:c r="T50" s="18" t="str"/>
    </x:row>
    <x:row r="51" ht="72" customHeight="1">
      <x:c r="A51" s="18" t="str">
        <x:v>MB-FW-048-BASIC</x:v>
      </x:c>
      <x:c r="B51" s="18" t="str">
        <x:v>Mailbox用例</x:v>
      </x:c>
      <x:c r="C51" s="18" t="str">
        <x:v>MAILBOX_COMMAND</x:v>
      </x:c>
      <x:c r="D51" s="18" t="str">
        <x:v>BASIC</x:v>
      </x:c>
      <x:c r="E51" s="18" t="str">
        <x:v>MB_CMD_ID_EHSM_IMPORT_KEY - BASIC</x:v>
      </x:c>
      <x:c r="F51" s="18" t="str">
        <x:v>P0</x:v>
      </x:c>
      <x:c r="G51" s="18" t="str">
        <x:v>MEDIUM_HIGH</x:v>
      </x:c>
      <x:c r="H51" s="18" t="str">
        <x:v>L3_EMU_INTEGRATION</x:v>
      </x:c>
      <x:c r="I51" s="18" t="str">
        <x:v>WAVE2_IDENTITY_KEY_PERMISSION</x:v>
      </x:c>
      <x:c r="J51" s="18" t="str">
        <x:v>../baremetal</x:v>
      </x:c>
      <x:c r="K51" s="18" t="str">
        <x:v>DESIGN_COMPLETE</x:v>
      </x:c>
      <x:c r="L51" s="18" t="str">
        <x:v>MUST_PASS_BASIC</x:v>
      </x:c>
      <x:c r="M51" s="18" t="str">
        <x:v>READY_AFTER_BASELINE</x:v>
      </x:c>
      <x:c r="N51" s="18" t="str">
        <x:v>BASIC复用Vendor正式Typed API和真实Mailbox闭环；保留case_id</x:v>
      </x:c>
      <x:c r="O51" s="18" t="str">
        <x:v>READY_AFTER_BASELINE; 实施前登记 ../baremetal branch/commit、RTL/eHSM/软件 baseline，以及本用例所需的冻结地址、master_id、Region/权限编码</x:v>
      </x:c>
      <x:c r="P51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51" s="18" t="str">
        <x:v>可构建；可枚举和单独执行；结果为 PASS/FAIL/INCONCLUSIVE；Expected 可追溯；日志含 case ID、baseline、输入/输出摘要和错误码</x:v>
      </x:c>
      <x:c r="R51" s="18" t="str">
        <x:v>至少保留run ID、case/vector ID、baseline、Mailbox提交证据、raw eHSM返回、对象/Flash/counter/状态前后快照和日志哈希；硬件内部信号证据由硬件验证团队提供</x:v>
      </x:c>
      <x:c r="S51" s="18" t="str">
        <x:v>先检查 ../baremetal 现状和仓库规则，再规划落点并实现；本表不预设目录、模块、Runner 或文件名</x:v>
      </x:c>
      <x:c r="T51" s="18" t="str"/>
    </x:row>
    <x:row r="52" ht="72" customHeight="1">
      <x:c r="A52" s="18" t="str">
        <x:v>MB-FW-049-BASIC</x:v>
      </x:c>
      <x:c r="B52" s="18" t="str">
        <x:v>Mailbox用例</x:v>
      </x:c>
      <x:c r="C52" s="18" t="str">
        <x:v>MAILBOX_COMMAND</x:v>
      </x:c>
      <x:c r="D52" s="18" t="str">
        <x:v>BASIC</x:v>
      </x:c>
      <x:c r="E52" s="18" t="str">
        <x:v>MB_CMD_ID_EHSM_EXPORT_KEY - BASIC</x:v>
      </x:c>
      <x:c r="F52" s="18" t="str">
        <x:v>P0</x:v>
      </x:c>
      <x:c r="G52" s="18" t="str">
        <x:v>MEDIUM_HIGH</x:v>
      </x:c>
      <x:c r="H52" s="18" t="str">
        <x:v>L3_EMU_INTEGRATION</x:v>
      </x:c>
      <x:c r="I52" s="18" t="str">
        <x:v>WAVE2_IDENTITY_KEY_PERMISSION</x:v>
      </x:c>
      <x:c r="J52" s="18" t="str">
        <x:v>../baremetal</x:v>
      </x:c>
      <x:c r="K52" s="18" t="str">
        <x:v>DESIGN_COMPLETE</x:v>
      </x:c>
      <x:c r="L52" s="18" t="str">
        <x:v>MUST_PASS_BASIC</x:v>
      </x:c>
      <x:c r="M52" s="18" t="str">
        <x:v>READY_AFTER_BASELINE</x:v>
      </x:c>
      <x:c r="N52" s="18" t="str">
        <x:v>BASIC复用Vendor正式Typed API和真实Mailbox闭环；保留case_id</x:v>
      </x:c>
      <x:c r="O52" s="18" t="str">
        <x:v>READY_AFTER_BASELINE; 实施前登记 ../baremetal branch/commit、RTL/eHSM/软件 baseline，以及本用例所需的冻结地址、master_id、Region/权限编码</x:v>
      </x:c>
      <x:c r="P52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52" s="18" t="str">
        <x:v>可构建；可枚举和单独执行；结果为 PASS/FAIL/INCONCLUSIVE；Expected 可追溯；日志含 case ID、baseline、输入/输出摘要和错误码</x:v>
      </x:c>
      <x:c r="R52" s="18" t="str">
        <x:v>至少保留run ID、case/vector ID、baseline、Mailbox提交证据、raw eHSM返回、对象/Flash/counter/状态前后快照和日志哈希；硬件内部信号证据由硬件验证团队提供</x:v>
      </x:c>
      <x:c r="S52" s="18" t="str">
        <x:v>先检查 ../baremetal 现状和仓库规则，再规划落点并实现；本表不预设目录、模块、Runner 或文件名</x:v>
      </x:c>
      <x:c r="T52" s="18" t="str"/>
    </x:row>
    <x:row r="53" ht="72" customHeight="1">
      <x:c r="A53" s="18" t="str">
        <x:v>MB-FW-050-BASIC</x:v>
      </x:c>
      <x:c r="B53" s="18" t="str">
        <x:v>Mailbox用例</x:v>
      </x:c>
      <x:c r="C53" s="18" t="str">
        <x:v>MAILBOX_COMMAND</x:v>
      </x:c>
      <x:c r="D53" s="18" t="str">
        <x:v>BASIC</x:v>
      </x:c>
      <x:c r="E53" s="18" t="str">
        <x:v>MB_CMD_ID_EHSM_REMOVE_KEY - BASIC</x:v>
      </x:c>
      <x:c r="F53" s="18" t="str">
        <x:v>P0</x:v>
      </x:c>
      <x:c r="G53" s="18" t="str">
        <x:v>MEDIUM_HIGH</x:v>
      </x:c>
      <x:c r="H53" s="18" t="str">
        <x:v>L3_EMU_INTEGRATION</x:v>
      </x:c>
      <x:c r="I53" s="18" t="str">
        <x:v>WAVE2_IDENTITY_KEY_PERMISSION</x:v>
      </x:c>
      <x:c r="J53" s="18" t="str">
        <x:v>../baremetal</x:v>
      </x:c>
      <x:c r="K53" s="18" t="str">
        <x:v>DESIGN_COMPLETE</x:v>
      </x:c>
      <x:c r="L53" s="18" t="str">
        <x:v>MUST_PASS_BASIC</x:v>
      </x:c>
      <x:c r="M53" s="18" t="str">
        <x:v>NEEDS_DEDICATED_FIXTURE_AND_APPROVAL</x:v>
      </x:c>
      <x:c r="N53" s="18" t="str">
        <x:v>BASIC复用Vendor正式Typed API和真实Mailbox闭环；保留case_id</x:v>
      </x:c>
      <x:c r="O53" s="18" t="str">
        <x:v>NEEDS_DEDICATED_FIXTURE_AND_APPROVAL; 实施前登记 ../baremetal branch/commit、RTL/eHSM/软件 baseline，以及本用例所需的冻结地址、master_id、Region/权限编码</x:v>
      </x:c>
      <x:c r="P53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53" s="18" t="str">
        <x:v>可构建；可枚举和单独执行；结果为 PASS/FAIL/INCONCLUSIVE；Expected 可追溯；日志含 case ID、baseline、输入/输出摘要和错误码</x:v>
      </x:c>
      <x:c r="R53" s="18" t="str">
        <x:v>至少保留run ID、case/vector ID、baseline、Mailbox提交证据、raw eHSM返回、对象/Flash/counter/状态前后快照和日志哈希；硬件内部信号证据由硬件验证团队提供</x:v>
      </x:c>
      <x:c r="S53" s="18" t="str">
        <x:v>先检查 ../baremetal 现状和仓库规则，再规划落点并实现；本表不预设目录、模块、Runner 或文件名</x:v>
      </x:c>
      <x:c r="T53" s="18" t="str"/>
    </x:row>
    <x:row r="54" ht="72" customHeight="1">
      <x:c r="A54" s="18" t="str">
        <x:v>MB-FW-051-BASIC</x:v>
      </x:c>
      <x:c r="B54" s="18" t="str">
        <x:v>Mailbox用例</x:v>
      </x:c>
      <x:c r="C54" s="18" t="str">
        <x:v>MAILBOX_COMMAND</x:v>
      </x:c>
      <x:c r="D54" s="18" t="str">
        <x:v>BASIC</x:v>
      </x:c>
      <x:c r="E54" s="18" t="str">
        <x:v>MB_CMD_ID_EHSM_GET_PUB_FROM_PRIV - BASIC</x:v>
      </x:c>
      <x:c r="F54" s="18" t="str">
        <x:v>P0</x:v>
      </x:c>
      <x:c r="G54" s="18" t="str">
        <x:v>LOW</x:v>
      </x:c>
      <x:c r="H54" s="18" t="str">
        <x:v>L3_EMU_INTEGRATION</x:v>
      </x:c>
      <x:c r="I54" s="18" t="str">
        <x:v>WAVE4_CRYPTO_COMPAT_VENDOR</x:v>
      </x:c>
      <x:c r="J54" s="18" t="str">
        <x:v>../baremetal</x:v>
      </x:c>
      <x:c r="K54" s="18" t="str">
        <x:v>DESIGN_COMPLETE</x:v>
      </x:c>
      <x:c r="L54" s="18" t="str">
        <x:v>MUST_PASS_BASIC</x:v>
      </x:c>
      <x:c r="M54" s="18" t="str">
        <x:v>READY_AFTER_BASELINE</x:v>
      </x:c>
      <x:c r="N54" s="18" t="str">
        <x:v>BASIC复用Vendor正式Typed API和真实Mailbox闭环；保留case_id</x:v>
      </x:c>
      <x:c r="O54" s="18" t="str">
        <x:v>READY_AFTER_BASELINE; 实施前登记 ../baremetal branch/commit、RTL/eHSM/软件 baseline，以及本用例所需的冻结地址、master_id、Region/权限编码</x:v>
      </x:c>
      <x:c r="P54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54" s="18" t="str">
        <x:v>可构建；可枚举和单独执行；结果为 PASS/FAIL/INCONCLUSIVE；Expected 可追溯；日志含 case ID、baseline、输入/输出摘要和错误码</x:v>
      </x:c>
      <x:c r="R54" s="18" t="str">
        <x:v>至少保留run ID、case/vector ID、baseline、Mailbox提交证据、raw eHSM返回、对象/Flash/counter/状态前后快照和日志哈希；硬件内部信号证据由硬件验证团队提供</x:v>
      </x:c>
      <x:c r="S54" s="18" t="str">
        <x:v>先检查 ../baremetal 现状和仓库规则，再规划落点并实现；本表不预设目录、模块、Runner 或文件名</x:v>
      </x:c>
      <x:c r="T54" s="18" t="str"/>
    </x:row>
    <x:row r="55" ht="72" customHeight="1">
      <x:c r="A55" s="18" t="str">
        <x:v>MB-FW-052-BASIC</x:v>
      </x:c>
      <x:c r="B55" s="18" t="str">
        <x:v>Mailbox用例</x:v>
      </x:c>
      <x:c r="C55" s="18" t="str">
        <x:v>MAILBOX_COMMAND</x:v>
      </x:c>
      <x:c r="D55" s="18" t="str">
        <x:v>BASIC</x:v>
      </x:c>
      <x:c r="E55" s="18" t="str">
        <x:v>MB_CMD_ID_OTP_WRITE_FOR_TEST - BASIC</x:v>
      </x:c>
      <x:c r="F55" s="18" t="str">
        <x:v>P0</x:v>
      </x:c>
      <x:c r="G55" s="18" t="str">
        <x:v>HIGH</x:v>
      </x:c>
      <x:c r="H55" s="18" t="str">
        <x:v>L3_EMU_INTEGRATION</x:v>
      </x:c>
      <x:c r="I55" s="18" t="str">
        <x:v>WAVE1_ROOT_OF_TRUST</x:v>
      </x:c>
      <x:c r="J55" s="18" t="str">
        <x:v>../baremetal</x:v>
      </x:c>
      <x:c r="K55" s="18" t="str">
        <x:v>DESIGN_COMPLETE</x:v>
      </x:c>
      <x:c r="L55" s="18" t="str">
        <x:v>DEDICATED_FIXTURE_OR_INCONCLUSIVE</x:v>
      </x:c>
      <x:c r="M55" s="18" t="str">
        <x:v>NEEDS_DEDICATED_FIXTURE_AND_APPROVAL</x:v>
      </x:c>
      <x:c r="N55" s="18" t="str">
        <x:v>BASIC复用Vendor正式Typed API和真实Mailbox闭环；保留case_id</x:v>
      </x:c>
      <x:c r="O55" s="18" t="str">
        <x:v>NEEDS_DEDICATED_FIXTURE_AND_APPROVAL; 实施前登记 ../baremetal branch/commit、RTL/eHSM/软件 baseline，以及本用例所需的冻结地址、master_id、Region/权限编码</x:v>
      </x:c>
      <x:c r="P55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55" s="18" t="str">
        <x:v>可构建；可枚举和单独执行；结果为 PASS/FAIL/INCONCLUSIVE；Expected 可追溯；日志含 case ID、baseline、输入/输出摘要和错误码</x:v>
      </x:c>
      <x:c r="R55" s="18" t="str">
        <x:v>至少保留run ID、case/vector ID、baseline、Mailbox提交证据、raw eHSM返回、对象/Flash/counter/状态前后快照和日志哈希；硬件内部信号证据由硬件验证团队提供</x:v>
      </x:c>
      <x:c r="S55" s="18" t="str">
        <x:v>先检查 ../baremetal 现状和仓库规则，再规划落点并实现；本表不预设目录、模块、Runner 或文件名</x:v>
      </x:c>
      <x:c r="T55" s="18" t="str"/>
    </x:row>
    <x:row r="56" ht="72" customHeight="1">
      <x:c r="A56" s="18" t="str">
        <x:v>EHSM-NEG-VERIFY-001</x:v>
      </x:c>
      <x:c r="B56" s="18" t="str">
        <x:v>Mailbox用例</x:v>
      </x:c>
      <x:c r="C56" s="18" t="str">
        <x:v>MAILBOX_COMMAND</x:v>
      </x:c>
      <x:c r="D56" s="18" t="str">
        <x:v>EHSM_NEGATIVE</x:v>
      </x:c>
      <x:c r="E56" s="18" t="str">
        <x:v>MB_CMD_ID_BL_VERIFY_IMAGE - EHSM_NEGATIVE</x:v>
      </x:c>
      <x:c r="F56" s="18" t="str">
        <x:v>P0</x:v>
      </x:c>
      <x:c r="G56" s="18" t="str">
        <x:v>HIGH</x:v>
      </x:c>
      <x:c r="H56" s="18" t="str">
        <x:v>L3_EMU_INTEGRATION</x:v>
      </x:c>
      <x:c r="I56" s="18" t="str">
        <x:v>WAVE1_ROOT_OF_TRUST</x:v>
      </x:c>
      <x:c r="J56" s="18" t="str">
        <x:v>../baremetal</x:v>
      </x:c>
      <x:c r="K56" s="18" t="str">
        <x:v>DESIGN_COMPLETE</x:v>
      </x:c>
      <x:c r="L56" s="18" t="str">
        <x:v>MUST_PASS_IF_CONTRACT_AND_FIXTURE_AVAILABLE; OTHERWISE INCONCLUSIVE_WITH_OWNER</x:v>
      </x:c>
      <x:c r="M56" s="18" t="str">
        <x:v>NEEDS_SIGNED_IMAGE_CORPUS</x:v>
      </x:c>
      <x:c r="N56" s="18" t="str">
        <x:v>eHSM负向用例必须把刺激真实提交到eHSM并记录raw响应；Host仅负责构造输入。优先复用Vendor verify/API并单点变异数据；必要时使用隔离raw request builder，但不修改eHSM固件</x:v>
      </x:c>
      <x:c r="O56" s="18" t="str">
        <x:v>NEEDS_SIGNED_IMAGE_CORPUS; 实施前登记 ../baremetal branch/commit、RTL/eHSM/软件 baseline，以及本用例所需的冻结地址、master_id、Region/权限编码</x:v>
      </x:c>
      <x:c r="P56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56" s="18" t="str">
        <x:v>可构建；可枚举和单独执行；结果为 PASS/FAIL/INCONCLUSIVE；Expected 可追溯；日志含 case ID、baseline、输入/输出摘要和错误码</x:v>
      </x:c>
      <x:c r="R56" s="18" t="str">
        <x:v>至少保留run ID、case/vector ID、baseline、Mailbox提交证据、raw eHSM返回、对象/Flash/counter/状态前后快照和日志哈希；硬件内部信号证据由硬件验证团队提供</x:v>
      </x:c>
      <x:c r="S56" s="18" t="str">
        <x:v>先检查 ../baremetal 现状和仓库规则，再规划落点并实现；本表不预设目录、模块、Runner 或文件名</x:v>
      </x:c>
      <x:c r="T56" s="18" t="str"/>
    </x:row>
    <x:row r="57" ht="72" customHeight="1">
      <x:c r="A57" s="18" t="str">
        <x:v>EHSM-NEG-VERIFY-002</x:v>
      </x:c>
      <x:c r="B57" s="18" t="str">
        <x:v>Mailbox用例</x:v>
      </x:c>
      <x:c r="C57" s="18" t="str">
        <x:v>MAILBOX_COMMAND</x:v>
      </x:c>
      <x:c r="D57" s="18" t="str">
        <x:v>EHSM_NEGATIVE</x:v>
      </x:c>
      <x:c r="E57" s="18" t="str">
        <x:v>MB_CMD_ID_SOC_VERIFY - EHSM_NEGATIVE</x:v>
      </x:c>
      <x:c r="F57" s="18" t="str">
        <x:v>P0</x:v>
      </x:c>
      <x:c r="G57" s="18" t="str">
        <x:v>HIGH</x:v>
      </x:c>
      <x:c r="H57" s="18" t="str">
        <x:v>L3_EMU_INTEGRATION</x:v>
      </x:c>
      <x:c r="I57" s="18" t="str">
        <x:v>WAVE1_ROOT_OF_TRUST</x:v>
      </x:c>
      <x:c r="J57" s="18" t="str">
        <x:v>../baremetal</x:v>
      </x:c>
      <x:c r="K57" s="18" t="str">
        <x:v>DESIGN_COMPLETE</x:v>
      </x:c>
      <x:c r="L57" s="18" t="str">
        <x:v>MUST_PASS_IF_CONTRACT_AND_FIXTURE_AVAILABLE; OTHERWISE INCONCLUSIVE_WITH_OWNER</x:v>
      </x:c>
      <x:c r="M57" s="18" t="str">
        <x:v>NEEDS_SIGNED_SOC_PACKAGE_AND_COUNTER_FIXTURE</x:v>
      </x:c>
      <x:c r="N57" s="18" t="str">
        <x:v>eHSM负向用例必须把刺激真实提交到eHSM并记录raw响应；Host仅负责构造输入。优先复用Vendor verify/API并单点变异数据；必要时使用隔离raw request builder，但不修改eHSM固件</x:v>
      </x:c>
      <x:c r="O57" s="18" t="str">
        <x:v>NEEDS_SIGNED_SOC_PACKAGE_AND_COUNTER_FIXTURE; 实施前登记 ../baremetal branch/commit、RTL/eHSM/软件 baseline，以及本用例所需的冻结地址、master_id、Region/权限编码</x:v>
      </x:c>
      <x:c r="P57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57" s="18" t="str">
        <x:v>可构建；可枚举和单独执行；结果为 PASS/FAIL/INCONCLUSIVE；Expected 可追溯；日志含 case ID、baseline、输入/输出摘要和错误码</x:v>
      </x:c>
      <x:c r="R57" s="18" t="str">
        <x:v>至少保留run ID、case/vector ID、baseline、Mailbox提交证据、raw eHSM返回、对象/Flash/counter/状态前后快照和日志哈希；硬件内部信号证据由硬件验证团队提供</x:v>
      </x:c>
      <x:c r="S57" s="18" t="str">
        <x:v>先检查 ../baremetal 现状和仓库规则，再规划落点并实现；本表不预设目录、模块、Runner 或文件名</x:v>
      </x:c>
      <x:c r="T57" s="18" t="str"/>
    </x:row>
    <x:row r="58" ht="72" customHeight="1">
      <x:c r="A58" s="18" t="str">
        <x:v>EHSM-NEG-UPGRADE-001</x:v>
      </x:c>
      <x:c r="B58" s="18" t="str">
        <x:v>Mailbox用例</x:v>
      </x:c>
      <x:c r="C58" s="18" t="str">
        <x:v>MAILBOX_COMMAND</x:v>
      </x:c>
      <x:c r="D58" s="18" t="str">
        <x:v>EHSM_NEGATIVE</x:v>
      </x:c>
      <x:c r="E58" s="18" t="str">
        <x:v>MB_CMD_ID_BL_FW_UPGRADE - EHSM_NEGATIVE</x:v>
      </x:c>
      <x:c r="F58" s="18" t="str">
        <x:v>P0</x:v>
      </x:c>
      <x:c r="G58" s="18" t="str">
        <x:v>HIGH</x:v>
      </x:c>
      <x:c r="H58" s="18" t="str">
        <x:v>L3_EMU_INTEGRATION</x:v>
      </x:c>
      <x:c r="I58" s="18" t="str">
        <x:v>WAVE1_ROOT_OF_TRUST</x:v>
      </x:c>
      <x:c r="J58" s="18" t="str">
        <x:v>../baremetal</x:v>
      </x:c>
      <x:c r="K58" s="18" t="str">
        <x:v>DESIGN_COMPLETE</x:v>
      </x:c>
      <x:c r="L58" s="18" t="str">
        <x:v>MUST_PASS_IF_CONTRACT_AND_FIXTURE_AVAILABLE; OTHERWISE INCONCLUSIVE_WITH_OWNER</x:v>
      </x:c>
      <x:c r="M58" s="18" t="str">
        <x:v>NEEDS_RECOVERABLE_UPGRADE_FIXTURE</x:v>
      </x:c>
      <x:c r="N58" s="18" t="str">
        <x:v>eHSM负向用例必须把刺激真实提交到eHSM并记录raw响应；Host仅负责构造输入。优先复用Vendor verify/API并单点变异数据；必要时使用隔离raw request builder，但不修改eHSM固件</x:v>
      </x:c>
      <x:c r="O58" s="18" t="str">
        <x:v>NEEDS_RECOVERABLE_UPGRADE_FIXTURE; 实施前登记 ../baremetal branch/commit、RTL/eHSM/软件 baseline，以及本用例所需的冻结地址、master_id、Region/权限编码</x:v>
      </x:c>
      <x:c r="P58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58" s="18" t="str">
        <x:v>可构建；可枚举和单独执行；结果为 PASS/FAIL/INCONCLUSIVE；Expected 可追溯；日志含 case ID、baseline、输入/输出摘要和错误码</x:v>
      </x:c>
      <x:c r="R58" s="18" t="str">
        <x:v>至少保留run ID、case/vector ID、baseline、Mailbox提交证据、raw eHSM返回、对象/Flash/counter/状态前后快照和日志哈希；硬件内部信号证据由硬件验证团队提供</x:v>
      </x:c>
      <x:c r="S58" s="18" t="str">
        <x:v>先检查 ../baremetal 现状和仓库规则，再规划落点并实现；本表不预设目录、模块、Runner 或文件名</x:v>
      </x:c>
      <x:c r="T58" s="18" t="str"/>
    </x:row>
    <x:row r="59" ht="72" customHeight="1">
      <x:c r="A59" s="18" t="str">
        <x:v>EHSM-NEG-UPGRADE-002</x:v>
      </x:c>
      <x:c r="B59" s="18" t="str">
        <x:v>Mailbox用例</x:v>
      </x:c>
      <x:c r="C59" s="18" t="str">
        <x:v>MAILBOX_COMMAND</x:v>
      </x:c>
      <x:c r="D59" s="18" t="str">
        <x:v>EHSM_NEGATIVE</x:v>
      </x:c>
      <x:c r="E59" s="18" t="str">
        <x:v>MB_CMD_ID_FW_UPGRADE - EHSM_NEGATIVE</x:v>
      </x:c>
      <x:c r="F59" s="18" t="str">
        <x:v>P0</x:v>
      </x:c>
      <x:c r="G59" s="18" t="str">
        <x:v>HIGH</x:v>
      </x:c>
      <x:c r="H59" s="18" t="str">
        <x:v>L3_EMU_INTEGRATION</x:v>
      </x:c>
      <x:c r="I59" s="18" t="str">
        <x:v>WAVE1_ROOT_OF_TRUST</x:v>
      </x:c>
      <x:c r="J59" s="18" t="str">
        <x:v>../baremetal</x:v>
      </x:c>
      <x:c r="K59" s="18" t="str">
        <x:v>DESIGN_COMPLETE</x:v>
      </x:c>
      <x:c r="L59" s="18" t="str">
        <x:v>MUST_PASS_IF_CONTRACT_AND_FIXTURE_AVAILABLE; OTHERWISE INCONCLUSIVE_WITH_OWNER</x:v>
      </x:c>
      <x:c r="M59" s="18" t="str">
        <x:v>NEEDS_RECOVERABLE_UPGRADE_FIXTURE</x:v>
      </x:c>
      <x:c r="N59" s="18" t="str">
        <x:v>eHSM负向用例必须把刺激真实提交到eHSM并记录raw响应；Host仅负责构造输入。优先复用Vendor verify/API并单点变异数据；必要时使用隔离raw request builder，但不修改eHSM固件</x:v>
      </x:c>
      <x:c r="O59" s="18" t="str">
        <x:v>NEEDS_RECOVERABLE_UPGRADE_FIXTURE; 实施前登记 ../baremetal branch/commit、RTL/eHSM/软件 baseline，以及本用例所需的冻结地址、master_id、Region/权限编码</x:v>
      </x:c>
      <x:c r="P59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59" s="18" t="str">
        <x:v>可构建；可枚举和单独执行；结果为 PASS/FAIL/INCONCLUSIVE；Expected 可追溯；日志含 case ID、baseline、输入/输出摘要和错误码</x:v>
      </x:c>
      <x:c r="R59" s="18" t="str">
        <x:v>至少保留run ID、case/vector ID、baseline、Mailbox提交证据、raw eHSM返回、对象/Flash/counter/状态前后快照和日志哈希；硬件内部信号证据由硬件验证团队提供</x:v>
      </x:c>
      <x:c r="S59" s="18" t="str">
        <x:v>先检查 ../baremetal 现状和仓库规则，再规划落点并实现；本表不预设目录、模块、Runner 或文件名</x:v>
      </x:c>
      <x:c r="T59" s="18" t="str"/>
    </x:row>
    <x:row r="60" ht="72" customHeight="1">
      <x:c r="A60" s="18" t="str">
        <x:v>EHSM-NEG-CRYPTO-001</x:v>
      </x:c>
      <x:c r="B60" s="18" t="str">
        <x:v>Mailbox用例</x:v>
      </x:c>
      <x:c r="C60" s="18" t="str">
        <x:v>MAILBOX_COMMAND</x:v>
      </x:c>
      <x:c r="D60" s="18" t="str">
        <x:v>EHSM_NEGATIVE</x:v>
      </x:c>
      <x:c r="E60" s="18" t="str">
        <x:v>MB_CMD_ID_SM2_SIGN / MB_CMD_ID_RSA_SIGN / MB_CMD_ID_ECDSA - EHSM_NEGATIVE</x:v>
      </x:c>
      <x:c r="F60" s="18" t="str">
        <x:v>P0</x:v>
      </x:c>
      <x:c r="G60" s="18" t="str">
        <x:v>MEDIUM_HIGH</x:v>
      </x:c>
      <x:c r="H60" s="18" t="str">
        <x:v>L3_EMU_INTEGRATION</x:v>
      </x:c>
      <x:c r="I60" s="18" t="str">
        <x:v>WAVE4_CRYPTO_COMPAT_VENDOR</x:v>
      </x:c>
      <x:c r="J60" s="18" t="str">
        <x:v>../baremetal</x:v>
      </x:c>
      <x:c r="K60" s="18" t="str">
        <x:v>DESIGN_COMPLETE</x:v>
      </x:c>
      <x:c r="L60" s="18" t="str">
        <x:v>MUST_PASS_IF_CONTRACT_AND_FIXTURE_AVAILABLE; OTHERWISE INCONCLUSIVE_WITH_OWNER</x:v>
      </x:c>
      <x:c r="M60" s="18" t="str">
        <x:v>READY_AFTER_VENDOR_VERIFY_API_PORT</x:v>
      </x:c>
      <x:c r="N60" s="18" t="str">
        <x:v>eHSM负向用例必须把刺激真实提交到eHSM并记录raw响应；Host仅负责构造输入。优先复用Vendor verify/API并单点变异数据；必要时使用隔离raw request builder，但不修改eHSM固件</x:v>
      </x:c>
      <x:c r="O60" s="18" t="str">
        <x:v>READY_AFTER_VENDOR_VERIFY_API_PORT; 实施前登记 ../baremetal branch/commit、RTL/eHSM/软件 baseline，以及本用例所需的冻结地址、master_id、Region/权限编码</x:v>
      </x:c>
      <x:c r="P60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60" s="18" t="str">
        <x:v>可构建；可枚举和单独执行；结果为 PASS/FAIL/INCONCLUSIVE；Expected 可追溯；日志含 case ID、baseline、输入/输出摘要和错误码</x:v>
      </x:c>
      <x:c r="R60" s="18" t="str">
        <x:v>至少保留run ID、case/vector ID、baseline、Mailbox提交证据、raw eHSM返回、对象/Flash/counter/状态前后快照和日志哈希；硬件内部信号证据由硬件验证团队提供</x:v>
      </x:c>
      <x:c r="S60" s="18" t="str">
        <x:v>先检查 ../baremetal 现状和仓库规则，再规划落点并实现；本表不预设目录、模块、Runner 或文件名</x:v>
      </x:c>
      <x:c r="T60" s="18" t="str"/>
    </x:row>
    <x:row r="61" ht="72" customHeight="1">
      <x:c r="A61" s="18" t="str">
        <x:v>EHSM-NEG-CRYPTO-002</x:v>
      </x:c>
      <x:c r="B61" s="18" t="str">
        <x:v>Mailbox用例</x:v>
      </x:c>
      <x:c r="C61" s="18" t="str">
        <x:v>MAILBOX_COMMAND</x:v>
      </x:c>
      <x:c r="D61" s="18" t="str">
        <x:v>EHSM_NEGATIVE</x:v>
      </x:c>
      <x:c r="E61" s="18" t="str">
        <x:v>MB_CMD_ID_MAC / MB_CMD_ID_HMAC - EHSM_NEGATIVE</x:v>
      </x:c>
      <x:c r="F61" s="18" t="str">
        <x:v>P0</x:v>
      </x:c>
      <x:c r="G61" s="18" t="str">
        <x:v>MEDIUM_HIGH</x:v>
      </x:c>
      <x:c r="H61" s="18" t="str">
        <x:v>L3_EMU_INTEGRATION</x:v>
      </x:c>
      <x:c r="I61" s="18" t="str">
        <x:v>WAVE4_CRYPTO_COMPAT_VENDOR</x:v>
      </x:c>
      <x:c r="J61" s="18" t="str">
        <x:v>../baremetal</x:v>
      </x:c>
      <x:c r="K61" s="18" t="str">
        <x:v>DESIGN_COMPLETE</x:v>
      </x:c>
      <x:c r="L61" s="18" t="str">
        <x:v>MUST_PASS_IF_CONTRACT_AND_FIXTURE_AVAILABLE; OTHERWISE INCONCLUSIVE_WITH_OWNER</x:v>
      </x:c>
      <x:c r="M61" s="18" t="str">
        <x:v>READY_AFTER_VENDOR_VERIFY_API_PORT</x:v>
      </x:c>
      <x:c r="N61" s="18" t="str">
        <x:v>eHSM负向用例必须把刺激真实提交到eHSM并记录raw响应；Host仅负责构造输入。优先复用Vendor verify/API并单点变异数据；必要时使用隔离raw request builder，但不修改eHSM固件</x:v>
      </x:c>
      <x:c r="O61" s="18" t="str">
        <x:v>READY_AFTER_VENDOR_VERIFY_API_PORT; 实施前登记 ../baremetal branch/commit、RTL/eHSM/软件 baseline，以及本用例所需的冻结地址、master_id、Region/权限编码</x:v>
      </x:c>
      <x:c r="P61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61" s="18" t="str">
        <x:v>可构建；可枚举和单独执行；结果为 PASS/FAIL/INCONCLUSIVE；Expected 可追溯；日志含 case ID、baseline、输入/输出摘要和错误码</x:v>
      </x:c>
      <x:c r="R61" s="18" t="str">
        <x:v>至少保留run ID、case/vector ID、baseline、Mailbox提交证据、raw eHSM返回、对象/Flash/counter/状态前后快照和日志哈希；硬件内部信号证据由硬件验证团队提供</x:v>
      </x:c>
      <x:c r="S61" s="18" t="str">
        <x:v>先检查 ../baremetal 现状和仓库规则，再规划落点并实现；本表不预设目录、模块、Runner 或文件名</x:v>
      </x:c>
      <x:c r="T61" s="18" t="str"/>
    </x:row>
    <x:row r="62" ht="72" customHeight="1">
      <x:c r="A62" s="18" t="str">
        <x:v>EHSM-NEG-CRYPTO-003</x:v>
      </x:c>
      <x:c r="B62" s="18" t="str">
        <x:v>Mailbox用例</x:v>
      </x:c>
      <x:c r="C62" s="18" t="str">
        <x:v>MAILBOX_COMMAND</x:v>
      </x:c>
      <x:c r="D62" s="18" t="str">
        <x:v>EHSM_NEGATIVE</x:v>
      </x:c>
      <x:c r="E62" s="18" t="str">
        <x:v>MB_CMD_ID_AEAD_GCM / MB_CMD_ID_AEAD_CCM - EHSM_NEGATIVE</x:v>
      </x:c>
      <x:c r="F62" s="18" t="str">
        <x:v>P0</x:v>
      </x:c>
      <x:c r="G62" s="18" t="str">
        <x:v>MEDIUM_HIGH</x:v>
      </x:c>
      <x:c r="H62" s="18" t="str">
        <x:v>L3_EMU_INTEGRATION</x:v>
      </x:c>
      <x:c r="I62" s="18" t="str">
        <x:v>WAVE4_CRYPTO_COMPAT_VENDOR</x:v>
      </x:c>
      <x:c r="J62" s="18" t="str">
        <x:v>../baremetal</x:v>
      </x:c>
      <x:c r="K62" s="18" t="str">
        <x:v>DESIGN_COMPLETE</x:v>
      </x:c>
      <x:c r="L62" s="18" t="str">
        <x:v>MUST_PASS_IF_CONTRACT_AND_FIXTURE_AVAILABLE; OTHERWISE INCONCLUSIVE_WITH_OWNER</x:v>
      </x:c>
      <x:c r="M62" s="18" t="str">
        <x:v>READY_AFTER_AEAD_OUTPUT_CONTRACT</x:v>
      </x:c>
      <x:c r="N62" s="18" t="str">
        <x:v>eHSM负向用例必须把刺激真实提交到eHSM并记录raw响应；Host仅负责构造输入。优先复用Vendor verify/API并单点变异数据；必要时使用隔离raw request builder，但不修改eHSM固件</x:v>
      </x:c>
      <x:c r="O62" s="18" t="str">
        <x:v>READY_AFTER_AEAD_OUTPUT_CONTRACT; 实施前登记 ../baremetal branch/commit、RTL/eHSM/软件 baseline，以及本用例所需的冻结地址、master_id、Region/权限编码</x:v>
      </x:c>
      <x:c r="P62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62" s="18" t="str">
        <x:v>可构建；可枚举和单独执行；结果为 PASS/FAIL/INCONCLUSIVE；Expected 可追溯；日志含 case ID、baseline、输入/输出摘要和错误码</x:v>
      </x:c>
      <x:c r="R62" s="18" t="str">
        <x:v>至少保留run ID、case/vector ID、baseline、Mailbox提交证据、raw eHSM返回、对象/Flash/counter/状态前后快照和日志哈希；硬件内部信号证据由硬件验证团队提供</x:v>
      </x:c>
      <x:c r="S62" s="18" t="str">
        <x:v>先检查 ../baremetal 现状和仓库规则，再规划落点并实现；本表不预设目录、模块、Runner 或文件名</x:v>
      </x:c>
      <x:c r="T62" s="18" t="str"/>
    </x:row>
    <x:row r="63" ht="72" customHeight="1">
      <x:c r="A63" s="18" t="str">
        <x:v>EHSM-NEG-AUTH-001</x:v>
      </x:c>
      <x:c r="B63" s="18" t="str">
        <x:v>Mailbox用例</x:v>
      </x:c>
      <x:c r="C63" s="18" t="str">
        <x:v>MAILBOX_COMMAND</x:v>
      </x:c>
      <x:c r="D63" s="18" t="str">
        <x:v>EHSM_NEGATIVE</x:v>
      </x:c>
      <x:c r="E63" s="18" t="str">
        <x:v>MB_CMD_ID_BL_GET_CHALLENGE / MB_CMD_ID_BL_DEBUG_AUTH - EHSM_NEGATIVE</x:v>
      </x:c>
      <x:c r="F63" s="18" t="str">
        <x:v>P0</x:v>
      </x:c>
      <x:c r="G63" s="18" t="str">
        <x:v>HIGH</x:v>
      </x:c>
      <x:c r="H63" s="18" t="str">
        <x:v>L3_EMU_INTEGRATION</x:v>
      </x:c>
      <x:c r="I63" s="18" t="str">
        <x:v>WAVE2_IDENTITY_KEY_PERMISSION</x:v>
      </x:c>
      <x:c r="J63" s="18" t="str">
        <x:v>../baremetal</x:v>
      </x:c>
      <x:c r="K63" s="18" t="str">
        <x:v>DESIGN_COMPLETE</x:v>
      </x:c>
      <x:c r="L63" s="18" t="str">
        <x:v>MUST_PASS_IF_CONTRACT_AND_FIXTURE_AVAILABLE; OTHERWISE INCONCLUSIVE_WITH_OWNER</x:v>
      </x:c>
      <x:c r="M63" s="18" t="str">
        <x:v>NEEDS_DEBUG_AUTH_FIXTURE</x:v>
      </x:c>
      <x:c r="N63" s="18" t="str">
        <x:v>eHSM负向用例必须把刺激真实提交到eHSM并记录raw响应；Host仅负责构造输入。优先复用Vendor verify/API并单点变异数据；必要时使用隔离raw request builder，但不修改eHSM固件</x:v>
      </x:c>
      <x:c r="O63" s="18" t="str">
        <x:v>NEEDS_DEBUG_AUTH_FIXTURE; 实施前登记 ../baremetal branch/commit、RTL/eHSM/软件 baseline，以及本用例所需的冻结地址、master_id、Region/权限编码</x:v>
      </x:c>
      <x:c r="P63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63" s="18" t="str">
        <x:v>可构建；可枚举和单独执行；结果为 PASS/FAIL/INCONCLUSIVE；Expected 可追溯；日志含 case ID、baseline、输入/输出摘要和错误码</x:v>
      </x:c>
      <x:c r="R63" s="18" t="str">
        <x:v>至少保留run ID、case/vector ID、baseline、Mailbox提交证据、raw eHSM返回、对象/Flash/counter/状态前后快照和日志哈希；硬件内部信号证据由硬件验证团队提供</x:v>
      </x:c>
      <x:c r="S63" s="18" t="str">
        <x:v>先检查 ../baremetal 现状和仓库规则，再规划落点并实现；本表不预设目录、模块、Runner 或文件名</x:v>
      </x:c>
      <x:c r="T63" s="18" t="str"/>
    </x:row>
    <x:row r="64" ht="72" customHeight="1">
      <x:c r="A64" s="18" t="str">
        <x:v>EHSM-NEG-AUTH-002</x:v>
      </x:c>
      <x:c r="B64" s="18" t="str">
        <x:v>Mailbox用例</x:v>
      </x:c>
      <x:c r="C64" s="18" t="str">
        <x:v>MAILBOX_COMMAND</x:v>
      </x:c>
      <x:c r="D64" s="18" t="str">
        <x:v>EHSM_NEGATIVE</x:v>
      </x:c>
      <x:c r="E64" s="18" t="str">
        <x:v>MB_CMD_ID_GET_CHALLENGE / MB_CMD_ID_AUTH - EHSM_NEGATIVE</x:v>
      </x:c>
      <x:c r="F64" s="18" t="str">
        <x:v>P0</x:v>
      </x:c>
      <x:c r="G64" s="18" t="str">
        <x:v>HIGH</x:v>
      </x:c>
      <x:c r="H64" s="18" t="str">
        <x:v>L3_EMU_INTEGRATION</x:v>
      </x:c>
      <x:c r="I64" s="18" t="str">
        <x:v>WAVE2_IDENTITY_KEY_PERMISSION</x:v>
      </x:c>
      <x:c r="J64" s="18" t="str">
        <x:v>../baremetal</x:v>
      </x:c>
      <x:c r="K64" s="18" t="str">
        <x:v>DESIGN_COMPLETE</x:v>
      </x:c>
      <x:c r="L64" s="18" t="str">
        <x:v>MUST_PASS_IF_CONTRACT_AND_FIXTURE_AVAILABLE; OTHERWISE INCONCLUSIVE_WITH_OWNER</x:v>
      </x:c>
      <x:c r="M64" s="18" t="str">
        <x:v>NEEDS_AUTH_PROFILE_AND_FIXTURE</x:v>
      </x:c>
      <x:c r="N64" s="18" t="str">
        <x:v>eHSM负向用例必须把刺激真实提交到eHSM并记录raw响应；Host仅负责构造输入。优先复用Vendor verify/API并单点变异数据；必要时使用隔离raw request builder，但不修改eHSM固件</x:v>
      </x:c>
      <x:c r="O64" s="18" t="str">
        <x:v>NEEDS_AUTH_PROFILE_AND_FIXTURE; 实施前登记 ../baremetal branch/commit、RTL/eHSM/软件 baseline，以及本用例所需的冻结地址、master_id、Region/权限编码</x:v>
      </x:c>
      <x:c r="P64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64" s="18" t="str">
        <x:v>可构建；可枚举和单独执行；结果为 PASS/FAIL/INCONCLUSIVE；Expected 可追溯；日志含 case ID、baseline、输入/输出摘要和错误码</x:v>
      </x:c>
      <x:c r="R64" s="18" t="str">
        <x:v>至少保留run ID、case/vector ID、baseline、Mailbox提交证据、raw eHSM返回、对象/Flash/counter/状态前后快照和日志哈希；硬件内部信号证据由硬件验证团队提供</x:v>
      </x:c>
      <x:c r="S64" s="18" t="str">
        <x:v>先检查 ../baremetal 现状和仓库规则，再规划落点并实现；本表不预设目录、模块、Runner 或文件名</x:v>
      </x:c>
      <x:c r="T64" s="18" t="str"/>
    </x:row>
    <x:row r="65" ht="72" customHeight="1">
      <x:c r="A65" s="18" t="str">
        <x:v>EHSM-NEG-KEY-001</x:v>
      </x:c>
      <x:c r="B65" s="18" t="str">
        <x:v>Mailbox用例</x:v>
      </x:c>
      <x:c r="C65" s="18" t="str">
        <x:v>MAILBOX_COMMAND</x:v>
      </x:c>
      <x:c r="D65" s="18" t="str">
        <x:v>EHSM_NEGATIVE</x:v>
      </x:c>
      <x:c r="E65" s="18" t="str">
        <x:v>MB_CMD_ID_INSTALL_RANDOM_KEY / MB_CMD_ID_INSTALL_ENCRYPT_KEY / MB_CMD_ID_EHSM_IMPORT_KEY - EHSM_NEGATIVE</x:v>
      </x:c>
      <x:c r="F65" s="18" t="str">
        <x:v>P0</x:v>
      </x:c>
      <x:c r="G65" s="18" t="str">
        <x:v>HIGH</x:v>
      </x:c>
      <x:c r="H65" s="18" t="str">
        <x:v>L3_EMU_INTEGRATION</x:v>
      </x:c>
      <x:c r="I65" s="18" t="str">
        <x:v>WAVE2_IDENTITY_KEY_PERMISSION</x:v>
      </x:c>
      <x:c r="J65" s="18" t="str">
        <x:v>../baremetal</x:v>
      </x:c>
      <x:c r="K65" s="18" t="str">
        <x:v>DESIGN_COMPLETE</x:v>
      </x:c>
      <x:c r="L65" s="18" t="str">
        <x:v>MUST_PASS_IF_CONTRACT_AND_FIXTURE_AVAILABLE; OTHERWISE INCONCLUSIVE_WITH_OWNER</x:v>
      </x:c>
      <x:c r="M65" s="18" t="str">
        <x:v>NEEDS_KEY_IMPORT_FIXTURE</x:v>
      </x:c>
      <x:c r="N65" s="18" t="str">
        <x:v>eHSM负向用例必须把刺激真实提交到eHSM并记录raw响应；Host仅负责构造输入。优先复用Vendor verify/API并单点变异数据；必要时使用隔离raw request builder，但不修改eHSM固件</x:v>
      </x:c>
      <x:c r="O65" s="18" t="str">
        <x:v>NEEDS_KEY_IMPORT_FIXTURE; 实施前登记 ../baremetal branch/commit、RTL/eHSM/软件 baseline，以及本用例所需的冻结地址、master_id、Region/权限编码</x:v>
      </x:c>
      <x:c r="P65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65" s="18" t="str">
        <x:v>可构建；可枚举和单独执行；结果为 PASS/FAIL/INCONCLUSIVE；Expected 可追溯；日志含 case ID、baseline、输入/输出摘要和错误码</x:v>
      </x:c>
      <x:c r="R65" s="18" t="str">
        <x:v>至少保留run ID、case/vector ID、baseline、Mailbox提交证据、raw eHSM返回、对象/Flash/counter/状态前后快照和日志哈希；硬件内部信号证据由硬件验证团队提供</x:v>
      </x:c>
      <x:c r="S65" s="18" t="str">
        <x:v>先检查 ../baremetal 现状和仓库规则，再规划落点并实现；本表不预设目录、模块、Runner 或文件名</x:v>
      </x:c>
      <x:c r="T65" s="18" t="str"/>
    </x:row>
    <x:row r="66" ht="72" customHeight="1">
      <x:c r="A66" s="18" t="str">
        <x:v>EHSM-NEG-KEY-002</x:v>
      </x:c>
      <x:c r="B66" s="18" t="str">
        <x:v>Mailbox用例</x:v>
      </x:c>
      <x:c r="C66" s="18" t="str">
        <x:v>MAILBOX_COMMAND</x:v>
      </x:c>
      <x:c r="D66" s="18" t="str">
        <x:v>EHSM_NEGATIVE</x:v>
      </x:c>
      <x:c r="E66" s="18" t="str">
        <x:v>Key Manager + SYMM/AEAD/HMAC/MAC/Sign命令 - EHSM_NEGATIVE</x:v>
      </x:c>
      <x:c r="F66" s="18" t="str">
        <x:v>P0</x:v>
      </x:c>
      <x:c r="G66" s="18" t="str">
        <x:v>HIGH</x:v>
      </x:c>
      <x:c r="H66" s="18" t="str">
        <x:v>L3_EMU_INTEGRATION</x:v>
      </x:c>
      <x:c r="I66" s="18" t="str">
        <x:v>WAVE2_IDENTITY_KEY_PERMISSION</x:v>
      </x:c>
      <x:c r="J66" s="18" t="str">
        <x:v>../baremetal</x:v>
      </x:c>
      <x:c r="K66" s="18" t="str">
        <x:v>DESIGN_COMPLETE</x:v>
      </x:c>
      <x:c r="L66" s="18" t="str">
        <x:v>MUST_PASS_IF_CONTRACT_AND_FIXTURE_AVAILABLE; OTHERWISE INCONCLUSIVE_WITH_OWNER</x:v>
      </x:c>
      <x:c r="M66" s="18" t="str">
        <x:v>NEEDS_KEY_POLICY_CONTRACT</x:v>
      </x:c>
      <x:c r="N66" s="18" t="str">
        <x:v>eHSM负向用例必须把刺激真实提交到eHSM并记录raw响应；Host仅负责构造输入。优先复用Vendor verify/API并单点变异数据；必要时使用隔离raw request builder，但不修改eHSM固件</x:v>
      </x:c>
      <x:c r="O66" s="18" t="str">
        <x:v>NEEDS_KEY_POLICY_CONTRACT; 实施前登记 ../baremetal branch/commit、RTL/eHSM/软件 baseline，以及本用例所需的冻结地址、master_id、Region/权限编码</x:v>
      </x:c>
      <x:c r="P66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66" s="18" t="str">
        <x:v>可构建；可枚举和单独执行；结果为 PASS/FAIL/INCONCLUSIVE；Expected 可追溯；日志含 case ID、baseline、输入/输出摘要和错误码</x:v>
      </x:c>
      <x:c r="R66" s="18" t="str">
        <x:v>至少保留run ID、case/vector ID、baseline、Mailbox提交证据、raw eHSM返回、对象/Flash/counter/状态前后快照和日志哈希；硬件内部信号证据由硬件验证团队提供</x:v>
      </x:c>
      <x:c r="S66" s="18" t="str">
        <x:v>先检查 ../baremetal 现状和仓库规则，再规划落点并实现；本表不预设目录、模块、Runner 或文件名</x:v>
      </x:c>
      <x:c r="T66" s="18" t="str"/>
    </x:row>
    <x:row r="67" ht="72" customHeight="1">
      <x:c r="A67" s="18" t="str">
        <x:v>EHSM-NEG-OTP-001</x:v>
      </x:c>
      <x:c r="B67" s="18" t="str">
        <x:v>Mailbox用例</x:v>
      </x:c>
      <x:c r="C67" s="18" t="str">
        <x:v>MAILBOX_COMMAND</x:v>
      </x:c>
      <x:c r="D67" s="18" t="str">
        <x:v>EHSM_NEGATIVE</x:v>
      </x:c>
      <x:c r="E67" s="18" t="str">
        <x:v>BL/FW OTP_READ / OTP_WRITE - EHSM_NEGATIVE</x:v>
      </x:c>
      <x:c r="F67" s="18" t="str">
        <x:v>P0</x:v>
      </x:c>
      <x:c r="G67" s="18" t="str">
        <x:v>HIGH</x:v>
      </x:c>
      <x:c r="H67" s="18" t="str">
        <x:v>L3_EMU_INTEGRATION</x:v>
      </x:c>
      <x:c r="I67" s="18" t="str">
        <x:v>WAVE2_IDENTITY_KEY_PERMISSION</x:v>
      </x:c>
      <x:c r="J67" s="18" t="str">
        <x:v>../baremetal</x:v>
      </x:c>
      <x:c r="K67" s="18" t="str">
        <x:v>DESIGN_COMPLETE</x:v>
      </x:c>
      <x:c r="L67" s="18" t="str">
        <x:v>MUST_PASS_IF_CONTRACT_AND_FIXTURE_AVAILABLE; OTHERWISE INCONCLUSIVE_WITH_OWNER</x:v>
      </x:c>
      <x:c r="M67" s="18" t="str">
        <x:v>NEEDS_OTP_OBJECT_MAP_AND_FIXTURE</x:v>
      </x:c>
      <x:c r="N67" s="18" t="str">
        <x:v>eHSM负向用例必须把刺激真实提交到eHSM并记录raw响应；Host仅负责构造输入。优先复用Vendor verify/API并单点变异数据；必要时使用隔离raw request builder，但不修改eHSM固件</x:v>
      </x:c>
      <x:c r="O67" s="18" t="str">
        <x:v>NEEDS_OTP_OBJECT_MAP_AND_FIXTURE; 实施前登记 ../baremetal branch/commit、RTL/eHSM/软件 baseline，以及本用例所需的冻结地址、master_id、Region/权限编码</x:v>
      </x:c>
      <x:c r="P67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67" s="18" t="str">
        <x:v>可构建；可枚举和单独执行；结果为 PASS/FAIL/INCONCLUSIVE；Expected 可追溯；日志含 case ID、baseline、输入/输出摘要和错误码</x:v>
      </x:c>
      <x:c r="R67" s="18" t="str">
        <x:v>至少保留run ID、case/vector ID、baseline、Mailbox提交证据、raw eHSM返回、对象/Flash/counter/状态前后快照和日志哈希；硬件内部信号证据由硬件验证团队提供</x:v>
      </x:c>
      <x:c r="S67" s="18" t="str">
        <x:v>先检查 ../baremetal 现状和仓库规则，再规划落点并实现；本表不预设目录、模块、Runner 或文件名</x:v>
      </x:c>
      <x:c r="T67" s="18" t="str"/>
    </x:row>
    <x:row r="68" ht="72" customHeight="1">
      <x:c r="A68" s="18" t="str">
        <x:v>EHSM-NEG-STATE-001</x:v>
      </x:c>
      <x:c r="B68" s="18" t="str">
        <x:v>Mailbox用例</x:v>
      </x:c>
      <x:c r="C68" s="18" t="str">
        <x:v>MAILBOX_COMMAND</x:v>
      </x:c>
      <x:c r="D68" s="18" t="str">
        <x:v>EHSM_NEGATIVE</x:v>
      </x:c>
      <x:c r="E68" s="18" t="str">
        <x:v>MB_CMD_ID_CHANGE_LIFECYCLE / MB_CMD_ID_CHANGE_CONTROL_FIELD - EHSM_NEGATIVE</x:v>
      </x:c>
      <x:c r="F68" s="18" t="str">
        <x:v>P0</x:v>
      </x:c>
      <x:c r="G68" s="18" t="str">
        <x:v>HIGH</x:v>
      </x:c>
      <x:c r="H68" s="18" t="str">
        <x:v>L3_EMU_INTEGRATION</x:v>
      </x:c>
      <x:c r="I68" s="18" t="str">
        <x:v>WAVE2_IDENTITY_KEY_PERMISSION</x:v>
      </x:c>
      <x:c r="J68" s="18" t="str">
        <x:v>../baremetal</x:v>
      </x:c>
      <x:c r="K68" s="18" t="str">
        <x:v>DESIGN_COMPLETE</x:v>
      </x:c>
      <x:c r="L68" s="18" t="str">
        <x:v>MUST_PASS_IF_CONTRACT_AND_FIXTURE_AVAILABLE; OTHERWISE INCONCLUSIVE_WITH_OWNER</x:v>
      </x:c>
      <x:c r="M68" s="18" t="str">
        <x:v>NEEDS_DESTRUCTIVE_STATE_FIXTURE</x:v>
      </x:c>
      <x:c r="N68" s="18" t="str">
        <x:v>eHSM负向用例必须把刺激真实提交到eHSM并记录raw响应；Host仅负责构造输入。优先复用Vendor verify/API并单点变异数据；必要时使用隔离raw request builder，但不修改eHSM固件</x:v>
      </x:c>
      <x:c r="O68" s="18" t="str">
        <x:v>NEEDS_DESTRUCTIVE_STATE_FIXTURE; 实施前登记 ../baremetal branch/commit、RTL/eHSM/软件 baseline，以及本用例所需的冻结地址、master_id、Region/权限编码</x:v>
      </x:c>
      <x:c r="P68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68" s="18" t="str">
        <x:v>可构建；可枚举和单独执行；结果为 PASS/FAIL/INCONCLUSIVE；Expected 可追溯；日志含 case ID、baseline、输入/输出摘要和错误码</x:v>
      </x:c>
      <x:c r="R68" s="18" t="str">
        <x:v>至少保留run ID、case/vector ID、baseline、Mailbox提交证据、raw eHSM返回、对象/Flash/counter/状态前后快照和日志哈希；硬件内部信号证据由硬件验证团队提供</x:v>
      </x:c>
      <x:c r="S68" s="18" t="str">
        <x:v>先检查 ../baremetal 现状和仓库规则，再规划落点并实现；本表不预设目录、模块、Runner 或文件名</x:v>
      </x:c>
      <x:c r="T68" s="18" t="str"/>
    </x:row>
    <x:row r="69" ht="72" customHeight="1">
      <x:c r="A69" s="18" t="str">
        <x:v>EHSM-NEG-PROTOCOL-001</x:v>
      </x:c>
      <x:c r="B69" s="18" t="str">
        <x:v>Mailbox用例</x:v>
      </x:c>
      <x:c r="C69" s="18" t="str">
        <x:v>MAILBOX_COMMAND</x:v>
      </x:c>
      <x:c r="D69" s="18" t="str">
        <x:v>EHSM_NEGATIVE</x:v>
      </x:c>
      <x:c r="E69" s="18" t="str">
        <x:v>代表性BL/FW命令 + 未支持command ID - EHSM_NEGATIVE</x:v>
      </x:c>
      <x:c r="F69" s="18" t="str">
        <x:v>P0</x:v>
      </x:c>
      <x:c r="G69" s="18" t="str">
        <x:v>HIGH</x:v>
      </x:c>
      <x:c r="H69" s="18" t="str">
        <x:v>L3_EMU_INTEGRATION</x:v>
      </x:c>
      <x:c r="I69" s="18" t="str">
        <x:v>WAVE4_CRYPTO_COMPAT_VENDOR</x:v>
      </x:c>
      <x:c r="J69" s="18" t="str">
        <x:v>../baremetal</x:v>
      </x:c>
      <x:c r="K69" s="18" t="str">
        <x:v>DESIGN_COMPLETE</x:v>
      </x:c>
      <x:c r="L69" s="18" t="str">
        <x:v>MUST_PASS_IF_CONTRACT_AND_FIXTURE_AVAILABLE; OTHERWISE INCONCLUSIVE_WITH_OWNER</x:v>
      </x:c>
      <x:c r="M69" s="18" t="str">
        <x:v>NEEDS_ISOLATED_RAW_REQUEST_BUILDER</x:v>
      </x:c>
      <x:c r="N69" s="18" t="str">
        <x:v>eHSM负向用例必须把刺激真实提交到eHSM并记录raw响应；Host仅负责构造输入。优先复用Vendor verify/API并单点变异数据；必要时使用隔离raw request builder，但不修改eHSM固件</x:v>
      </x:c>
      <x:c r="O69" s="18" t="str">
        <x:v>NEEDS_ISOLATED_RAW_REQUEST_BUILDER; 实施前登记 ../baremetal branch/commit、RTL/eHSM/软件 baseline，以及本用例所需的冻结地址、master_id、Region/权限编码</x:v>
      </x:c>
      <x:c r="P69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69" s="18" t="str">
        <x:v>可构建；可枚举和单独执行；结果为 PASS/FAIL/INCONCLUSIVE；Expected 可追溯；日志含 case ID、baseline、输入/输出摘要和错误码</x:v>
      </x:c>
      <x:c r="R69" s="18" t="str">
        <x:v>至少保留run ID、case/vector ID、baseline、Mailbox提交证据、raw eHSM返回、对象/Flash/counter/状态前后快照和日志哈希；硬件内部信号证据由硬件验证团队提供</x:v>
      </x:c>
      <x:c r="S69" s="18" t="str">
        <x:v>先检查 ../baremetal 现状和仓库规则，再规划落点并实现；本表不预设目录、模块、Runner 或文件名</x:v>
      </x:c>
      <x:c r="T69" s="18" t="str"/>
    </x:row>
    <x:row r="70" ht="72" customHeight="1">
      <x:c r="A70" s="18" t="str">
        <x:v>SOC-MAILBOX-001</x:v>
      </x:c>
      <x:c r="B70" s="18" t="str">
        <x:v>SoC集成用例</x:v>
      </x:c>
      <x:c r="C70" s="18" t="str">
        <x:v>SOC_INTEGRATION</x:v>
      </x:c>
      <x:c r="D70" s="18" t="str">
        <x:v>MAILBOX</x:v>
      </x:c>
      <x:c r="E70" s="18" t="str">
        <x:v>16路Mailbox通道独立性</x:v>
      </x:c>
      <x:c r="F70" s="18" t="str">
        <x:v>P0</x:v>
      </x:c>
      <x:c r="G70" s="18" t="str">
        <x:v>MEDIUM</x:v>
      </x:c>
      <x:c r="H70" s="18" t="str">
        <x:v>L3_EMU_INTEGRATION</x:v>
      </x:c>
      <x:c r="I70" s="18" t="str">
        <x:v>WAVE0_DAY0_SMOKE</x:v>
      </x:c>
      <x:c r="J70" s="18" t="str">
        <x:v>../baremetal</x:v>
      </x:c>
      <x:c r="K70" s="18" t="str">
        <x:v>DESIGN_COMPLETE</x:v>
      </x:c>
      <x:c r="L70" s="18" t="str">
        <x:v>MUST_PASS_IF_CAPABLE_OR_INCONCLUSIVE_WITH_OWNER</x:v>
      </x:c>
      <x:c r="M70" s="18" t="str">
        <x:v>NEEDS_DIRECT_MAILBOX_CHANNEL_MAP</x:v>
      </x:c>
      <x:c r="N70" s="18" t="str">
        <x:v>实现表内8条SoC软件功能用例；按 setup、stimulus、observe、cleanup 组织；channel、权限、错误、reset和IRQ组合放vector，不机械拆case；绑定未冻结时输出INCONCLUSIVE</x:v>
      </x:c>
      <x:c r="O70" s="18" t="str">
        <x:v>NEEDS_DIRECT_MAILBOX_CHANNEL_MAP; 实施前登记 ../baremetal branch/commit、RTL/eHSM/软件 baseline，以及本用例所需的冻结地址、master_id、Region/权限编码</x:v>
      </x:c>
      <x:c r="P70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70" s="18" t="str">
        <x:v>可构建；可枚举和单独执行；结果为 PASS/FAIL/INCONCLUSIVE；Expected 可追溯；日志含 case ID、baseline、输入/输出摘要和错误码</x:v>
      </x:c>
      <x:c r="R70" s="18" t="str">
        <x:v>至少保留run ID、case/vector ID、baseline、Mailbox提交证据、raw eHSM返回、对象/Flash/counter/状态前后快照和日志哈希；硬件内部信号证据由硬件验证团队提供</x:v>
      </x:c>
      <x:c r="S70" s="18" t="str">
        <x:v>先检查 ../baremetal 现状和仓库规则，再规划落点并实现；本表不预设目录、模块、Runner 或文件名</x:v>
      </x:c>
      <x:c r="T70" s="18" t="str"/>
    </x:row>
    <x:row r="71" ht="72" customHeight="1">
      <x:c r="A71" s="18" t="str">
        <x:v>SOC-MAILBOX-002</x:v>
      </x:c>
      <x:c r="B71" s="18" t="str">
        <x:v>SoC集成用例</x:v>
      </x:c>
      <x:c r="C71" s="18" t="str">
        <x:v>SOC_INTEGRATION</x:v>
      </x:c>
      <x:c r="D71" s="18" t="str">
        <x:v>MAILBOX</x:v>
      </x:c>
      <x:c r="E71" s="18" t="str">
        <x:v>Mailbox INFO/NOTE功能握手</x:v>
      </x:c>
      <x:c r="F71" s="18" t="str">
        <x:v>P0</x:v>
      </x:c>
      <x:c r="G71" s="18" t="str">
        <x:v>MEDIUM</x:v>
      </x:c>
      <x:c r="H71" s="18" t="str">
        <x:v>L3_EMU_INTEGRATION</x:v>
      </x:c>
      <x:c r="I71" s="18" t="str">
        <x:v>WAVE0_DAY0_SMOKE</x:v>
      </x:c>
      <x:c r="J71" s="18" t="str">
        <x:v>../baremetal</x:v>
      </x:c>
      <x:c r="K71" s="18" t="str">
        <x:v>DESIGN_COMPLETE</x:v>
      </x:c>
      <x:c r="L71" s="18" t="str">
        <x:v>MUST_PASS_IF_CAPABLE_OR_INCONCLUSIVE_WITH_OWNER</x:v>
      </x:c>
      <x:c r="M71" s="18" t="str">
        <x:v>NEEDS_MAILBOX_INFO_NOTE_REGISTER_CONTRACT</x:v>
      </x:c>
      <x:c r="N71" s="18" t="str">
        <x:v>实现表内8条SoC软件功能用例；按 setup、stimulus、observe、cleanup 组织；channel、权限、错误、reset和IRQ组合放vector，不机械拆case；绑定未冻结时输出INCONCLUSIVE</x:v>
      </x:c>
      <x:c r="O71" s="18" t="str">
        <x:v>NEEDS_MAILBOX_INFO_NOTE_REGISTER_CONTRACT; 实施前登记 ../baremetal branch/commit、RTL/eHSM/软件 baseline，以及本用例所需的冻结地址、master_id、Region/权限编码</x:v>
      </x:c>
      <x:c r="P71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71" s="18" t="str">
        <x:v>可构建；可枚举和单独执行；结果为 PASS/FAIL/INCONCLUSIVE；Expected 可追溯；日志含 case ID、baseline、输入/输出摘要和错误码</x:v>
      </x:c>
      <x:c r="R71" s="18" t="str">
        <x:v>至少保留run ID、case/vector ID、baseline、Mailbox提交证据、raw eHSM返回、对象/Flash/counter/状态前后快照和日志哈希；硬件内部信号证据由硬件验证团队提供</x:v>
      </x:c>
      <x:c r="S71" s="18" t="str">
        <x:v>先检查 ../baremetal 现状和仓库规则，再规划落点并实现；本表不预设目录、模块、Runner 或文件名</x:v>
      </x:c>
      <x:c r="T71" s="18" t="str"/>
    </x:row>
    <x:row r="72" ht="72" customHeight="1">
      <x:c r="A72" s="18" t="str">
        <x:v>SOC-FIREWALL-001</x:v>
      </x:c>
      <x:c r="B72" s="18" t="str">
        <x:v>SoC集成用例</x:v>
      </x:c>
      <x:c r="C72" s="18" t="str">
        <x:v>SOC_INTEGRATION</x:v>
      </x:c>
      <x:c r="D72" s="18" t="str">
        <x:v>FIREWALL</x:v>
      </x:c>
      <x:c r="E72" s="18" t="str">
        <x:v>Firewall 配置权限</x:v>
      </x:c>
      <x:c r="F72" s="18" t="str">
        <x:v>P0</x:v>
      </x:c>
      <x:c r="G72" s="18" t="str">
        <x:v>MEDIUM</x:v>
      </x:c>
      <x:c r="H72" s="18" t="str">
        <x:v>L3_EMU_INTEGRATION</x:v>
      </x:c>
      <x:c r="I72" s="18" t="str">
        <x:v>WAVE3_MULTIDIE_FIREWALL_FAULT</x:v>
      </x:c>
      <x:c r="J72" s="18" t="str">
        <x:v>../baremetal</x:v>
      </x:c>
      <x:c r="K72" s="18" t="str">
        <x:v>DESIGN_COMPLETE</x:v>
      </x:c>
      <x:c r="L72" s="18" t="str">
        <x:v>MUST_PASS_IF_CAPABLE_OR_INCONCLUSIVE_WITH_OWNER</x:v>
      </x:c>
      <x:c r="M72" s="18" t="str">
        <x:v>NEEDS_FIREWALL_REGISTER_AND_MASTER_ID_MAP</x:v>
      </x:c>
      <x:c r="N72" s="18" t="str">
        <x:v>实现表内8条SoC软件功能用例；按 setup、stimulus、observe、cleanup 组织；channel、权限、错误、reset和IRQ组合放vector，不机械拆case；绑定未冻结时输出INCONCLUSIVE</x:v>
      </x:c>
      <x:c r="O72" s="18" t="str">
        <x:v>NEEDS_FIREWALL_REGISTER_AND_MASTER_ID_MAP; 实施前登记 ../baremetal branch/commit、RTL/eHSM/软件 baseline，以及本用例所需的冻结地址、master_id、Region/权限编码</x:v>
      </x:c>
      <x:c r="P72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72" s="18" t="str">
        <x:v>可构建；可枚举和单独执行；结果为 PASS/FAIL/INCONCLUSIVE；Expected 可追溯；日志含 case ID、baseline、输入/输出摘要和错误码</x:v>
      </x:c>
      <x:c r="R72" s="18" t="str">
        <x:v>至少保留run ID、case/vector ID、baseline、Mailbox提交证据、raw eHSM返回、对象/Flash/counter/状态前后快照和日志哈希；硬件内部信号证据由硬件验证团队提供</x:v>
      </x:c>
      <x:c r="S72" s="18" t="str">
        <x:v>先检查 ../baremetal 现状和仓库规则，再规划落点并实现；本表不预设目录、模块、Runner 或文件名</x:v>
      </x:c>
      <x:c r="T72" s="18" t="str"/>
    </x:row>
    <x:row r="73" ht="72" customHeight="1">
      <x:c r="A73" s="18" t="str">
        <x:v>SOC-FIREWALL-002</x:v>
      </x:c>
      <x:c r="B73" s="18" t="str">
        <x:v>SoC集成用例</x:v>
      </x:c>
      <x:c r="C73" s="18" t="str">
        <x:v>SOC_INTEGRATION</x:v>
      </x:c>
      <x:c r="D73" s="18" t="str">
        <x:v>FIREWALL</x:v>
      </x:c>
      <x:c r="E73" s="18" t="str">
        <x:v>SRAM 配置后隔离生效</x:v>
      </x:c>
      <x:c r="F73" s="18" t="str">
        <x:v>P0</x:v>
      </x:c>
      <x:c r="G73" s="18" t="str">
        <x:v>MEDIUM</x:v>
      </x:c>
      <x:c r="H73" s="18" t="str">
        <x:v>L3_EMU_INTEGRATION</x:v>
      </x:c>
      <x:c r="I73" s="18" t="str">
        <x:v>WAVE3_MULTIDIE_FIREWALL_FAULT</x:v>
      </x:c>
      <x:c r="J73" s="18" t="str">
        <x:v>../baremetal</x:v>
      </x:c>
      <x:c r="K73" s="18" t="str">
        <x:v>DESIGN_COMPLETE</x:v>
      </x:c>
      <x:c r="L73" s="18" t="str">
        <x:v>MUST_PASS_IF_CAPABLE_OR_INCONCLUSIVE_WITH_OWNER</x:v>
      </x:c>
      <x:c r="M73" s="18" t="str">
        <x:v>NEEDS_SRAM_REGION_PERMISSION_MAP</x:v>
      </x:c>
      <x:c r="N73" s="18" t="str">
        <x:v>实现表内8条SoC软件功能用例；按 setup、stimulus、observe、cleanup 组织；channel、权限、错误、reset和IRQ组合放vector，不机械拆case；绑定未冻结时输出INCONCLUSIVE</x:v>
      </x:c>
      <x:c r="O73" s="18" t="str">
        <x:v>NEEDS_SRAM_REGION_PERMISSION_MAP; 实施前登记 ../baremetal branch/commit、RTL/eHSM/软件 baseline，以及本用例所需的冻结地址、master_id、Region/权限编码</x:v>
      </x:c>
      <x:c r="P73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73" s="18" t="str">
        <x:v>可构建；可枚举和单独执行；结果为 PASS/FAIL/INCONCLUSIVE；Expected 可追溯；日志含 case ID、baseline、输入/输出摘要和错误码</x:v>
      </x:c>
      <x:c r="R73" s="18" t="str">
        <x:v>至少保留run ID、case/vector ID、baseline、Mailbox提交证据、raw eHSM返回、对象/Flash/counter/状态前后快照和日志哈希；硬件内部信号证据由硬件验证团队提供</x:v>
      </x:c>
      <x:c r="S73" s="18" t="str">
        <x:v>先检查 ../baremetal 现状和仓库规则，再规划落点并实现；本表不预设目录、模块、Runner 或文件名</x:v>
      </x:c>
      <x:c r="T73" s="18" t="str"/>
    </x:row>
    <x:row r="74" ht="72" customHeight="1">
      <x:c r="A74" s="18" t="str">
        <x:v>SOC-HSM-STATUS-001</x:v>
      </x:c>
      <x:c r="B74" s="18" t="str">
        <x:v>SoC集成用例</x:v>
      </x:c>
      <x:c r="C74" s="18" t="str">
        <x:v>SOC_INTEGRATION</x:v>
      </x:c>
      <x:c r="D74" s="18" t="str">
        <x:v>HSM-STATUS</x:v>
      </x:c>
      <x:c r="E74" s="18" t="str">
        <x:v>HSM 状态/错误寄存器读取通路</x:v>
      </x:c>
      <x:c r="F74" s="18" t="str">
        <x:v>P0</x:v>
      </x:c>
      <x:c r="G74" s="18" t="str">
        <x:v>MEDIUM</x:v>
      </x:c>
      <x:c r="H74" s="18" t="str">
        <x:v>L3_EMU_INTEGRATION</x:v>
      </x:c>
      <x:c r="I74" s="18" t="str">
        <x:v>WAVE3_MULTIDIE_FIREWALL_FAULT</x:v>
      </x:c>
      <x:c r="J74" s="18" t="str">
        <x:v>../baremetal</x:v>
      </x:c>
      <x:c r="K74" s="18" t="str">
        <x:v>DESIGN_COMPLETE</x:v>
      </x:c>
      <x:c r="L74" s="18" t="str">
        <x:v>MUST_PASS_IF_CAPABLE_OR_INCONCLUSIVE_WITH_OWNER</x:v>
      </x:c>
      <x:c r="M74" s="18" t="str">
        <x:v>NEEDS_HSM_STATUS_ERROR_REGISTER_MAP</x:v>
      </x:c>
      <x:c r="N74" s="18" t="str">
        <x:v>实现表内8条SoC软件功能用例；按 setup、stimulus、observe、cleanup 组织；channel、权限、错误、reset和IRQ组合放vector，不机械拆case；绑定未冻结时输出INCONCLUSIVE</x:v>
      </x:c>
      <x:c r="O74" s="18" t="str">
        <x:v>NEEDS_HSM_STATUS_ERROR_REGISTER_MAP; 实施前登记 ../baremetal branch/commit、RTL/eHSM/软件 baseline，以及本用例所需的冻结地址、master_id、Region/权限编码</x:v>
      </x:c>
      <x:c r="P74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74" s="18" t="str">
        <x:v>可构建；可枚举和单独执行；结果为 PASS/FAIL/INCONCLUSIVE；Expected 可追溯；日志含 case ID、baseline、输入/输出摘要和错误码</x:v>
      </x:c>
      <x:c r="R74" s="18" t="str">
        <x:v>至少保留run ID、case/vector ID、baseline、Mailbox提交证据、raw eHSM返回、对象/Flash/counter/状态前后快照和日志哈希；硬件内部信号证据由硬件验证团队提供</x:v>
      </x:c>
      <x:c r="S74" s="18" t="str">
        <x:v>先检查 ../baremetal 现状和仓库规则，再规划落点并实现；本表不预设目录、模块、Runner 或文件名</x:v>
      </x:c>
      <x:c r="T74" s="18" t="str"/>
    </x:row>
    <x:row r="75" ht="72" customHeight="1">
      <x:c r="A75" s="18" t="str">
        <x:v>SOC-HSM-ERROR-001</x:v>
      </x:c>
      <x:c r="B75" s="18" t="str">
        <x:v>SoC集成用例</x:v>
      </x:c>
      <x:c r="C75" s="18" t="str">
        <x:v>SOC_INTEGRATION</x:v>
      </x:c>
      <x:c r="D75" s="18" t="str">
        <x:v>HSM-ERROR</x:v>
      </x:c>
      <x:c r="E75" s="18" t="str">
        <x:v>软件可构造eHSM错误到SoC寄存器映射</x:v>
      </x:c>
      <x:c r="F75" s="18" t="str">
        <x:v>P0</x:v>
      </x:c>
      <x:c r="G75" s="18" t="str">
        <x:v>MEDIUM</x:v>
      </x:c>
      <x:c r="H75" s="18" t="str">
        <x:v>L3_EMU_INTEGRATION</x:v>
      </x:c>
      <x:c r="I75" s="18" t="str">
        <x:v>WAVE0_DAY0_SMOKE</x:v>
      </x:c>
      <x:c r="J75" s="18" t="str">
        <x:v>../baremetal</x:v>
      </x:c>
      <x:c r="K75" s="18" t="str">
        <x:v>DESIGN_COMPLETE</x:v>
      </x:c>
      <x:c r="L75" s="18" t="str">
        <x:v>MUST_PASS_IF_CAPABLE_OR_INCONCLUSIVE_WITH_OWNER</x:v>
      </x:c>
      <x:c r="M75" s="18" t="str">
        <x:v>NEEDS_EHSM_ERROR_TO_SOC_BIT_MAP</x:v>
      </x:c>
      <x:c r="N75" s="18" t="str">
        <x:v>实现表内8条SoC软件功能用例；按 setup、stimulus、observe、cleanup 组织；channel、权限、错误、reset和IRQ组合放vector，不机械拆case；绑定未冻结时输出INCONCLUSIVE</x:v>
      </x:c>
      <x:c r="O75" s="18" t="str">
        <x:v>NEEDS_EHSM_ERROR_TO_SOC_BIT_MAP; 实施前登记 ../baremetal branch/commit、RTL/eHSM/软件 baseline，以及本用例所需的冻结地址、master_id、Region/权限编码</x:v>
      </x:c>
      <x:c r="P75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75" s="18" t="str">
        <x:v>可构建；可枚举和单独执行；结果为 PASS/FAIL/INCONCLUSIVE；Expected 可追溯；日志含 case ID、baseline、输入/输出摘要和错误码</x:v>
      </x:c>
      <x:c r="R75" s="18" t="str">
        <x:v>至少保留run ID、case/vector ID、baseline、Mailbox提交证据、raw eHSM返回、对象/Flash/counter/状态前后快照和日志哈希；硬件内部信号证据由硬件验证团队提供</x:v>
      </x:c>
      <x:c r="S75" s="18" t="str">
        <x:v>先检查 ../baremetal 现状和仓库规则，再规划落点并实现；本表不预设目录、模块、Runner 或文件名</x:v>
      </x:c>
      <x:c r="T75" s="18" t="str"/>
    </x:row>
    <x:row r="76" ht="72" customHeight="1">
      <x:c r="A76" s="18" t="str">
        <x:v>SOC-RESET-001</x:v>
      </x:c>
      <x:c r="B76" s="18" t="str">
        <x:v>SoC集成用例</x:v>
      </x:c>
      <x:c r="C76" s="18" t="str">
        <x:v>SOC_INTEGRATION</x:v>
      </x:c>
      <x:c r="D76" s="18" t="str">
        <x:v>RESET</x:v>
      </x:c>
      <x:c r="E76" s="18" t="str">
        <x:v>软件可控复位后的安全状态恢复</x:v>
      </x:c>
      <x:c r="F76" s="18" t="str">
        <x:v>P0</x:v>
      </x:c>
      <x:c r="G76" s="18" t="str">
        <x:v>HIGH</x:v>
      </x:c>
      <x:c r="H76" s="18" t="str">
        <x:v>L4_FAULT_RELEASE</x:v>
      </x:c>
      <x:c r="I76" s="18" t="str">
        <x:v>WAVE0_DAY0_SMOKE</x:v>
      </x:c>
      <x:c r="J76" s="18" t="str">
        <x:v>../baremetal</x:v>
      </x:c>
      <x:c r="K76" s="18" t="str">
        <x:v>DESIGN_COMPLETE</x:v>
      </x:c>
      <x:c r="L76" s="18" t="str">
        <x:v>MUST_PASS_IF_CAPABLE_OR_INCONCLUSIVE_WITH_OWNER</x:v>
      </x:c>
      <x:c r="M76" s="18" t="str">
        <x:v>NEEDS_RESET_CONTROL_AND_MATRIX</x:v>
      </x:c>
      <x:c r="N76" s="18" t="str">
        <x:v>实现表内8条SoC软件功能用例；按 setup、stimulus、observe、cleanup 组织；channel、权限、错误、reset和IRQ组合放vector，不机械拆case；绑定未冻结时输出INCONCLUSIVE</x:v>
      </x:c>
      <x:c r="O76" s="18" t="str">
        <x:v>NEEDS_RESET_CONTROL_AND_MATRIX; 实施前登记 ../baremetal branch/commit、RTL/eHSM/软件 baseline，以及本用例所需的冻结地址、master_id、Region/权限编码</x:v>
      </x:c>
      <x:c r="P76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76" s="18" t="str">
        <x:v>可构建；可枚举和单独执行；结果为 PASS/FAIL/INCONCLUSIVE；Expected 可追溯；日志含 case ID、baseline、输入/输出摘要和错误码</x:v>
      </x:c>
      <x:c r="R76" s="18" t="str">
        <x:v>至少保留run ID、case/vector ID、baseline、Mailbox提交证据、raw eHSM返回、对象/Flash/counter/状态前后快照和日志哈希；硬件内部信号证据由硬件验证团队提供</x:v>
      </x:c>
      <x:c r="S76" s="18" t="str">
        <x:v>先检查 ../baremetal 现状和仓库规则，再规划落点并实现；本表不预设目录、模块、Runner 或文件名</x:v>
      </x:c>
      <x:c r="T76" s="18" t="str"/>
    </x:row>
    <x:row r="77" ht="72" customHeight="1">
      <x:c r="A77" s="18" t="str">
        <x:v>SOC-IRQ-001</x:v>
      </x:c>
      <x:c r="B77" s="18" t="str">
        <x:v>SoC集成用例</x:v>
      </x:c>
      <x:c r="C77" s="18" t="str">
        <x:v>SOC_INTEGRATION</x:v>
      </x:c>
      <x:c r="D77" s="18" t="str">
        <x:v>IRQ</x:v>
      </x:c>
      <x:c r="E77" s="18" t="str">
        <x:v>Mailbox/错误IRQ软件功能</x:v>
      </x:c>
      <x:c r="F77" s="18" t="str">
        <x:v>P0</x:v>
      </x:c>
      <x:c r="G77" s="18" t="str">
        <x:v>MEDIUM</x:v>
      </x:c>
      <x:c r="H77" s="18" t="str">
        <x:v>L3_EMU_INTEGRATION</x:v>
      </x:c>
      <x:c r="I77" s="18" t="str">
        <x:v>WAVE0_DAY0_SMOKE</x:v>
      </x:c>
      <x:c r="J77" s="18" t="str">
        <x:v>../baremetal</x:v>
      </x:c>
      <x:c r="K77" s="18" t="str">
        <x:v>DESIGN_COMPLETE</x:v>
      </x:c>
      <x:c r="L77" s="18" t="str">
        <x:v>MUST_PASS_IF_CAPABLE_OR_INCONCLUSIVE_WITH_OWNER</x:v>
      </x:c>
      <x:c r="M77" s="18" t="str">
        <x:v>NEEDS_IRQ_CHANNEL_ERROR_MAP_AND_TEST_PROFILE</x:v>
      </x:c>
      <x:c r="N77" s="18" t="str">
        <x:v>实现表内8条SoC软件功能用例；按 setup、stimulus、observe、cleanup 组织；channel、权限、错误、reset和IRQ组合放vector，不机械拆case；绑定未冻结时输出INCONCLUSIVE</x:v>
      </x:c>
      <x:c r="O77" s="18" t="str">
        <x:v>NEEDS_IRQ_CHANNEL_ERROR_MAP_AND_TEST_PROFILE; 实施前登记 ../baremetal branch/commit、RTL/eHSM/软件 baseline，以及本用例所需的冻结地址、master_id、Region/权限编码</x:v>
      </x:c>
      <x:c r="P77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77" s="18" t="str">
        <x:v>可构建；可枚举和单独执行；结果为 PASS/FAIL/INCONCLUSIVE；Expected 可追溯；日志含 case ID、baseline、输入/输出摘要和错误码</x:v>
      </x:c>
      <x:c r="R77" s="18" t="str">
        <x:v>至少保留run ID、case/vector ID、baseline、Mailbox提交证据、raw eHSM返回、对象/Flash/counter/状态前后快照和日志哈希；硬件内部信号证据由硬件验证团队提供</x:v>
      </x:c>
      <x:c r="S77" s="18" t="str">
        <x:v>先检查 ../baremetal 现状和仓库规则，再规划落点并实现；本表不预设目录、模块、Runner 或文件名</x:v>
      </x:c>
      <x:c r="T77" s="18" t="str"/>
    </x:row>
  </x:sheetData>
  <x:mergeCells>
    <x:mergeCell ref="A1:T1"/>
  </x:mergeCells>
  <x:conditionalFormatting sqref="G4:M77">
    <x:cfRule type="containsText" dxfId="30" priority="1" operator="containsText" text="BLOCK"/>
    <x:cfRule type="containsText" dxfId="31" priority="2" operator="containsText" text="NEEDS"/>
    <x:cfRule type="containsText" dxfId="32" priority="3" operator="containsText" text="READY"/>
    <x:cfRule type="containsText" dxfId="33" priority="4" operator="containsText" text="COMPLETED"/>
    <x:cfRule type="containsText" dxfId="34" priority="5" operator="containsText" text="SUPERSEDED"/>
    <x:cfRule type="containsText" dxfId="35" priority="6" operator="containsText" text="N/A"/>
  </x:conditionalFormatting>
  <x:pageMargins left="0.7" right="0.7" top="0.75" bottom="0.75" header="0.3" footer="0.3"/>
  <x:tableParts count="1">
    <x:tablePart xmlns:r="http://schemas.openxmlformats.org/officeDocument/2006/relationships" r:id="Refc1d8f3f7364c0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34" hidden="0" customWidth="1"/>
    <x:col min="5" max="5" width="34" hidden="0" customWidth="1"/>
    <x:col min="6" max="6" width="24" hidden="0" customWidth="1"/>
    <x:col min="7" max="7" width="30" hidden="0" customWidth="1"/>
  </x:cols>
  <x:sheetData>
    <x:row r="1" ht="30" customHeight="1">
      <x:c r="A1" s="3" t="str">
        <x:v>工作流执行记录</x:v>
      </x:c>
      <x:c r="B1" s="3"/>
      <x:c r="C1" s="3"/>
      <x:c r="D1" s="3"/>
      <x:c r="E1" s="3"/>
      <x:c r="F1" s="3"/>
      <x:c r="G1" s="3"/>
    </x:row>
    <x:row r="3" ht="30" customHeight="1">
      <x:c r="A3" s="10" t="str">
        <x:v>日期</x:v>
      </x:c>
      <x:c r="B3" s="22" t="str">
        <x:v>阶段</x:v>
      </x:c>
      <x:c r="C3" s="22" t="str">
        <x:v>活动</x:v>
      </x:c>
      <x:c r="D3" s="22" t="str">
        <x:v>输入</x:v>
      </x:c>
      <x:c r="E3" s="22" t="str">
        <x:v>输出/结论</x:v>
      </x:c>
      <x:c r="F3" s="22" t="str">
        <x:v>状态</x:v>
      </x:c>
      <x:c r="G3" s="11" t="str">
        <x:v>Evidence/备注</x:v>
      </x:c>
    </x:row>
    <x:row r="4">
      <x:c r="A4" s="19" t="n">
        <x:v>46232</x:v>
      </x:c>
      <x:c r="B4" s="17" t="str">
        <x:v>W1-01</x:v>
      </x:c>
      <x:c r="C4" s="17" t="str">
        <x:v>盘点安全方案工作区和治理规则</x:v>
      </x:c>
      <x:c r="D4" s="17" t="str">
        <x:v>W0 最终决议快照</x:v>
      </x:c>
      <x:c r="E4" s="17" t="str">
        <x:v>确认方案库/实现库/baremetal 边界</x:v>
      </x:c>
      <x:c r="F4" s="17" t="str">
        <x:v>COMPLETED</x:v>
      </x:c>
      <x:c r="G4" s="17" t="str">
        <x:v>WORKFLOW_RECORD.md §2-3</x:v>
      </x:c>
    </x:row>
    <x:row r="5">
      <x:c r="A5" s="23" t="n">
        <x:v>46232</x:v>
      </x:c>
      <x:c r="B5" s="18" t="str">
        <x:v>W1-02</x:v>
      </x:c>
      <x:c r="C5" s="18" t="str">
        <x:v>核查历史测试工作簿</x:v>
      </x:c>
      <x:c r="D5" s="18" t="str">
        <x:v>security-test-matrix.yaml 与 tests/cases</x:v>
      </x:c>
      <x:c r="E5" s="18" t="str">
        <x:v>v0.2 实体已确认存在；本设计包尚需逐项历史对账</x:v>
      </x:c>
      <x:c r="F5" s="18" t="str">
        <x:v>COMPLETED_WITH_GAP</x:v>
      </x:c>
      <x:c r="G5" s="18" t="str">
        <x:v>Q-001</x:v>
      </x:c>
    </x:row>
    <x:row r="6">
      <x:c r="A6" s="23" t="n">
        <x:v>46232</x:v>
      </x:c>
      <x:c r="B6" s="18" t="str">
        <x:v>W1-03</x:v>
      </x:c>
      <x:c r="C6" s="18" t="str">
        <x:v>提取 eHSM Mailbox 命令</x:v>
      </x:c>
      <x:c r="D6" s="18" t="str">
        <x:v>BL/FW/Host mb.h</x:v>
      </x:c>
      <x:c r="E6" s="18" t="str">
        <x:v>目标命令 52；Host-only 18</x:v>
      </x:c>
      <x:c r="F6" s="18" t="str">
        <x:v>COMPLETED</x:v>
      </x:c>
      <x:c r="G6" s="18" t="str">
        <x:v>Mailbox命令清单</x:v>
      </x:c>
    </x:row>
    <x:row r="7">
      <x:c r="A7" s="23" t="n">
        <x:v>46232</x:v>
      </x:c>
      <x:c r="B7" s="18" t="str">
        <x:v>W1-04</x:v>
      </x:c>
      <x:c r="C7" s="18" t="str">
        <x:v>派生每命令固定三类用例</x:v>
      </x:c>
      <x:c r="D7" s="18" t="str">
        <x:v>目标命令清单</x:v>
      </x:c>
      <x:c r="E7" s="18" t="str">
        <x:v>形成156条Mailbox设计用例；后续因重复和实现成本被v0.3.1取代</x:v>
      </x:c>
      <x:c r="F7" s="18" t="str">
        <x:v>SUPERSEDED</x:v>
      </x:c>
      <x:c r="G7" s="18" t="str">
        <x:v>v0.3保留为历史版本</x:v>
      </x:c>
    </x:row>
    <x:row r="8">
      <x:c r="A8" s="23" t="n">
        <x:v>46232</x:v>
      </x:c>
      <x:c r="B8" s="18" t="str">
        <x:v>W1-05</x:v>
      </x:c>
      <x:c r="C8" s="18" t="str">
        <x:v>整理 SoC 安全集成用例</x:v>
      </x:c>
      <x:c r="D8" s="18" t="str">
        <x:v>系统方案/eHSM TRM</x:v>
      </x:c>
      <x:c r="E8" s="18" t="str">
        <x:v>原67条细分SoC用例；由v0.3.2按软件可判定性与硬件验证边界重构</x:v>
      </x:c>
      <x:c r="F8" s="18" t="str">
        <x:v>SUPERSEDED</x:v>
      </x:c>
      <x:c r="G8" s="18" t="str">
        <x:v>v0.3/v0.3.1历史版本</x:v>
      </x:c>
    </x:row>
    <x:row r="9">
      <x:c r="A9" s="23" t="n">
        <x:v>46232</x:v>
      </x:c>
      <x:c r="B9" s="18" t="str">
        <x:v>W1-06</x:v>
      </x:c>
      <x:c r="C9" s="18" t="str">
        <x:v>形成初版Codex移植指导</x:v>
      </x:c>
      <x:c r="D9" s="18" t="str">
        <x:v>v0.3全部规划用例</x:v>
      </x:c>
      <x:c r="E9" s="18" t="str">
        <x:v>按固定三类模型形成指导；由v0.3.1更新</x:v>
      </x:c>
      <x:c r="F9" s="18" t="str">
        <x:v>SUPERSEDED</x:v>
      </x:c>
      <x:c r="G9" s="18" t="str">
        <x:v>v0.3历史记录</x:v>
      </x:c>
    </x:row>
    <x:row r="10">
      <x:c r="A10" s="23" t="n">
        <x:v>46232</x:v>
      </x:c>
      <x:c r="B10" s="18" t="str">
        <x:v>W1-07</x:v>
      </x:c>
      <x:c r="C10" s="18" t="str">
        <x:v>可执行测试移植/执行</x:v>
      </x:c>
      <x:c r="D10" s="18" t="str">
        <x:v>用户明确不在本任务实施</x:v>
      </x:c>
      <x:c r="E10" s="18" t="str">
        <x:v>留给后续 Codex；当前不产生 PASS/FAIL</x:v>
      </x:c>
      <x:c r="F10" s="18" t="str">
        <x:v>OUT_OF_SCOPE</x:v>
      </x:c>
      <x:c r="G10" s="18" t="str">
        <x:v>按用例文档和表格执行</x:v>
      </x:c>
    </x:row>
    <x:row r="11">
      <x:c r="A11" s="23" t="n">
        <x:v>46237</x:v>
      </x:c>
      <x:c r="B11" s="18" t="str">
        <x:v>W1-08</x:v>
      </x:c>
      <x:c r="C11" s="18" t="str">
        <x:v>按风险和共享路径重构用例</x:v>
      </x:c>
      <x:c r="D11" s="18" t="str">
        <x:v>用户对流片前复杂度的第一轮裁决</x:v>
      </x:c>
      <x:c r="E11" s="18" t="str">
        <x:v>形成v0.3.1：82条Mailbox + 67条SoC；后续仍被认为混入Host软件测试且SoC过细</x:v>
      </x:c>
      <x:c r="F11" s="18" t="str">
        <x:v>SUPERSEDED</x:v>
      </x:c>
      <x:c r="G11" s="18" t="str">
        <x:v>v0.3.1保留为历史版本</x:v>
      </x:c>
    </x:row>
    <x:row r="12">
      <x:c r="A12" s="23" t="n">
        <x:v>46237</x:v>
      </x:c>
      <x:c r="B12" s="18" t="str">
        <x:v>W1-09</x:v>
      </x:c>
      <x:c r="C12" s="18" t="str">
        <x:v>按流片前硬件验证目标再次收敛</x:v>
      </x:c>
      <x:c r="D12" s="18" t="str">
        <x:v>用户8点复审：删除Host软件负向、消除Mailbox重复、Firewall两类、HSM/复位/中断转硬件验证、禁止固件定制</x:v>
      </x:c>
      <x:c r="E12" s="18" t="str">
        <x:v>形成v0.3.2：Mailbox BASIC 52 + SoC软件3 = Codex可移植55；另列硬件验证需求8项；后续因错误删除eHSM负向而被修订</x:v>
      </x:c>
      <x:c r="F12" s="18" t="str">
        <x:v>SUPERSEDED</x:v>
      </x:c>
      <x:c r="G12" s="18" t="str">
        <x:v>v0.3.2保留为历史版本</x:v>
      </x:c>
    </x:row>
    <x:row r="13">
      <x:c r="A13" s="23" t="n">
        <x:v>46237</x:v>
      </x:c>
      <x:c r="B13" s="18" t="str">
        <x:v>W1-10</x:v>
      </x:c>
      <x:c r="C13" s="18" t="str">
        <x:v>纠正Host与eHSM测试对象边界</x:v>
      </x:c>
      <x:c r="D13" s="18" t="str">
        <x:v>用户明确：不测Host软件bug，但eHSM软件和硬件都是DUT，错误签名等拒绝路径必须保留</x:v>
      </x:c>
      <x:c r="E13" s="18" t="str">
        <x:v>形成v0.3.3：Mailbox BASIC 52 + eHSM负向14 + SoC软件3 = Codex可移植69；硬件验证需求8项</x:v>
      </x:c>
      <x:c r="F13" s="18" t="str">
        <x:v>COMPLETED</x:v>
      </x:c>
      <x:c r="G13" s="18" t="str">
        <x:v>v0.3.3；eHSM提交证据；Host本地负向0</x:v>
      </x:c>
    </x:row>
    <x:row r="14">
      <x:c r="A14" s="23" t="n">
        <x:v>46237</x:v>
      </x:c>
      <x:c r="B14" s="18" t="str">
        <x:v>W1-11</x:v>
      </x:c>
      <x:c r="C14" s="18" t="str">
        <x:v>复审硬件需求的软件可构造部分</x:v>
      </x:c>
      <x:c r="D14" s="18" t="str">
        <x:v>用户要求：凡可通过软件配置、现有命令、寄存器、reset或IRQ形成闭环的功能均建立软件case</x:v>
      </x:c>
      <x:c r="E14" s="18" t="str">
        <x:v>形成v0.3.4：Mailbox软件66 + SoC软件 8 = Codex可移植 74；8项硬件需求改为关联软件case的内部补充验证</x:v>
      </x:c>
      <x:c r="F14" s="18" t="str">
        <x:v>COMPLETED</x:v>
      </x:c>
      <x:c r="G14" s="18" t="str">
        <x:v>新增SOC-MAILBOX-001/002、SOC-HSM-ERROR-001、SOC-RESET-001、SOC-IRQ-001</x:v>
      </x:c>
    </x:row>
  </x:sheetData>
  <x:mergeCells>
    <x:mergeCell ref="A1:G1"/>
  </x:mergeCells>
  <x:conditionalFormatting sqref="F4:F14">
    <x:cfRule type="containsText" dxfId="36" priority="1" operator="containsText" text="BLOCK"/>
    <x:cfRule type="containsText" dxfId="37" priority="2" operator="containsText" text="NEEDS"/>
    <x:cfRule type="containsText" dxfId="38" priority="3" operator="containsText" text="READY"/>
    <x:cfRule type="containsText" dxfId="39" priority="4" operator="containsText" text="COMPLETED"/>
    <x:cfRule type="containsText" dxfId="40" priority="5" operator="containsText" text="SUPERSEDED"/>
    <x:cfRule type="containsText" dxfId="41" priority="6" operator="containsText" text="N/A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58" hidden="0" customWidth="1"/>
    <x:col min="4" max="4" width="16" hidden="0" customWidth="1"/>
    <x:col min="5" max="5" width="42" hidden="0" customWidth="1"/>
    <x:col min="6" max="6" width="28" hidden="0" customWidth="1"/>
  </x:cols>
  <x:sheetData>
    <x:row r="1" ht="30" customHeight="1">
      <x:c r="A1" s="3" t="str">
        <x:v>待确认项与移植阶段输入</x:v>
      </x:c>
      <x:c r="B1" s="3"/>
      <x:c r="C1" s="3"/>
      <x:c r="D1" s="3"/>
      <x:c r="E1" s="3"/>
      <x:c r="F1" s="3"/>
    </x:row>
    <x:row r="3" ht="30" customHeight="1">
      <x:c r="A3" s="10" t="str">
        <x:v>ID</x:v>
      </x:c>
      <x:c r="B3" s="22" t="str">
        <x:v>主题</x:v>
      </x:c>
      <x:c r="C3" s="22" t="str">
        <x:v>问题</x:v>
      </x:c>
      <x:c r="D3" s="22" t="str">
        <x:v>级别</x:v>
      </x:c>
      <x:c r="E3" s="22" t="str">
        <x:v>解除条件/动作</x:v>
      </x:c>
      <x:c r="F3" s="11" t="str">
        <x:v>Owner/答复</x:v>
      </x:c>
    </x:row>
    <x:row r="4" ht="48" customHeight="1">
      <x:c r="A4" s="17" t="str">
        <x:v>Q-001</x:v>
      </x:c>
      <x:c r="B4" s="17" t="str">
        <x:v>代码仓基线</x:v>
      </x:c>
      <x:c r="C4" s="17" t="str">
        <x:v>实施时 ../baremetal 的 branch、只读 baseline commit 和已有修改归属是什么？</x:v>
      </x:c>
      <x:c r="D4" s="17" t="str">
        <x:v>PORTING_INPUT</x:v>
      </x:c>
      <x:c r="E4" s="17" t="str">
        <x:v>Codex 开始写代码前登记；本任务不实施移植</x:v>
      </x:c>
      <x:c r="F4" s="17" t="str"/>
    </x:row>
    <x:row r="5" ht="48" customHeight="1">
      <x:c r="A5" s="18" t="str">
        <x:v>Q-002</x:v>
      </x:c>
      <x:c r="B5" s="18" t="str">
        <x:v>Mailbox/状态映射</x:v>
      </x:c>
      <x:c r="C5" s="18" t="str">
        <x:v>Vendor direct 16×4KiB aperture 及 o_hsm_status/o_hsm_err_hw/o_hsm_err_fw 的准确 SoC 地址、宽度和读取顺序是什么？</x:v>
      </x:c>
      <x:c r="D5" s="18" t="str">
        <x:v>PORTING_BLOCKER</x:v>
      </x:c>
      <x:c r="E5" s="18" t="str">
        <x:v>由 SRC-0022/RTL 生成头文件冻结；不得使用Vendor示例地址代替</x:v>
      </x:c>
      <x:c r="F5" s="18" t="str"/>
    </x:row>
    <x:row r="6" ht="48" customHeight="1">
      <x:c r="A6" s="18" t="str">
        <x:v>Q-003</x:v>
      </x:c>
      <x:c r="B6" s="18" t="str">
        <x:v>Firewall配置权限</x:v>
      </x:c>
      <x:c r="C6" s="18" t="str">
        <x:v>C908和非安全管理核的master_id、Firewall配置寄存器地址/默认值是什么？</x:v>
      </x:c>
      <x:c r="D6" s="18" t="str">
        <x:v>PORTING_BLOCKER</x:v>
      </x:c>
      <x:c r="E6" s="18" t="str">
        <x:v>保持“C908可配置、非安全管理核不可配置”的边界；由RTL提供精确绑定</x:v>
      </x:c>
      <x:c r="F6" s="18" t="str"/>
    </x:row>
    <x:row r="7" ht="48" customHeight="1">
      <x:c r="A7" s="18" t="str">
        <x:v>Q-004</x:v>
      </x:c>
      <x:c r="B7" s="18" t="str">
        <x:v>SRAM隔离</x:v>
      </x:c>
      <x:c r="C7" s="18" t="str">
        <x:v>SRAM Region地址、粒度、权限编码、授权/未授权master_id和非法访问response是什么？</x:v>
      </x:c>
      <x:c r="D7" s="18" t="str">
        <x:v>PORTING_BLOCKER</x:v>
      </x:c>
      <x:c r="E7" s="18" t="str">
        <x:v>冻结SOC-FIREWALL-002的vector和Expected</x:v>
      </x:c>
      <x:c r="F7" s="18" t="str"/>
    </x:row>
    <x:row r="8" ht="48" customHeight="1">
      <x:c r="A8" s="18" t="str">
        <x:v>Q-005</x:v>
      </x:c>
      <x:c r="B8" s="18" t="str">
        <x:v>错误构造</x:v>
      </x:c>
      <x:c r="C8" s="18" t="str">
        <x:v>哪些现有Vendor公开命令会映射到o_hsm_err_fw/status的哪些bit？哪些err_hw只能由fault injection构造？</x:v>
      </x:c>
      <x:c r="D8" s="18" t="str">
        <x:v>SOC_AND_HW_INPUT</x:v>
      </x:c>
      <x:c r="E8" s="18" t="str">
        <x:v>冻结SOC-HSM-ERROR-001可软件化vector及HW-HSM剩余fault injection；禁止固件钩子</x:v>
      </x:c>
      <x:c r="F8" s="18" t="str"/>
    </x:row>
    <x:row r="9" ht="48" customHeight="1">
      <x:c r="A9" s="18" t="str">
        <x:v>Q-006</x:v>
      </x:c>
      <x:c r="B9" s="18" t="str">
        <x:v>复位</x:v>
      </x:c>
      <x:c r="C9" s="18" t="str">
        <x:v>软件可调用的eHSM/warm reset控制、测试重入机制及Mailbox/Firewall/status/error reset matrix是什么？</x:v>
      </x:c>
      <x:c r="D9" s="18" t="str">
        <x:v>SOC_AND_HW_INPUT</x:v>
      </x:c>
      <x:c r="E9" s="18" t="str">
        <x:v>冻结SOC-RESET-001；精确相位/power reset继续由HW-RST-001补充</x:v>
      </x:c>
      <x:c r="F9" s="18" t="str"/>
    </x:row>
    <x:row r="10" ht="48" customHeight="1">
      <x:c r="A10" s="18" t="str">
        <x:v>Q-007</x:v>
      </x:c>
      <x:c r="B10" s="18" t="str">
        <x:v>中断</x:v>
      </x:c>
      <x:c r="C10" s="18" t="str">
        <x:v>16路Mailbox IRQ和错误IRQ的channel/source、APLIC、mask、clear映射及测试Profile是什么？</x:v>
      </x:c>
      <x:c r="D10" s="18" t="str">
        <x:v>SOC_AND_HW_INPUT</x:v>
      </x:c>
      <x:c r="E10" s="18" t="str">
        <x:v>冻结SOC-IRQ-001；产品首版可继续poll，硬件仍补充pulse/CDC/并发</x:v>
      </x:c>
      <x:c r="F10" s="18" t="str"/>
    </x:row>
    <x:row r="11" ht="48" customHeight="1">
      <x:c r="A11" s="18" t="str">
        <x:v>Q-008</x:v>
      </x:c>
      <x:c r="B11" s="18" t="str">
        <x:v>命令profile</x:v>
      </x:c>
      <x:c r="C11" s="18" t="str">
        <x:v>Host头文件独有候选18条中哪些属于NGU800P交付？</x:v>
      </x:c>
      <x:c r="D11" s="18" t="str">
        <x:v>SCOPE_CONFIRMATION</x:v>
      </x:c>
      <x:c r="E11" s="18" t="str">
        <x:v>当前不生成case；确认后另行评审是否纳入BASIC</x:v>
      </x:c>
      <x:c r="F11" s="18" t="str"/>
    </x:row>
    <x:row r="12" ht="48" customHeight="1">
      <x:c r="A12" s="18" t="str">
        <x:v>Q-009</x:v>
      </x:c>
      <x:c r="B12" s="18" t="str">
        <x:v>验证责任</x:v>
      </x:c>
      <x:c r="C12" s="18" t="str">
        <x:v>8项软件功能case对应的硬件补充验证Owner、环境、回归入口和Evidence存储位置是什么？</x:v>
      </x:c>
      <x:c r="D12" s="18" t="str">
        <x:v>GOVERNANCE_INPUT</x:v>
      </x:c>
      <x:c r="E12" s="18" t="str">
        <x:v>软件Evidence与RTL/DV补充Evidence分别登记并关联</x:v>
      </x:c>
      <x:c r="F12" s="18" t="str"/>
    </x:row>
    <x:row r="13" ht="48" customHeight="1">
      <x:c r="A13" s="18" t="str">
        <x:v>Q-010</x:v>
      </x:c>
      <x:c r="B13" s="18" t="str">
        <x:v>验签/升级Oracle</x:v>
      </x:c>
      <x:c r="C13" s="18" t="str">
        <x:v>BL_VERIFY_IMAGE、SOC_VERIFY、BL/FW_UPGRADE各类错误签名/摘要/counter的批准raw错误码和无副作用检查项是什么？</x:v>
      </x:c>
      <x:c r="D13" s="18" t="str">
        <x:v>EHSM_NEGATIVE_INPUT</x:v>
      </x:c>
      <x:c r="E13" s="18" t="str">
        <x:v>Vendor TRM/实际基线冻结raw码、Flash/counter/release判据</x:v>
      </x:c>
      <x:c r="F13" s="18" t="str"/>
    </x:row>
    <x:row r="14" ht="48" customHeight="1">
      <x:c r="A14" s="18" t="str">
        <x:v>Q-011</x:v>
      </x:c>
      <x:c r="B14" s="18" t="str">
        <x:v>AEAD失败输出</x:v>
      </x:c>
      <x:c r="C14" s="18" t="str">
        <x:v>Tag验证失败时eHSM是否保证输出buffer不写入/清零，还是仅以verify_result=false禁止上层使用？</x:v>
      </x:c>
      <x:c r="D14" s="18" t="str">
        <x:v>EHSM_NEGATIVE_INPUT</x:v>
      </x:c>
      <x:c r="E14" s="18" t="str">
        <x:v>冻结明文发布与buffer判据；未冻结前该子判据INCONCLUSIVE</x:v>
      </x:c>
      <x:c r="F14" s="18" t="str"/>
    </x:row>
    <x:row r="15" ht="48" customHeight="1">
      <x:c r="A15" s="18" t="str">
        <x:v>Q-012</x:v>
      </x:c>
      <x:c r="B15" s="18" t="str">
        <x:v>Key策略</x:v>
      </x:c>
      <x:c r="C15" s="18" t="str">
        <x:v>可导出属性、usage、Owner、无效handle及Key对象查询/清理合同是什么？</x:v>
      </x:c>
      <x:c r="D15" s="18" t="str">
        <x:v>EHSM_NEGATIVE_INPUT</x:v>
      </x:c>
      <x:c r="E15" s="18" t="str">
        <x:v>冻结EHSM-NEG-KEY用例的fixture和Expected</x:v>
      </x:c>
      <x:c r="F15" s="18" t="str"/>
    </x:row>
    <x:row r="16" ht="48" customHeight="1">
      <x:c r="A16" s="18" t="str">
        <x:v>Q-013</x:v>
      </x:c>
      <x:c r="B16" s="18" t="str">
        <x:v>OTP/LCS</x:v>
      </x:c>
      <x:c r="C16" s="18" t="str">
        <x:v>OTP对象范围/保护属性以及Lifecycle/Control允许转换矩阵是什么？</x:v>
      </x:c>
      <x:c r="D16" s="18" t="str">
        <x:v>EHSM_NEGATIVE_INPUT</x:v>
      </x:c>
      <x:c r="E16" s="18" t="str">
        <x:v>冻结专用fixture、读取方法和不可逆资源处置</x:v>
      </x:c>
      <x:c r="F16" s="18" t="str"/>
    </x:row>
    <x:row r="17" ht="48" customHeight="1">
      <x:c r="A17" s="18" t="str">
        <x:v>Q-014</x:v>
      </x:c>
      <x:c r="B17" s="18" t="str">
        <x:v>Raw请求构造</x:v>
      </x:c>
      <x:c r="C17" s="18" t="str">
        <x:v>baremetal中可复用哪一层按现有Mailbox ABI提交未支持command/保留枚举/非法长度，同时证明请求已到达eHSM？</x:v>
      </x:c>
      <x:c r="D17" s="18" t="str">
        <x:v>PORTING_INPUT</x:v>
      </x:c>
      <x:c r="E17" s="18" t="str">
        <x:v>仅建立隔离测试组包层；不得修改eHSM固件或产品Adapter</x:v>
      </x:c>
      <x:c r="F17" s="18" t="str"/>
    </x:row>
  </x:sheetData>
  <x:mergeCells>
    <x:mergeCell ref="A1:F1"/>
  </x:mergeCells>
  <x:conditionalFormatting sqref="D4:D17">
    <x:cfRule type="containsText" dxfId="42" priority="1" operator="containsText" text="BLOCK"/>
    <x:cfRule type="containsText" dxfId="43" priority="2" operator="containsText" text="NEEDS"/>
    <x:cfRule type="containsText" dxfId="44" priority="3" operator="containsText" text="READY"/>
    <x:cfRule type="containsText" dxfId="45" priority="4" operator="containsText" text="COMPLETED"/>
    <x:cfRule type="containsText" dxfId="46" priority="5" operator="containsText" text="SUPERSEDED"/>
    <x:cfRule type="containsText" dxfId="47" priority="6" operator="containsText" text="N/A"/>
  </x:conditionalFormatting>
  <x:pageMargins left="0.7" right="0.7" top="0.75" bottom="0.75" header="0.3" footer="0.3"/>
</x:worksheet>
</file>