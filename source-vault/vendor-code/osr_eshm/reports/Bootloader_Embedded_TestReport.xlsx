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r\Desktop\"/>
    </mc:Choice>
  </mc:AlternateContent>
  <bookViews>
    <workbookView xWindow="0" yWindow="0" windowWidth="28800" windowHeight="10155" activeTab="1"/>
  </bookViews>
  <sheets>
    <sheet name="Summary" sheetId="1" r:id="rId1"/>
    <sheet name="TestCases" sheetId="2" r:id="rId2"/>
  </sheets>
  <calcPr calcId="152511"/>
</workbook>
</file>

<file path=xl/calcChain.xml><?xml version="1.0" encoding="utf-8"?>
<calcChain xmlns="http://schemas.openxmlformats.org/spreadsheetml/2006/main">
  <c r="I10" i="1" l="1"/>
  <c r="H10" i="1"/>
  <c r="G10" i="1"/>
  <c r="F10" i="1"/>
  <c r="E10" i="1"/>
</calcChain>
</file>

<file path=xl/sharedStrings.xml><?xml version="1.0" encoding="utf-8"?>
<sst xmlns="http://schemas.openxmlformats.org/spreadsheetml/2006/main" count="4073" uniqueCount="1732">
  <si>
    <t>ehsm_bl Embedded Test Report</t>
  </si>
  <si>
    <t>Test date</t>
  </si>
  <si>
    <t>2026/06/29 20:52:32</t>
  </si>
  <si>
    <t>Test purpose</t>
  </si>
  <si>
    <t>pytest自动化测试报告 - ehsm_bl</t>
  </si>
  <si>
    <t>Test Report made by</t>
  </si>
  <si>
    <t>System setup</t>
  </si>
  <si>
    <t>Software version</t>
  </si>
  <si>
    <t>No</t>
  </si>
  <si>
    <t>Tested Items</t>
  </si>
  <si>
    <t>Tester</t>
  </si>
  <si>
    <t>Test Sheet</t>
  </si>
  <si>
    <t>PASS</t>
  </si>
  <si>
    <t>FAIL</t>
  </si>
  <si>
    <t>UNTEST</t>
  </si>
  <si>
    <t>SKIP</t>
  </si>
  <si>
    <t>Summary</t>
  </si>
  <si>
    <t>Comment</t>
  </si>
  <si>
    <t>1</t>
  </si>
  <si>
    <t>Check the functions of ehsm_bl.</t>
  </si>
  <si>
    <t>TestCases</t>
  </si>
  <si>
    <t>history</t>
  </si>
  <si>
    <t>分类</t>
  </si>
  <si>
    <t>测试用例ID</t>
  </si>
  <si>
    <t>前置条件和配置</t>
  </si>
  <si>
    <t>用例目的</t>
  </si>
  <si>
    <t>测试步骤</t>
  </si>
  <si>
    <t>预期结果</t>
  </si>
  <si>
    <t>测试脚本</t>
  </si>
  <si>
    <t>测试结果</t>
  </si>
  <si>
    <t>是否选择</t>
  </si>
  <si>
    <t>执行日期</t>
  </si>
  <si>
    <t>备注</t>
  </si>
  <si>
    <t>baud</t>
  </si>
  <si>
    <t>EHSM-105</t>
  </si>
  <si>
    <t>无特殊前置条件</t>
  </si>
  <si>
    <t>在Test模式下，测试baudrate设置功能</t>
  </si>
  <si>
    <t>1、配置生命周期为Test模式；并重启生效；
2、打开串口工具：设置端口号为COM12 USB Serial Port 波特率为38400；
3、设置波特率为cfg_data.TEST_CPU_FREQ_HZ / 38400；
4、检查下位机串口工具打印的日志；
5、检查配置baudrate后寄存器写入的值；</t>
  </si>
  <si>
    <t>1、生命周期配置成功；
2、设置成功；
3、设置成功；
4、下位机串口工具日志打印：set baudrate 38400；
5、UART_BRR中的值为：cfg_data.TEST_CPU_FREQ_HZ / 38400；</t>
  </si>
  <si>
    <t>test_baud.py::test_ehsm_105</t>
  </si>
  <si>
    <t>YES</t>
  </si>
  <si>
    <t>2026/06/30</t>
  </si>
  <si>
    <t>EHSM-106</t>
  </si>
  <si>
    <t>在Dev模式下，测试baudrate设置功能</t>
  </si>
  <si>
    <t>1、配置生命周期为Dev模式；并重启生效；
2、打开串口工具：设置端口号为COM12 USB Serial Port 波特率为56000；
3、设置波特率为cfg_data.TEST_CPU_FREQ_HZ / 56000；
4、检查下位机串口工具打印的日志；
5、检查配置baudrate后寄存器写入的值；</t>
  </si>
  <si>
    <t>1、生命周期配置成功；
2、设置成功；
3、设置成功；
4、下位机串口工具日志打印：set baudrate 56000；
5、UART_BRR中的值为：cfg_data.TEST_CPU_FREQ_HZ / 56000；</t>
  </si>
  <si>
    <t>test_baud.py::test_ehsm_106</t>
  </si>
  <si>
    <t>EHSM-107</t>
  </si>
  <si>
    <t>在Manu模式下，测试baudrate设置功能</t>
  </si>
  <si>
    <t>1、配置生命周期为Manu模式；并重启生效；
2、打开串口工具：设置端口号为COM12 USB Serial Port 波特率为230400；
3、设置波特率为cfg_data.TEST_CPU_FREQ_HZ / 230400；
4、检查下位机串口工具打印的日志；
5、检查配置baudrate后寄存器写入的值；</t>
  </si>
  <si>
    <t>1、生命周期配置成功；
2、设置成功；
3、设置成功；
4、下位机串口工具日志打印：set baudrate 230400；
5、UART_BRR中的值为：cfg_data.TEST_CPU_FREQ_HZ / 230400；</t>
  </si>
  <si>
    <t>test_baud.py::test_ehsm_107</t>
  </si>
  <si>
    <t>EHSM-108</t>
  </si>
  <si>
    <t>在User模式下，测试baudrate设置功能</t>
  </si>
  <si>
    <t>1、配置生命周期为User模式；并重启生效；
2、打开串口工具： 设置端口号为COM12 USB Serial Port 波特率为115200；
3、设置波特率为cfg_data.TEST_CPU_FREQ_HZ / 115200；
4、检查下位机串口工具打印的日志；
5、检查配置baudrate后寄存器写入的值；</t>
  </si>
  <si>
    <t>1、生命周期配置成功；
2、设置成功；
3、设置成功；
4、下位机串口工具日志打印：set baudrate 115200；
5、UART_BRR中的值为：cfg_data.TEST_CPU_FREQ_HZ / 115200；</t>
  </si>
  <si>
    <t>test_baud.py::test_ehsm_108</t>
  </si>
  <si>
    <t>EHSM-109</t>
  </si>
  <si>
    <t>在Debug模式下，测试baudrate设置功能</t>
  </si>
  <si>
    <t>1、配置生命周期为Debug模式；并重启生效；
2、打开串口工具：设置端口号为COM12 USB Serial Port 波特率为128000；
3、设置波特率为cfg_data.TEST_CPU_FREQ_HZ / 128000；
4、检查下位机串口工具打印的日志；
5、检查配置baudrate后寄存器写入的值；</t>
  </si>
  <si>
    <t>1、生命周期配置成功；
2、设置成功；
3、设置成功；
4、下位机串口工具日志打印：set baudrate 128000；
5、UART_BRR中的值为：cfg_data.TEST_CPU_FREQ_HZ / 128000；</t>
  </si>
  <si>
    <t>test_baud.py::test_ehsm_109</t>
  </si>
  <si>
    <t>EHSM-1181</t>
  </si>
  <si>
    <t>验证Bootloader的watchdog配置level=5后是否能在配置值生效</t>
  </si>
  <si>
    <t>1、设置看门狗level等于5，复位；
2、上位机发送死循环命令；
3、上位机端持续读取watch dog error 位，检测到返回1；</t>
  </si>
  <si>
    <t>1、设置成功；
2、发送成功；
3、读取成功，数据正确；</t>
  </si>
  <si>
    <t>test_baud.py::test_ehsm_1181</t>
  </si>
  <si>
    <t>EHSM-1261</t>
  </si>
  <si>
    <t>验证Bootloader的watchdog配置level=3后是否能在配置值生效</t>
  </si>
  <si>
    <t>1、设置看门狗level等于3，复位；
2、上位机发送死循环命令；
3、上位机端持续读取watch dog error 位，检测到返回1；</t>
  </si>
  <si>
    <t>test_baud.py::test_ehsm_1261</t>
  </si>
  <si>
    <t>EHSM-1262</t>
  </si>
  <si>
    <t>验证Bootloader的watchdog开关3</t>
  </si>
  <si>
    <t>1、设置看门狗关闭状态，关闭看门狗；
2、上位机发送死循环命令；
3、上位机端读取watch dog error 位；</t>
  </si>
  <si>
    <t>test_baud.py::test_ehsm_1262</t>
  </si>
  <si>
    <t>EHSM-1263</t>
  </si>
  <si>
    <t>验证Bootloader的watchdog配置level=4后是否能在配置值生效</t>
  </si>
  <si>
    <t>1、设置看门狗level等于4，复位；
2、上位机发送死循环命令；
3、上位机端持续读取watch dog error 位，检测到返回1；</t>
  </si>
  <si>
    <t>test_baud.py::test_ehsm_1263</t>
  </si>
  <si>
    <t>EHSM-922</t>
  </si>
  <si>
    <t>验证Bootloader的log开关功能，正常打开关闭</t>
  </si>
  <si>
    <t>1、配置生命周期为TEST模式，开启OTP LOG功能；并重启生效；
2、打开串口工具：设置端口号为COMx USB Serial Port 波特率为115200；
3、检查对应寄存器配置值是否和预期一致；
4、观察串口日志；
5、配置生命周期为TEST模式，关闭OTP LOG功能；并重启生效；
6、检查对应寄存器配置值是否和预期不一致；</t>
  </si>
  <si>
    <t>1、 设置成功，重启成功，配置成功；
2、设置成功；
3、配置一致；
4、执行成功；
5、配置成功；
6、配置不一致；</t>
  </si>
  <si>
    <t>test_baud.py::test_ehsm_922</t>
  </si>
  <si>
    <t>EHSM-923</t>
  </si>
  <si>
    <t>验证Bootloader的watchdog开关和等级配置功能，正常打开关闭、并配置级别</t>
  </si>
  <si>
    <t>1、配置OTP生命周期为TEST模式，关闭Watchdog功能；并重启生效；上位机置断点；
2、读取对应寄存器值与预期进行比较；
3、配置OTP生命周期为TEST模式，设置Watchdog level 为1；并重启生效；上位机置断点；
4、读取对应寄存器值与预期进行比较；
5、配置OTP生命周期为TEST模式，设置Watchdog level 为15；并重启生效；上位机置断点；
6、读取对应寄存器值与预期进行比较；</t>
  </si>
  <si>
    <t>1、配置成功；
2、读取成功，数据正确；
3、 配置成功；
4、读取成功，数据正确；
5、配置成功；
6、读取成功，数据正确；</t>
  </si>
  <si>
    <t>test_baud.py::test_ehsm_923</t>
  </si>
  <si>
    <t>debugauth</t>
  </si>
  <si>
    <t>EHSM-81</t>
  </si>
  <si>
    <t>在Test 模式下，使用 SHA256-SECP256R1 算法方式，测试 eHSM 类型的正常鉴权过程</t>
  </si>
  <si>
    <t>1、配置OTP 生命周期Test模式，调试鉴权算法密钥eHSM Debug Key配置SHA256-SECP256R1预置值公钥hash和对应属性，其它默认；
2、重启eHSM，并检查启动状态；
3、使用 get_challenge 接口，获取挑战字；
4、对比获取的challenge 中UID 和默认UID，观察是否一致；
5、调用上层接口对挑战字进行hash计算，ECC算法使用预置ecc 私钥，计算签名；
6、将签名好的数据和公钥传入 debug_auth 接口，进行鉴权；</t>
  </si>
  <si>
    <t>1、配置成功；
2、重启检查状态成功；
3、获取挑战字成功；
4、读取成功，数据正确；
5、计算成功；
6、发送成功，检查鉴权状态成功；</t>
  </si>
  <si>
    <t>test_debug_auth.py::test_ehsm_81</t>
  </si>
  <si>
    <t>EHSM-82</t>
  </si>
  <si>
    <t>在Test 模式下，使用 SM3-SM2 算法方式，测试 eHSM 类型的正常鉴权过程</t>
  </si>
  <si>
    <t>1、配置OTP 生命周期Test模式，调试鉴权算法密钥eHSM Debug Key配置SM3算法预置值公钥hash和对应属性，其它默认；
2、重启eHSM，并检查启动状态；
3、使用 get_challenge 接口，获取挑战字；
4、调用上层接口对挑战字进行SM3计算，SM2算法使用预置SM2公私钥，计算签名；
5、将签名好的数据和公钥传入 debug_auth 接口，进行鉴权；</t>
  </si>
  <si>
    <t>1、配置成功；
2、重启检查状态成功；
3、获取挑战字成功；
4、签名成功；
5、鉴权成功；检查鉴权状态成功；</t>
  </si>
  <si>
    <t>test_debug_auth.py::test_ehsm_82</t>
  </si>
  <si>
    <t>EHSM-83</t>
  </si>
  <si>
    <t>在Test 模式下，使用 SHA256-RSA2048 算法方式，测试 eHSM 类型的正常鉴权过程</t>
  </si>
  <si>
    <t>1、配置OTP 生命周期Test模式，调试鉴权算法密钥eHSM Debug Key配置RSA2048预置值公钥hash和对应属性，其它默认；
2、重启eHSM，并检查启动状态；
3、使用 get_challenge 接口，获取挑战字；
4、调用上层接口对挑战字进行hash计算，RSA4096算法使用预置rsa 私钥，计算签名；
5、将签名好的数据和公钥传入 debug_auth 接口，进行鉴权；</t>
  </si>
  <si>
    <t>1、配置成功；
2、重启检查状态成功；
3、获取挑战字成功；
4、计算成功；
5、鉴权成功；</t>
  </si>
  <si>
    <t>test_debug_auth.py::test_ehsm_83</t>
  </si>
  <si>
    <t>EHSM-5001</t>
  </si>
  <si>
    <t>在Test 模式下，使用 SHA256-RSA3072 算法方式，测试 eHSM 类型的正常鉴权过程</t>
  </si>
  <si>
    <t>1、配置OTP 生命周期Test模式，调试鉴权算法密钥eHSM Debug Key配置RSA3072预置值公钥hash和对应属性，其它默认；
2、重启eHSM，并检查启动状态；
3、使用 get_challenge 接口，获取挑战字；
4、调用上层接口对挑战字进行hash计算，RSA4096算法使用预置rsa 私钥，计算签名；
5、将签名好的数据和公钥传入 debug_auth 接口，进行鉴权；</t>
  </si>
  <si>
    <t>test_debug_auth.py::test_ehsm_5001</t>
  </si>
  <si>
    <t>EHSM-84</t>
  </si>
  <si>
    <t>在Test 模式下，使用 AES-CMAC 算法方式，测试 eHSM 类型的正常鉴权过程</t>
  </si>
  <si>
    <t>1、配置OTP 生命周期Test模式，调试鉴权算法密钥eHSM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</si>
  <si>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1、配置成功；
2、重启检查状态成功；
3、获取挑战字成功；
4、签名成功；
5、发送成功；</t>
  </si>
  <si>
    <t>test_debug_auth.py::test_ehsm_84</t>
  </si>
  <si>
    <t>EHSM-85</t>
  </si>
  <si>
    <t>在Test 模式下，使用 SM4-CMAC 算法方式，测试 eHSM 类型的正常鉴权过程</t>
  </si>
  <si>
    <t>1、配置OTP 生命周期Test模式，调试鉴权算法密钥eHSM Debug Key配置SM4-128-CBC算法密钥预置值和对应属性，其它默认；
2、重启eHSM，并检查启动状态；
3、使用 get_challenge 接口，获取挑战字；
4、调用上层接口对挑战字进行CBC计算，SM4-128-CBC算法使用预置密钥钥，计算CBC；
5、在鉴权之前获取ehsm_dbg_en 和寄存器状态，并获取寄存器值；
6、将计算好的CBC和公钥传入 debug_auth 接口，进行鉴权；
7、在鉴权之后获取ehsm_dbg_en 和寄存器状态，并获取寄存器值；</t>
  </si>
  <si>
    <t>1、配置成功；
2、重启检查状态成功；
3、获取挑战字成功；
4、计算成功；
5、读取成功，数据正确；
6、发送成功；
7、读取成功，数据正确；</t>
  </si>
  <si>
    <t>test_debug_auth.py::test_ehsm_85</t>
  </si>
  <si>
    <t>EHSM-86</t>
  </si>
  <si>
    <t>在User 模式下，使用 SM4-CMAC 算法方式，测试 eHSM 类型的鉴权过程(不支持USER模式)</t>
  </si>
  <si>
    <t>1、配置OTP 生命周期USER模式，调试鉴权算法密钥eHSM Debug Key配置SM4 CMAC预置密钥和对应属性，其它默认；
2、重启eHSM，并检查启动状态；
3、使用 get_challenge 接口，获取挑战字；
4、调用上层SM4算法签名接口，使用预置OTP私钥，对挑战字进行签名计算；
5、在鉴权之前获取ehsm_dbg_en 状态，检查寄存器状态和寄存器值；
6、将签名好的数据和公钥传入 debug_auth 接口，进行鉴权；
7、在鉴权后获取ehsm_dbg_en 状态，检查寄存器状态和寄存器值；</t>
  </si>
  <si>
    <t>1、配置成功；
2、重启检查状态成功；
3、获取挑战字失败，生命周期受限；
4、计算成功；
5、读取成功，数据正确；
6、发送成功，鉴权失败，生命周期受限；
7、读取成功，没有鉴权；</t>
  </si>
  <si>
    <t>test_debug_auth.py::test_ehsm_86</t>
  </si>
  <si>
    <t>EHSM-87</t>
  </si>
  <si>
    <t>在user 模式下，使用 SHA256-SECP256R1 算法方式，测试 SOC 类型的正常鉴权过程</t>
  </si>
  <si>
    <t>1、配置OTP 生命周期user模式，调试鉴权算法密钥SOC Debug Key配置SHA256-SECP256R1预置值公钥hash和对应属性，其它默认；
2、重启eHSM，并检查启动状态；
3、使用 get_challenge 接口，获取挑战字；
4、调用上层接口对挑战字进行hash计算，ECC算法使用预置ecc 私钥，计算签名；
5、将签名好的数据和公钥传入 debug_auth 接口，进行鉴权；</t>
  </si>
  <si>
    <t>1、配置成功；
2、重启检查状态成功；
3、获取挑战字成功；
4、签名成功；
5、鉴权成功；</t>
  </si>
  <si>
    <t>test_debug_auth.py::test_ehsm_87</t>
  </si>
  <si>
    <t>EHSM-88</t>
  </si>
  <si>
    <t>在user 模式下，使用 SM3-SM2 算法方式，测试 SOC 类型的正常鉴权过程</t>
  </si>
  <si>
    <t>1、配置OTP 生命周期user模式，调试鉴权算法密钥SOC Debug Key配置SM3算法预置值公钥hash和对应属性，其它默认；
2、重启eHSM，并检查启动状态；
3、使用 get_challenge 接口，获取挑战字；
4、调用上层接口对挑战字进行SM3计算，SM2算法使用预置SM2公私钥，计算签名；
5、将签名好的数据和公钥传入 debug_auth 接口，进行鉴权；</t>
  </si>
  <si>
    <t>test_debug_auth.py::test_ehsm_88</t>
  </si>
  <si>
    <t>EHSM-89</t>
  </si>
  <si>
    <t>在user模式下，使用 SHA256-RSA2048 算法方式，测试 SOC 类型的正常鉴权过程</t>
  </si>
  <si>
    <t>1、配置OTP 生命周期user模式，调试鉴权算法密钥SOC Debug Key配置RSA2048预置值公钥hash和对应属性，其它默认；
2、重启eHSM，并检查启动状态；
3、使用 get_challenge 接口，获取挑战字；
4、调用上层接口对挑战字进行hash计算，RSA2048算法使用预置RSA 私钥，计算签名；
5、将签名好的数据和公钥传入 debug_auth 接口，进行鉴权；</t>
  </si>
  <si>
    <t>test_debug_auth.py::test_ehsm_89</t>
  </si>
  <si>
    <t>在user模式下，使用 SHA256-RSA3072 算法方式，测试 SOC 类型的正常鉴权过程</t>
  </si>
  <si>
    <t>1、配置OTP 生命周期user模式，调试鉴权算法密钥SOC Debug Key配置RSA3072预置值公钥hash和对应属性，其它默认；
2、重启eHSM，并检查启动状态；
3、使用 get_challenge 接口，获取挑战字；
4、调用上层接口对挑战字进行hash计算，RSA3072算法使用预置RSA 私钥，计算签名；
5、将签名好的数据和公钥传入 debug_auth 接口，进行鉴权；</t>
  </si>
  <si>
    <t>test_debug_auth.py::test_ehsm_5002</t>
  </si>
  <si>
    <t>EHSM-90</t>
  </si>
  <si>
    <t>在user 模式下，使用 AES-CMAC 算法方式，测试 SOC 类型的正常鉴权过程</t>
  </si>
  <si>
    <t>1、配置OTP 生命周期user模式，调试鉴权算法密钥SOC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5、在鉴权之前获取 soc_dbg_en状态，寄存器状态和取值是否符合预期；
6、将计算好的CBC和公钥传入 debug_auth 接口，进行鉴权；
7、在鉴权之后获取 soc_dbg_en状态，寄存器状态和取值是否符合预期；
8、检查soc_dbg 128bit位是否符合鉴权预期；</t>
  </si>
  <si>
    <t>1、配置成功；
2、重启检查状态成功；
3、获取挑战字成功；
4、签名成功；
5、读取成功，数据正确；
6、发送成功；
7、读取成功，数据正确；
8、检查通过；</t>
  </si>
  <si>
    <t>test_debug_auth.py::test_ehsm_90</t>
  </si>
  <si>
    <t>EHSM-91</t>
  </si>
  <si>
    <t>在user 模式下，使用 SM4-CMAC 算法方式，测试 SOC 类型的正常鉴权过程</t>
  </si>
  <si>
    <t>1、配置OTP 生命周期user模式，调试鉴权算法密钥SOC Debug Key配置SM4-128-CBC算法密钥预置值和对应属性，其它默认；
2、重启eHSM，并检查启动状态；
3、使用 get_challenge 接口，获取挑战字；
4、调用上层接口对挑战字进行CBC计算，SM4-128-CBC算法使用预置密钥钥，计算CBC；
5、将计算好的CBC和公钥传入 debug_auth 接口，进行鉴权；
6、鉴权后，检查寄存器状态，是否符合预期；</t>
  </si>
  <si>
    <t>1、配置成功；
2、重启检查状态成功；
3、获取挑战字成功；
4、计算成功；
5、发送成功；
6、检查通过；</t>
  </si>
  <si>
    <t>test_debug_auth.py::test_ehsm_91</t>
  </si>
  <si>
    <t>EHSM-92</t>
  </si>
  <si>
    <t>在User模式下，测试bootloader eHSM get_challenge 功能</t>
  </si>
  <si>
    <t>1、配置OTP 生命周期User模式，其它默认；
2、重启eHSM，并检查启动状态；
3、使用 get_challenge 接口，传入eHSM 类型，获取挑战字；</t>
  </si>
  <si>
    <t>1、配置成功；
2、重启检查状态成功；
3、获取挑战字成功；</t>
  </si>
  <si>
    <t>test_debug_auth.py::test_ehsm_92</t>
  </si>
  <si>
    <t>EHSM-93</t>
  </si>
  <si>
    <t>在User模式下，测试bootloader SOC get_challenge 功能</t>
  </si>
  <si>
    <t>1、配置OTP 生命周期User模式，其它默认；
2、重启eHSM，并检查启动状态；
3、使用 get_challenge 接口，传入SOC 类型，获取挑战字；</t>
  </si>
  <si>
    <t>test_debug_auth.py::test_ehsm_93</t>
  </si>
  <si>
    <t>EHSM-94</t>
  </si>
  <si>
    <t>在User模式下，测试bootloader User get_challenge 功能</t>
  </si>
  <si>
    <t>1、配置OTP 生命周期User模式，其它默认；
2、重启eHSM，并检查启动状态；
3、使用 get_challenge 接口，传入User 类型，获取挑战字；</t>
  </si>
  <si>
    <t>test_debug_auth.py::test_ehsm_94</t>
  </si>
  <si>
    <t>EHSM-98</t>
  </si>
  <si>
    <t>在 manu 模式下，使用 SM4-CMAC 算法方式，测试 eHSM 类型的鉴权过程中使用错误的CMAC值</t>
  </si>
  <si>
    <t>1、配置OTP 生命周期User模式，调试鉴权算法密钥eHSM Debug Key配置SM4-128-CBC算法密钥预置值和对应属性，其它默认；
2、重启eHSM，并检查启动状态；
3、使用 get_challenge 接口，获取挑战字；
4、调用上层接口对挑战字进行CBC计算，SM4-128-CBC算法使用预置密钥钥，计算CBC；
5、修改CMAC 中的第一位取反，是其与原来计算值不一致；
6、将修改后的CMAC和公钥传入 debug_auth 接口，进行鉴权；</t>
  </si>
  <si>
    <t>1、配置成功；
2、重启检查状态成功；
3、获取挑战字成功；
4、计算成功；
5、计算成功；
6、发送成功；</t>
  </si>
  <si>
    <t>test_debug_auth.py::test_ehsm_98</t>
  </si>
  <si>
    <t>EHSM-99</t>
  </si>
  <si>
    <t>在User 模式下，使用非法鉴权命令参数进行鉴权测试</t>
  </si>
  <si>
    <t>1、输入非法鉴权类型，进行鉴权；
2、输入非法鉴权算法，进行鉴权；
3、输入非法签名地址或size，进行鉴权；</t>
  </si>
  <si>
    <t>1、鉴权失败，返回对应错误码；
2、鉴权失败，返回对应错误码；
3、鉴权失败，返回对应错误码；</t>
  </si>
  <si>
    <t>test_debug_auth.py::test_ehsm_99</t>
  </si>
  <si>
    <t>EHSM-103</t>
  </si>
  <si>
    <t>1、配置OTP 生命周期Test模式，调试鉴权算法密钥eHSM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5、将计算好的CMAC传入 debug_auth 接口，进行鉴权；</t>
  </si>
  <si>
    <t>test_debug_auth.py::test_ehsm_103</t>
  </si>
  <si>
    <t>EHSM-104</t>
  </si>
  <si>
    <t>1、配置OTP 生命周期Test模式，调试鉴权算法密钥eHSM Debug Key配置SM4-128-CBC算法密钥预置值和对应属性，其它默认；
2、重启eHSM，并检查启动状态；
3、使用 get_challenge 接口，获取挑战字；
4、调用上层接口对挑战字进行CBC计算，SM4-128-CBC算法使用预置密钥钥，计算CBC；
5、将计算好的CMAC传入 debug_auth 接口，进行鉴权；</t>
  </si>
  <si>
    <t>1、配置成功；
2、重启检查状态成功；
3、获取挑战字成功；
4、计算成功；
5、发送成功；</t>
  </si>
  <si>
    <t>test_debug_auth.py::test_ehsm_104</t>
  </si>
  <si>
    <t>EHSM-930</t>
  </si>
  <si>
    <t>在Debug模式下，使用 SM4-CMAC 算法方式，测试 eHSM 类型的正常鉴权过程</t>
  </si>
  <si>
    <t>1、配置OTP 生命周期Debug模式，调试鉴权算法密钥eHSM Debug Key配置SM4-128-CBC算法密钥预置值和对应属性，其它默认；
2、重启eHSM，并检查启动状态；
3、使用 get_challenge 接口，获取挑战字；
4、调用上层接口对挑战字进行CBC计算，SM4-128-CBC算法使用预置密钥钥，计算CBC；
5、在鉴权之前获取ehsm_dbg_en 状态和寄存器状态和寄存器取值；
6、将计算好的CBC和公钥传入 debug_auth 接口，进行鉴权；
7、下位机重新debug；
8、在鉴权之后获取ehsm_dbg_en 状态和寄存器状态和寄存器取值；</t>
  </si>
  <si>
    <t>1、配置成功；
2、重启检查状态成功；
3、获取挑战字成功；
4、计算成功；
5、读取成功，数据正确；
6、发送成功；
7、debug失败；
8、读取成功，数据正确；</t>
  </si>
  <si>
    <t>test_debug_auth.py::test_ehsm_930</t>
  </si>
  <si>
    <t>EHSM-931</t>
  </si>
  <si>
    <t>在 DESTROY 模式下，使用 SM4-CMAC 算法方式，测试 eHSM 类型的鉴权过程(不支持 destroy 模式)</t>
  </si>
  <si>
    <t>1、配置OTP 生命周期DESTROY模式，调试鉴权算法密钥eHSM Debug Key配置SM4-CMAC预置密钥和对应属性，其它默认；
2、重启eHSM，检查生命周期；</t>
  </si>
  <si>
    <t>1、配置成功；
2、重启成功，状态正常；</t>
  </si>
  <si>
    <t>test_debug_auth.py::test_ehsm_931</t>
  </si>
  <si>
    <t>EHSM-956</t>
  </si>
  <si>
    <t>验证SOCID和挑战值获取命令，每次获取挑战值不一致</t>
  </si>
  <si>
    <t>1、配置OTP 生命周期User模式，调试鉴权算法密钥eHSM Debug Key配置SM4-128-CBC算法密钥预置值和对应属性，其它默认；
2、重启eHSM，并检查启动状态；
3、使用 获取SOCID和挑战值接口，获取挑战字和SOCID；
4、再次使用 获取SOCID和挑战值接口，获取挑战字和SOCID；
5、对比两次获取的挑战值；</t>
  </si>
  <si>
    <t>1、配置成功；
2、重启检查状态成功；
3、读取成功，数据正确；
4、读取成功，数据正确；
5、读取成功，数据正确；</t>
  </si>
  <si>
    <t>test_debug_auth.py::test_ehsm_956</t>
  </si>
  <si>
    <t>EHSM-1009</t>
  </si>
  <si>
    <t>在DEV模式下，使用 SM4-CMAC 算法方式，测试 eHSM 类型的正常鉴权过程</t>
  </si>
  <si>
    <t>1、配置OTP 生命周期DEV模式，调试鉴权算法密钥eHSM Debug Key配置SM4-128-CBC算法密钥预置值和对应属性，其它默认；
2、重启eHSM，并检查启动状态；
3、使用 get_challenge 接口，获取挑战字；
4、调用上层接口对挑战字进行CBC计算，SM4-128-CBC算法使用预置密钥钥，计算CBC；
5、将计算好的CBC和公钥传入 debug_auth 接口，进行鉴权；
6、鉴权后，检查寄存器状态，是否符合预期；</t>
  </si>
  <si>
    <t>test_debug_auth.py::test_ehsm_1009</t>
  </si>
  <si>
    <t>EHSM-1010</t>
  </si>
  <si>
    <t>在MANU模式下，使用 SM4-CMAC 算法方式，测试 eHSM 类型的正常鉴权过程</t>
  </si>
  <si>
    <t>1、配置OTP 生命周期MANU模式，调试鉴权算法密钥eHSM Debug Key配置SM4-128-CBC算法密钥预置值和对应属性，其它默认；
2、重启eHSM，并检查启动状态；
3、使用 get_challenge 接口，获取挑战字；
4、调用上层接口对挑战字进行CBC计算，SM4-128-CBC算法使用预置密钥钥，计算CBC；
5、鉴权前，检查ehsm_dbg_en 状态、寄存器状态及取值，是否符合预期；
6、将计算好的CBC和公钥传入 debug_auth 接口，进行鉴权；
7、鉴权后，检查寄存器状态，是否符合预期；</t>
  </si>
  <si>
    <t>1、配置成功；
2、重启检查状态成功；
3、获取挑战字成功；
4、计算成功；
5、检查通过；
6、发送成功；
7、检查通过；</t>
  </si>
  <si>
    <t>test_debug_auth.py::test_ehsm_1010</t>
  </si>
  <si>
    <t>EHSM-1049</t>
  </si>
  <si>
    <t>在 manu 模式下，使用 SHA256-SECP256R1 算法方式，eHSM 类型的正常鉴权，测试关闭鉴权功能</t>
  </si>
  <si>
    <t>1、配置OTP 生命周期manu模式，调试鉴权算法密钥eHSM Debug Key配置SHA256-SECP256R1预置值公钥hash和对应属性，其它默认；
2、重启eHSM，并检查启动状态；
3、使用 get_challenge 接口，获取挑战字；
4、调用上层接口对挑战字进行hash计算，ECC算法使用预置ecc 私钥，计算签名；
5、获取ehsm_debug 状态为false；
6、读取ehsm_debug 寄存器的值非 0x265c1a93；
7、将签名好的数据和公钥传入 debug_auth 接口，进行鉴权；
8、获取ehsm_debug 状态为true；
9、读取ehsm_debug 寄存器的值为 0x265c1a93；
10、使用close debug命令，关闭鉴权；
11、获取ehsm_debug 状态为false；
12、读取ehsm_debug 寄存器的值非 0x265c1a93；</t>
  </si>
  <si>
    <t>1、配置成功；
2、重启检查状态成功；
3、获取挑战字成功；
4、签名成功；
5、读取成功，数据正确；
6、读取成功，数据正确；
7、发送成功；
8、读取成功，数据正确；
9、读取成功，数据正确；
10、执行成功；
11、读取成功，数据正确；
12、读取成功，数据正确；</t>
  </si>
  <si>
    <t>test_debug_auth.py::test_ehsm_1049</t>
  </si>
  <si>
    <t>EHSM-1051</t>
  </si>
  <si>
    <t>在 user 模式下，使用 SHA256-SECP256R1 算法方式， SOC 类型的正常鉴权，测试关闭鉴权功能</t>
  </si>
  <si>
    <t>1、配置OTP 生命周期user模式，调试鉴权算法密钥soc Debug Key配置SHA256-SECP256R1预置值公钥hash和对应属性，其它默认；
2、重启eHSM，并检查启动状态；
3、使用 get_challenge 接口，获取挑战字；
4、调用上层接口对挑战字进行hash计算，ECC算法使用预置ecc 私钥，计算签名；
5、获取soc_debug 状态为false；
6、读取soc_debug 寄存器的值非 0x6F3C0A95；
7、将签名好的数据和公钥传入 debug_auth 接口，进行鉴权；
8、获取soc_debug 状态为true；
9、读取ehsm_debug 寄存器的值为 0x6F3C0A95；
10、使用close debug命令，关闭鉴权；
11、获取soc_debug 状态为false；
12、读取ehsm_debug 寄存器的值非 0x6F3C0A95；</t>
  </si>
  <si>
    <t>test_debug_auth.py::test_ehsm_1051</t>
  </si>
  <si>
    <t>EHSM-1053</t>
  </si>
  <si>
    <t>在 manu 模式下，使用 SM3-SM2 算法方式，eHSM 类型的正常鉴权，测试关闭鉴权功能</t>
  </si>
  <si>
    <t>1、配置OTP 生命周期manu模式，调试鉴权算法密钥eHSM Debug Key配置sm2预置值公钥sm3 hash和对应属性，其它默认；
2、重启eHSM，并检查启动状态；
3、使用 get_challenge 接口，获取挑战字；
4、调用上层接口对挑战字进行hash计算，sm2算法使用预置sm2 私钥，计算签名；
5、获取ehsm_debug 状态为false；
6、将签名好的数据和公钥传入 debug_auth 接口，进行鉴权；
7、获取ehsm_debug 状态为true；
8、使用close debug命令，关闭鉴权；
9、获取ehsm_debug 状态为false；</t>
  </si>
  <si>
    <t>1、配置成功；
2、重启检查状态成功；
3、获取挑战字成功；
4、计算成功；
5、读取成功，数据正确；
6、发送成功；
7、读取成功，数据正确；
8、执行成功；
9、读取成功，数据正确；</t>
  </si>
  <si>
    <t>test_debug_auth.py::test_ehsm_1053</t>
  </si>
  <si>
    <t>EHSM-1054</t>
  </si>
  <si>
    <t>在 user 模式下，使用 SM3-SM2 算法方式，SOC 类型的正常鉴权过程，测试关闭鉴权功能</t>
  </si>
  <si>
    <t>1、配置OTP生命周期为user模式，SOC Debug Key使用SM2公钥和SM3哈希算法；
2、重启eHSM并检查启动状态；
3、获取SOC调试鉴权挑战字；
4、使用SM2私钥对挑战字进行SM3-SM2签名；
5、验证鉴权前SOC调试状态为关闭；
6、执行SOC调试鉴权，传入签名和公钥；
7、验证鉴权成功后SOC调试状态为开启；
8、使用close debug命令关闭SOC调试鉴权；
9、验证关闭后SOC调试状态为关闭；</t>
  </si>
  <si>
    <t>1、配置成功；
2、重启成功，状态正常；
3、读取成功，数据正确；
4、计算成功；
5、检查通过；
6、发送成功；
7、检查通过；
8、执行成功；
9、检查通过；</t>
  </si>
  <si>
    <t>test_debug_auth.py::test_ehsm_1054</t>
  </si>
  <si>
    <t>EHSM-1057</t>
  </si>
  <si>
    <t>在 manu 模式下，使用 SHA256-SECP256R1 算法方式，测试 eHSM 类型鉴权，在使用错误的 ecc hash的情况下的异常鉴权测试</t>
  </si>
  <si>
    <t>1、配置OTP 生命周期manu模式，调试鉴权算法密钥eHSM Debug Key配置SHA256-SECP256R1预置值公钥hash和对应属性，hash值配0；
2、重启eHSM，并检查启动状态；
3、使用 get_challenge 接口，获取挑战字；
4、调用上层接口对挑战字进行hash计算，ECC算法使用预置ecc 私钥，计算签名；
5、将签名好的数据和公钥传入 debug_auth 接口，进行鉴权；</t>
  </si>
  <si>
    <t>test_debug_auth.py::test_ehsm_1057</t>
  </si>
  <si>
    <t>EHSM-1058</t>
  </si>
  <si>
    <t>在 manu 模式下，使用 AES-CMAC 算法方式，测试 eHSM 类型鉴权，在对称密钥错误的情况下异常鉴权过程</t>
  </si>
  <si>
    <t>1、配置OTP 生命周期manu模式，调试鉴权算法密钥eHSM Debug Key配置AES CMAC预置密钥和对应属性，aes密钥传0；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</si>
  <si>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test_debug_auth.py::test_ehsm_1058</t>
  </si>
  <si>
    <t>EHSM-1059</t>
  </si>
  <si>
    <t>在 manu 模式下，使用 AES-CMAC 算法方式，测试 eHSM 类型鉴权，密钥生命周期配置 KEY_UNBURNED 的异常测试情况</t>
  </si>
  <si>
    <t>1、配置OTP 生命周期manu模式，调试鉴权算法密钥eHSM Debug Key配置AES CMAC预置密钥和对应属性，ehsm debug key 类型传 unburned；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</si>
  <si>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test_debug_auth.py::test_ehsm_1059</t>
  </si>
  <si>
    <t>EHSM-1060</t>
  </si>
  <si>
    <t>在 manu 模式下，使用 AES-CMAC 算法方式，测试 eHSM 类型鉴权，密钥生命周期配置 KEY_UNUSED 的异常测试情况</t>
  </si>
  <si>
    <t>1、配置OTP 生命周期manu模式，调试鉴权算法密钥eHSM Debug Key配置AES CMAC预置密钥和对应属性，ehsm debug key 类型传 UNUSED；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</si>
  <si>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test_debug_auth.py::test_ehsm_1060</t>
  </si>
  <si>
    <t>EHSM-1061</t>
  </si>
  <si>
    <t>在 manu 模式下，使用 AES-CMAC 算法方式，测试 eHSM 类型鉴权，密钥生命周期配置 KEY_DISABLED 的异常测试情况</t>
  </si>
  <si>
    <t>1、配置OTP 生命周期manu模式，调试鉴权算法密钥eHSM Debug Key配置AES CMAC预置密钥和对应属性，ehsm debug key 类型传 DISABLED；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</si>
  <si>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test_debug_auth.py::test_ehsm_1061</t>
  </si>
  <si>
    <t>EHSM-1062</t>
  </si>
  <si>
    <t>在 manu 模式下，使用 AES-CMAC 算法方式，测试 eHSM 类型鉴权，密钥生命周期配置 KEY_DISTORIED 的异常测试情况</t>
  </si>
  <si>
    <t>1、配置OTP 生命周期manu模式，调试鉴权算法密钥eHSM Debug Key配置AES CMAC预置密钥和对应属性，ehsm debug key 类型传 DISTORIED；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</si>
  <si>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test_debug_auth.py::test_ehsm_1062</t>
  </si>
  <si>
    <t>EHSM-1064</t>
  </si>
  <si>
    <t>在 manu 模式下，使用 AES-CMAC 算法方式，测试 eHSM 类型鉴权，密钥生命周期配置 KEY_ILLEGAL 的异常测试情况</t>
  </si>
  <si>
    <t>1、配置OTP 生命周期manu模式，调试鉴权算法密钥eHSM Debug Key配置AES CMAC预置密钥和对应属性，ehsm debug key 类型传 ILLEGAL；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</si>
  <si>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test_debug_auth.py::test_ehsm_1064</t>
  </si>
  <si>
    <t>EHSM-1068</t>
  </si>
  <si>
    <t>在 manu 模式下，使用 AES-CMAC 算法方式，测试 eHSM 类型鉴权，密钥属性错误 的异常测试情况</t>
  </si>
  <si>
    <t>1、配置OTP 生命周期manu模式，调试鉴权算法密钥eHSM Debug Key配置AES CMAC预置密钥和对应属性，ehsm debug key 属性传 ILLEGAL；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</si>
  <si>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test_debug_auth.py::test_ehsm_1068</t>
  </si>
  <si>
    <t>EHSM-1069</t>
  </si>
  <si>
    <t>在 dev 模式下，使用 AES-CMAC 算法方式，测试 eHSM 类型鉴权，密钥crc错误 的异常测试情况</t>
  </si>
  <si>
    <t>1、配置OTP 生命周期dev模式，调试鉴权算法密钥eHSM Debug Key配置AES CMAC预置密钥和对应属性，ehsm debug key 密钥crc配置错误；
2、重启eHSM，并检查启动状态；
3、使用 get_challenge 接口，获取挑战字；
4、调用上层接口对挑战字进行CMAC计算，AES-128-CMAC算法使用预置密钥钥，计算CMAC；
5、将计算好的CBC和公钥传入 debug_auth 接口，进行鉴权；</t>
  </si>
  <si>
    <t>test_debug_auth.py::test_ehsm_1069</t>
  </si>
  <si>
    <t>EHSM-1114</t>
  </si>
  <si>
    <t>在TEST 模式下，使用 AES-CMAC 算法方式，测试 SOC 类型的正常鉴权过程</t>
  </si>
  <si>
    <t>1、配置OTP 生命周期TEST模式，调试鉴权算法密钥SOC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5、在鉴权之前获取 soc_dbg_en状态，寄存器状态和取值是否符合预期；
6、将计算好的CBC和公钥传入 debug_auth 接口，进行鉴权；
7、在鉴权之后获取 soc_dbg_en状态，寄存器状态和取值是否符合预期：第0bit在配置时被置1，需要将该位清0，硬件、开发确认test模式下鉴权写不进去,soc_dbg_bitmap全部清0，soc_debug_status第0bit清0；</t>
  </si>
  <si>
    <t>1、配置成功；
2、重启检查状态成功；
3、获取挑战字成功；
4、签名成功；
5、读取成功，数据正确；
6、发送成功；
7、配置成功；</t>
  </si>
  <si>
    <t>test_debug_auth.py::test_ehsm_1114</t>
  </si>
  <si>
    <t>EHSM-1115</t>
  </si>
  <si>
    <t>在DEBUG 模式下，使用 AES-CMAC 算法方式，测试 SOC 128B1 类型的正常鉴权过程</t>
  </si>
  <si>
    <t>1、配置OTP 生命周期DEBUG模式，调试鉴权算法密钥SOC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5、在鉴权之前获取 soc_dbg_en状态，寄存器状态和取值是否符合预期；
6、将计算好的CBC和公钥传入 debug_auth 接口，进行鉴权；
7、在鉴权之后获取 soc_dbg_en状态，寄存器状态和取值是否符合预期；</t>
  </si>
  <si>
    <t>1、配置成功；
2、重启检查状态成功；
3、获取挑战字成功；
4、签名成功；
5、读取成功，数据正确；
6、发送成功；
7、读取成功，数据正确；</t>
  </si>
  <si>
    <t>test_debug_auth.py::test_ehsm_1115</t>
  </si>
  <si>
    <t>EHSM-1116</t>
  </si>
  <si>
    <t>在DEV 模式下，使用 AES-CMAC 算法方式，测试 SOC 128B2类型的正常鉴权过程</t>
  </si>
  <si>
    <t>1、配置OTP 生命周期DEV模式，调试鉴权算法密钥SOC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5、在鉴权之前获取 soc_dbg_en状态，寄存器状态和取值是否符合预期：第0bit在配置时被置1，需要将该位清0；
6、将计算好的CBC和公钥传入 debug_auth 接口，进行鉴权；
7、在鉴权之后获取 soc_dbg_en状态，寄存器状态和取值是否符合预期：第0bit在配置时被置1，需要将该位清0；</t>
  </si>
  <si>
    <t>1、配置成功；
2、重启检查状态成功；
3、获取挑战字成功；
4、签名成功；
5、配置成功；
6、发送成功；
7、配置成功；</t>
  </si>
  <si>
    <t>test_debug_auth.py::test_ehsm_1116</t>
  </si>
  <si>
    <t>EHSM-1117</t>
  </si>
  <si>
    <t>在MANU 模式下，使用 AES-CMAC 算法方式，测试 SOC 128B3类型的正常鉴权过程</t>
  </si>
  <si>
    <t>1、配置OTP 生命周期MANU模式，调试鉴权算法密钥SOC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5、在鉴权之前获取 soc_dbg_en状态，寄存器状态和取值是否符合预期：第0bit在配置时被置1，需要将该位清0；
6、将计算好的CBC和公钥传入 debug_auth 接口，进行鉴权；
7、在鉴权之后获取 soc_dbg_en状态，寄存器状态和取值是否符合预期：第0bit在配置时被置1，需要将该位清0；</t>
  </si>
  <si>
    <t>test_debug_auth.py::test_ehsm_1117</t>
  </si>
  <si>
    <t>EHSM-1128</t>
  </si>
  <si>
    <t>在DEBUG 模式下，使用 AES-CMAC 算法方式，测试 SOC 类型的正常鉴权过程</t>
  </si>
  <si>
    <t>test_debug_auth.py::test_ehsm_1128</t>
  </si>
  <si>
    <t>EHSM-1129</t>
  </si>
  <si>
    <t>在DEV 模式下，使用 AES-CMAC 算法方式，测试 SOC 类型的正常鉴权过程</t>
  </si>
  <si>
    <t>1、配置OTP 生命周期DEV模式，调试鉴权算法密钥SOC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5、在鉴权之前获取 soc_dbg_en状态，寄存器状态和取值是否符合预期；
6、将计算好的CBC和公钥传入 debug_auth 接口，进行鉴权；
7、在鉴权之后获取 soc_dbg_en状态，寄存器状态和取值是否符合预期；</t>
  </si>
  <si>
    <t>test_debug_auth.py::test_ehsm_1129</t>
  </si>
  <si>
    <t>EHSM-1130</t>
  </si>
  <si>
    <t>在MANU 模式下，使用 AES-CMAC 算法方式，测试 SOC 类型的正常鉴权过程</t>
  </si>
  <si>
    <t>1、配置OTP 生命周期MANU模式，调试鉴权算法密钥SOC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5、在鉴权之前获取 soc_dbg_en状态，寄存器状态和取值是否符合预期；
6、将计算好的CBC和公钥传入 debug_auth 接口，进行鉴权；
7、在鉴权之后获取 soc_dbg_en状态，寄存器状态和取值是否符合预期；</t>
  </si>
  <si>
    <t>test_debug_auth.py::test_ehsm_1130</t>
  </si>
  <si>
    <t>EHSM-1131</t>
  </si>
  <si>
    <t>在DEBUG 模式下，使用 AES-CMAC 算法方式，测试 SOC 128B0 类型的正常鉴权过程</t>
  </si>
  <si>
    <t>test_debug_auth.py::test_ehsm_1131</t>
  </si>
  <si>
    <t>EHSM-1136</t>
  </si>
  <si>
    <t>在TEST 模式下，使用 AES-CMAC 算法方式，测试 SOC 128B1 类型的正常鉴权过程</t>
  </si>
  <si>
    <t>test_debug_auth.py::test_ehsm_1136</t>
  </si>
  <si>
    <t>EHSM-1137</t>
  </si>
  <si>
    <t>在USER 模式下，使用 AES-CMAC 算法方式，测试 SOC 128B1 类型的正常鉴权过程</t>
  </si>
  <si>
    <t>1、配置OTP 生命周期USER模式，调试鉴权算法密钥SOC Debug Key配置AES-128-CMAC算法密钥预置值和对应属性，其它默认；
2、重启eHSM，并检查启动状态；
3、使用 get_challenge 接口，获取挑战字；
4、调用上层接口对挑战字进行CMAC计算，AES-128-CMAC算法使用预置密钥钥，计算CMAC；
5、在鉴权之前获取 soc_dbg_en状态，寄存器状态和取值是否符合预期；
6、将计算好的CBC和公钥传入 debug_auth 接口，进行鉴权；
7、在鉴权之后获取 soc_dbg_en状态，寄存器状态和取值是否符合预期；</t>
  </si>
  <si>
    <t>test_debug_auth.py::test_ehsm_1137</t>
  </si>
  <si>
    <t>EHSM-1138</t>
  </si>
  <si>
    <t>在DEV 模式下，使用 AES-CMAC 算法方式，测试 SOC 128B1 类型的正常鉴权过程</t>
  </si>
  <si>
    <t>test_debug_auth.py::test_ehsm_1138</t>
  </si>
  <si>
    <t>EHSM-1139</t>
  </si>
  <si>
    <t>在MANU 模式下，使用 AES-CMAC 算法方式，测试 SOC 128B1 类型的正常鉴权过程</t>
  </si>
  <si>
    <t>test_debug_auth.py::test_ehsm_1139</t>
  </si>
  <si>
    <t>EHSM-1140</t>
  </si>
  <si>
    <t>在TEST 模式下，使用 AES-CMAC 算法方式，测试 SOC 128B2类型的正常鉴权过程</t>
  </si>
  <si>
    <t>test_debug_auth.py::test_ehsm_1140</t>
  </si>
  <si>
    <t>EHSM-1141</t>
  </si>
  <si>
    <t>在USER 模式下，使用 AES-CMAC 算法方式，测试 SOC 128B2类型的正常鉴权过程</t>
  </si>
  <si>
    <t>test_debug_auth.py::test_ehsm_1141</t>
  </si>
  <si>
    <t>EHSM-1142</t>
  </si>
  <si>
    <t>在DEBUG 模式下，使用 AES-CMAC 算法方式，测试 SOC 128B2类型的正常鉴权过程</t>
  </si>
  <si>
    <t>test_debug_auth.py::test_ehsm_1142</t>
  </si>
  <si>
    <t>EHSM-1143</t>
  </si>
  <si>
    <t>在MANU 模式下，使用 AES-CMAC 算法方式，测试 SOC 128B2类型的正常鉴权过程</t>
  </si>
  <si>
    <t>test_debug_auth.py::test_ehsm_1143</t>
  </si>
  <si>
    <t>EHSM-1144</t>
  </si>
  <si>
    <t>在TEST 模式下，使用 AES-CMAC 算法方式，测试 SOC 128B3类型的正常鉴权过程</t>
  </si>
  <si>
    <t>test_debug_auth.py::test_ehsm_1144</t>
  </si>
  <si>
    <t>EHSM-1145</t>
  </si>
  <si>
    <t>在USER 模式下，使用 AES-CMAC 算法方式，测试 SOC 128B3类型的正常鉴权过程</t>
  </si>
  <si>
    <t>test_debug_auth.py::test_ehsm_1145</t>
  </si>
  <si>
    <t>EHSM-1146</t>
  </si>
  <si>
    <t>在DEBUG 模式下，使用 AES-CMAC 算法方式，测试 SOC 128B3类型的正常鉴权过程</t>
  </si>
  <si>
    <t>test_debug_auth.py::test_ehsm_1146</t>
  </si>
  <si>
    <t>EHSM-1147</t>
  </si>
  <si>
    <t>在DEV 模式下，使用 AES-CMAC 算法方式，测试 SOC 128B3类型的正常鉴权过程</t>
  </si>
  <si>
    <t>test_debug_auth.py::test_ehsm_1147</t>
  </si>
  <si>
    <t>EHSM-1148</t>
  </si>
  <si>
    <t>在TEST 模式下，使用 AES-CMAC 算法方式，测试 SOC 128B0 类型的正常鉴权过程</t>
  </si>
  <si>
    <t>test_debug_auth.py::test_ehsm_1148</t>
  </si>
  <si>
    <t>EHSM-1149</t>
  </si>
  <si>
    <t>在USER 模式下，使用 AES-CMAC 算法方式，测试 SOC 128B0 类型的正常鉴权过程</t>
  </si>
  <si>
    <t>test_debug_auth.py::test_ehsm_1149</t>
  </si>
  <si>
    <t>EHSM-1150</t>
  </si>
  <si>
    <t>在DEV 模式下，使用 AES-CMAC 算法方式，测试 SOC 128B0 类型的正常鉴权过程</t>
  </si>
  <si>
    <t>test_debug_auth.py::test_ehsm_1150</t>
  </si>
  <si>
    <t>EHSM-1151</t>
  </si>
  <si>
    <t>在MANU 模式下，使用 AES-CMAC 算法方式，测试 SOC 128B0 类型的正常鉴权过程</t>
  </si>
  <si>
    <t>test_debug_auth.py::test_ehsm_1151</t>
  </si>
  <si>
    <t>EHSM-1152</t>
  </si>
  <si>
    <t>在 user 模式下，使用 SM3-SM2 算法方式，测试 SOC 鉴权在 sm2 密钥值错误情况下的异常鉴权过程</t>
  </si>
  <si>
    <t>1、配置OTP 生命周期user模式，调试鉴权算法密钥SOC Debug Key配置SM3算法预置值公钥hash和对应属性，hash值配置成错误值；
2、重启eHSM，并检查启动状态；
3、使用 get_challenge 接口，获取挑战字；
4、调用上层接口对挑战字进行SM3计算，SM2算法使用预置SM2公私钥，计算签名；
5、将签名好的数据和公钥传入 debug_auth 接口，进行鉴权；</t>
  </si>
  <si>
    <t>test_debug_auth.py::test_ehsm_1152</t>
  </si>
  <si>
    <t>EHSM-1153</t>
  </si>
  <si>
    <t>在 user 模式下，使用 SM3-SM2 算法方式，测试 SOC 鉴权在 sm2 密钥类型为 unburned 情况下的异常鉴权过程</t>
  </si>
  <si>
    <t>1、配置OTP 生命周期user模式，调试鉴权算法密钥SOC Debug Key配置SM3算法预置值公钥hash和对应属性，密钥类型配置为 unburned；
2、重启eHSM，并检查启动状态；
3、使用 get_challenge 接口，获取挑战字；
4、调用上层接口对挑战字进行SM3计算，SM2算法使用预置SM2公私钥，计算签名；
5、将签名好的数据和公钥传入 debug_auth 接口，进行鉴权；</t>
  </si>
  <si>
    <t>test_debug_auth.py::test_ehsm_1153</t>
  </si>
  <si>
    <t>EHSM-1154</t>
  </si>
  <si>
    <t>在 user 模式下，使用 SM3-SM2 算法方式，测试 SOC 鉴权在 sm2 密钥类型为 非法值 情况下的异常鉴权过程</t>
  </si>
  <si>
    <t>1、配置OTP 生命周期user模式，调试鉴权算法密钥SOC Debug Key配置SM3算法预置值公钥hash和对应属性，密钥类型配置为 非法值；
2、重启eHSM，并检查启动状态；
3、使用 get_challenge 接口，获取挑战字；
4、调用上层接口对挑战字进行SM3计筗，SM2算法使用预置SM2公私钥，计算签名；
5、将签名好的数据和公钥传入 debug_auth 接口，进行鉴权；</t>
  </si>
  <si>
    <t>test_debug_auth.py::test_ehsm_1154</t>
  </si>
  <si>
    <t>EHSM-1155</t>
  </si>
  <si>
    <t>在 user 模式下，使用 SM3-SM2 算法方式，测试 SOC 鉴权在 sm2 密钥属性为 SYMETRIC_KEY 情况下的异常鉴权过程</t>
  </si>
  <si>
    <t>1、配置OTP 生命周期user模式，调试鉴权算法密钥SOC Debug Key配置SM3算法预置值公钥hash和对应属性，密钥属性配置为 SYMETRIC_KEY；
2、重启eHSM，并检查启动状态；
3、使用 get_challenge 接口，获取挑战字；
4、调用上层接口对挑战字进行SM3计算，SM2算法使用预置SM2公私钥，计算签名；
5、将签名好的数据和公钥传入 debug_auth 接口，进行鉴权；</t>
  </si>
  <si>
    <t>test_debug_auth.py::test_ehsm_1155</t>
  </si>
  <si>
    <t>EHSM-1156</t>
  </si>
  <si>
    <t>在 manual 模式下，使用 SM3-SM2 算法方式，测试 SOC 鉴权在 sm2 密钥hash 的 crc 错误情况下的异常鉴权过程</t>
  </si>
  <si>
    <t>1、配置OTP 生命周期manual模式，调试鉴权算法密钥SOC Debug Key配置SM3算法预置值公钥hash和对应属性，密钥crc配置为0，密钥类型配置 unused；
2、重启eHSM，并检查启动状态；
3、使用 get_challenge 接口，获取挑战字；
4、调用上层接口对挑战字进行SM3计算，SM2算法使用预置SM2公私钥，计算签名；
5、将签名好的数据和公钥传入 debug_auth 接口，进行鉴权；</t>
  </si>
  <si>
    <t>test_debug_auth.py::test_ehsm_1156</t>
  </si>
  <si>
    <t>EHSM-1683</t>
  </si>
  <si>
    <t>1、配置成功；
2、重启检查状态成功；
3、获取挑战字成功；
4、读取成功，数据正确；
5、计算成功；
6、发送成功；</t>
  </si>
  <si>
    <t>test_debug_auth.py::test_ehsm_1683</t>
  </si>
  <si>
    <t>EHSM-d001</t>
  </si>
  <si>
    <t>在Test模式下，测试获取挑战字接口challenge_type参数为0的异常处理</t>
  </si>
  <si>
    <t>1、配置生命周期为Test模式；并重启生效；
2、获取挑战字接口传入challenge_type=0；其它参数合法；</t>
  </si>
  <si>
    <t>1、生命周期配置成功；
2、报非法参数错误；</t>
  </si>
  <si>
    <t>test_debug_auth.py::test_ehsm_d001</t>
  </si>
  <si>
    <t>EHSM-d002</t>
  </si>
  <si>
    <t>在Test模式下，测试获取挑战字接口challenge_type参数为非法值的异常处理</t>
  </si>
  <si>
    <t>1、配置生命周期为Test模式；并重启生效；
2、获取挑战字接口传入challenge_type=999（非法值）；其它参数合法；</t>
  </si>
  <si>
    <t>1、生命周期配置成功；
2、报非法挑战类型错误；</t>
  </si>
  <si>
    <t>test_debug_auth.py::test_ehsm_d002</t>
  </si>
  <si>
    <t>EHSM-d003</t>
  </si>
  <si>
    <t>在Test模式下，测试获取挑战字接口的边界值参数处理</t>
  </si>
  <si>
    <t>1、配置生命周期为Test模式；并重启生效；
2、获取挑战字接口传入challenge_type=0xFFFFFFFF（最大无符号32位整数）；其它参数合法；
3、验证有效的挑战类型（EHSM_DEBUG=1）可以正常获取挑战字；
4、验证有效的挑战类型（SOC_DEBUG=3）可以正常获取挑战字；</t>
  </si>
  <si>
    <t>1、生命周期配置成功；
2、报非法参数错误；
3、获取成功；
4、获取成功；</t>
  </si>
  <si>
    <t>test_debug_auth.py::test_ehsm_d003</t>
  </si>
  <si>
    <t>EHSM-d004</t>
  </si>
  <si>
    <t>在Test模式下，测试debug_auth接口challenge_type参数为无效值的异常处理</t>
  </si>
  <si>
    <t>1、配置生命周期为Test模式；并重启生效；
2、调用debug_auth接口，传入无效的challenge_type参数(0)；</t>
  </si>
  <si>
    <t>test_debug_auth.py::test_ehsm_d004</t>
  </si>
  <si>
    <t>EHSM-d005</t>
  </si>
  <si>
    <t>在Test模式下，测试debug_auth接口algo参数为无效算法类型的异常处理</t>
  </si>
  <si>
    <t>1、配置生命周期为Test模式；并重启生效；
2、调用debug_auth接口，传入无效的algo参数(99)；</t>
  </si>
  <si>
    <t>1、生命周期配置成功；
2、报非法算法类型错误；</t>
  </si>
  <si>
    <t>test_debug_auth.py::test_ehsm_d005</t>
  </si>
  <si>
    <t>EHSM-d006</t>
  </si>
  <si>
    <t>在Test模式下，测试debug_auth接口sig_size参数为0的异常处理</t>
  </si>
  <si>
    <t>1、配置生命周期为Test模式；并重启生效；
2、调用debug_auth接口，传入sig_size=0；</t>
  </si>
  <si>
    <t>1、生命周期配置成功；
2、报数据长度错误；</t>
  </si>
  <si>
    <t>test_debug_auth.py::test_ehsm_d006</t>
  </si>
  <si>
    <t>EHSM-d007</t>
  </si>
  <si>
    <t>在Test模式下，测试debug_auth接口pub_key参数为None的异常处理</t>
  </si>
  <si>
    <t>1、配置生命周期为Test模式；并重启生效；
2、调用debug_auth接口，传入pub_key=None(非对称算法需要公钥)；</t>
  </si>
  <si>
    <t>1、生命周期配置成功；
2、报无效地址错误；</t>
  </si>
  <si>
    <t>test_debug_auth.py::test_ehsm_d007</t>
  </si>
  <si>
    <t>EHSM-d008</t>
  </si>
  <si>
    <t>在Test模式下，测试debug_auth接口sig_size参数与实际签名长度不匹配的异常处理</t>
  </si>
  <si>
    <t>1、配置生命周期为Test模式；并重启生效；
2、调用debug_auth接口，传入错误的sig_size(实际长度+10)；</t>
  </si>
  <si>
    <t>1、生命周期配置成功；
2、报签名长度错误；</t>
  </si>
  <si>
    <t>test_debug_auth.py::test_ehsm_d008</t>
  </si>
  <si>
    <t>EHSM-d009</t>
  </si>
  <si>
    <t>在Test模式下，测试EHSM_DEBUG类型调试鉴权时传入soc_dbg_bitmap的处理</t>
  </si>
  <si>
    <t>1、配置生命周期为Test模式，配置EHSM调试鉴权算法为ECC256；并重启生效；
2、调用debug_auth接口(EHSM_DEBUG类型)，传入soc_dbg_bitmap参数；</t>
  </si>
  <si>
    <t>1、生命周期配置成功；
2、固件忽略该参数或返回参数错误；</t>
  </si>
  <si>
    <t>test_debug_auth.py::test_ehsm_d009</t>
  </si>
  <si>
    <t>EHSM-d010</t>
  </si>
  <si>
    <t>在Test模式下，测试debug_auth接口sig参数为None的异常处理</t>
  </si>
  <si>
    <t>1、配置生命周期为Test模式；并重启生效；
2、调用debug_auth接口，传入sig=None；</t>
  </si>
  <si>
    <t>1、生命周期配置成功；
2、报无效地址或参数错误；</t>
  </si>
  <si>
    <t>test_debug_auth.py::test_ehsm_d010</t>
  </si>
  <si>
    <t>EHSM-d011</t>
  </si>
  <si>
    <t>在Test模式下，测试debug_auth接口sig_addr参数为无效地址的异常处理</t>
  </si>
  <si>
    <t>1、配置生命周期为Test模式；并重启生效；
2、调用debug_auth接口，传入无效的sig_addr(0x12345678)；</t>
  </si>
  <si>
    <t>test_debug_auth.py::test_ehsm_d011</t>
  </si>
  <si>
    <t>EHSM-d12</t>
  </si>
  <si>
    <t>在Test模式下，测试debug_auth接口pub_key_addr参数为无效地址的异常处理</t>
  </si>
  <si>
    <t>1、配置生命周期为Test模式；并重启生效；
2、调用debug_auth接口，传入无效的pub_key_addr(0x87654321)；</t>
  </si>
  <si>
    <t>test_debug_auth.py::test_ehsm_d012</t>
  </si>
  <si>
    <t>EHSM-d013</t>
  </si>
  <si>
    <t>在Test模式下，测试debug_auth接口soc_dbg_bitmap参数为None的异常处理</t>
  </si>
  <si>
    <t>1、配置生命周期为Test模式，配置SOC调试鉴权算法为ECC256；并重启生效；
2、调用debug_auth接口(SOC_DEBUG类型)，传入soc_dbg_bitmap=None；</t>
  </si>
  <si>
    <t>1、生命周期配置成功；
2、报参数错误或无效地址错误；</t>
  </si>
  <si>
    <t>test_debug_auth.py::test_ehsm_d013</t>
  </si>
  <si>
    <t>EHSM-d014</t>
  </si>
  <si>
    <t>在Test模式下，测试close_debug接口challenge_type参数为0的异常处理</t>
  </si>
  <si>
    <t>1、配置生命周期为Test模式；并重启生效；
2、调用close_debug接口，传入challenge_type=0；</t>
  </si>
  <si>
    <t>1、生命周期配置成功；
2、报不支持错误；</t>
  </si>
  <si>
    <t>test_debug_auth.py::test_ehsm_d014</t>
  </si>
  <si>
    <t>EHSM-d015</t>
  </si>
  <si>
    <t>在Test模式下，测试close_debug接口challenge_type参数为超大值的异常处理</t>
  </si>
  <si>
    <t>1、配置生命周期为Test模式；并重启生效；
2、调用close_debug接口，传入challenge_type=999；</t>
  </si>
  <si>
    <t>test_debug_auth.py::test_ehsm_d015</t>
  </si>
  <si>
    <t>EHSM-d016</t>
  </si>
  <si>
    <t>在Test模式下，测试close_debug接口soc_dbg_bitmap参数为None的异常处理</t>
  </si>
  <si>
    <t>1、配置生命周期为Test模式，配置SOC调试鉴权算法为ECC256；并重启生效；
2、调用close_debug接口(SOC_DEBUG类型)，传入soc_dbg_bitmap=None；</t>
  </si>
  <si>
    <t>test_debug_auth.py::test_ehsm_d016</t>
  </si>
  <si>
    <t>key</t>
  </si>
  <si>
    <t>EHSM-1179</t>
  </si>
  <si>
    <t>在MANU模式下，对key_level为1级，测试加密密钥在不支持的生命周期模式下的限制能力</t>
  </si>
  <si>
    <t>1、配置OTP 生命周期MANU模式，密钥CHIP_ROOT_KEY配置值和对应属性，其它OTP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4、将长度为32的数据m作为输入，并计算CRC，补齐0到48字节长度；再使用key_level为1，对应ehsm_kek_key作为密钥，使用AES_CBC算法加密，得到加密后数据m；
5、将m；</t>
  </si>
  <si>
    <t>1、配置OTP成功；
2、重启检查状态成功；
3、获取密钥成功;</t>
  </si>
  <si>
    <t>test_key.py::test_ehsm_1179</t>
  </si>
  <si>
    <t>EHSM-1180</t>
  </si>
  <si>
    <t>在Test模式下，对key_level为1级的算法key遍历，KeyAlgSel配置为SM4，测试加密密钥正常生成</t>
  </si>
  <si>
    <t>1、配置OTP 生命周期Test模式，密钥CHIP_ROOT_KEY和DEVICE_ROOT_KEY配置值和对应属性，其它OTP KEY不配置，KeyAlgSel配置SM4(KEY_ALG_SEL_SM4)；
2、重启eHSM，并检查启动状态；
3、将长度为32的数据m作为输入，key使用预置chip_root_key，使用SM4_ECB加密，并计算CRC，组合成数据c，长度为36；
4、将长度为32的数据m作为输入，并计算CRC，补齐0到48字节长度；再使用key_level为1，对应ehsm_kek_key作为密钥，使用SM4_CBC算法加密，得到加密后数据m；
5、将m；
6、对比 c与c1；</t>
  </si>
  <si>
    <t>1、配置OTP成功；
2、重启检查状态成功；
3、计算成功；
6、数据对比一致；</t>
  </si>
  <si>
    <t>test_key.py::test_ehsm_1180</t>
  </si>
  <si>
    <t>EHSM-1187</t>
  </si>
  <si>
    <t>在Manu模式下，对key_level为2级，使用SM4算法，测试随机密钥正常生成</t>
  </si>
  <si>
    <t>1、配置OTP 生命周期Manu模式，密钥CHIP_ROOT_KEY配置值和对应属性，使用SM4算法，其它OTP KEY不配置；
2、重启eHSM，并检查启动状态；
3、使用 get_random_key 接口，key_level为2，遍历所有的 key_type，检查生成的key数据的CRC值，并对比两次获取的数据是否一致；</t>
  </si>
  <si>
    <t>1、配置成功；
2、重启检查状态成功；
3、获取密钥成功，两次获取的数据对比不一致；</t>
  </si>
  <si>
    <t>test_key.py::test_ehsm_1187</t>
  </si>
  <si>
    <t>EHSM-1201</t>
  </si>
  <si>
    <t>在Test模式下，对key_level为0xFF级，测试加密密钥正常生成</t>
  </si>
  <si>
    <t>1、配置OTP 生命周期Test模式，密钥CHIP_ROOT_KEY配置值和对应属性，其它OTP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4、将长度为32的数据m作为输入，并计算CRC，补齐0到48字节长度；再使用key_level为0xFF，对应soc_kek_key作为密钥，使用AES_CBC算法加密，得到加密后数据m；
5、将m；
6、对比 c与c1；</t>
  </si>
  <si>
    <t>1、配置OTP成功；
2、重启检查状态成功；
3、获取密钥成功;
6、数据对比一致；</t>
  </si>
  <si>
    <t>test_key.py::test_ehsm_1201</t>
  </si>
  <si>
    <t>EHSM-1202</t>
  </si>
  <si>
    <t>在User模式下，对key_level为0xFF级，测试加密密钥在不支持的生命周期模式下的限制能力</t>
  </si>
  <si>
    <t>1、配置OTP 生命周期User模式，密钥CHIP_ROOT_KEY配置值和对应属性，其它OTP KEY不配置，KeyAlgSel配置AES128；
2、重启eHSM，并检查启动状态；
3、将长度为32的数据m作为输入，key使用预置device_root_key，使用AES_ECB加密，并计算CRC，组合成数据c，长度为36；
4、将长度为32的数据m作为输入，并计算CRC，补齐0到48字节长度；再使用key_level为0xFF，对应ehsm_kek_key作为密钥，使用AES_CBC算法加密，得到加密后数据m；
5、将m；</t>
  </si>
  <si>
    <t>test_key.py::test_ehsm_1202</t>
  </si>
  <si>
    <t>EHSM-1203</t>
  </si>
  <si>
    <t>在DEV模式下，对key_level为0xFF级，测试加密密钥正常生成</t>
  </si>
  <si>
    <t>1、配置OTP 生命周期DEV模式，密钥CHIP_ROOT_KEY配置值和对应属性，其它OTP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4、将长度为32的数据m作为输入，并计算CRC，补齐0到48字节长度；再使用key_level为0xFF，对应soc_kek_key作为密钥，使用AES_CBC算法加密，得到加密后数据m；
5、将m；
6、对比 c与c1；</t>
  </si>
  <si>
    <t>test_key.py::test_ehsm_1203</t>
  </si>
  <si>
    <t>EHSM-1204</t>
  </si>
  <si>
    <t>在MANU模式下，对key_level为0xFF级，测试加密密钥生成的限制能力</t>
  </si>
  <si>
    <t>1、配置OTP 生命周期MANU模式，密钥CHIP_ROOT_KEY配置值和对应属性，其它OTP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4、将长度为32的数据m作为输入，并计算CRC，补齐0到48字节长度；再使用key_level为0xFF，对应soc_kek_key作为密钥，使用AES_CBC算法加密，得到加密后数据m；
5、将m；</t>
  </si>
  <si>
    <t>test_key.py::test_ehsm_1204</t>
  </si>
  <si>
    <t>EHSM-1209</t>
  </si>
  <si>
    <t>在DEBUG模式下，对key_level为0xFF级，测试加密密钥在不支持的生命周期模式下的限制能力</t>
  </si>
  <si>
    <t>1、配置OTP 生命周期DEBUG模式，密钥CHIP_ROOT_KEY配置值和对应属性，其它OTP KEY不配置，KeyAlgSel配置AES128；
2、重启eHSM，并检查启动状态；
3、将长度为32的数据m作为输入，key使用预置device_root_key，使用AES_ECB加密，并计算CRC，组合成数据c，长度为36；
4、将长度为32的数据m作为输入，并计算CRC，补齐0到48字节长度；再使用key_level为0xFF，对应ehsm_kek_key作为密钥，使用AES_CBC算法加密，得到加密后数据m；
5、将m；</t>
  </si>
  <si>
    <t>test_key.py::test_ehsm_1209</t>
  </si>
  <si>
    <t>EHSM-1210</t>
  </si>
  <si>
    <t>在Test模式下，对key_level为0xFF，key_type支持的算法KEY_TYPE_SYM_KEY，测试随机密钥正常生成</t>
  </si>
  <si>
    <t>1、配置OTP 生命周期Test模式，密钥CHIP_ROOT_KEY和DEVICE_ROOT_KEY配置值和对应属性，其它OTP KEY不配置；
2、重启eHSM，并检查启动状态；
3、使用 get_random_key 接口，key_level为0xFF，keytype支持KEY_TYPE_SYM_KEY，检查生成的key数据的CRC值，并对比两次获取的数据是否一致；</t>
  </si>
  <si>
    <t>1、配置OTP成功；
2、重启检查状态成功；
3、获取密钥成功，两次获取的数据对比不一致；</t>
  </si>
  <si>
    <t>test_key.py::test_ehsm_1210</t>
  </si>
  <si>
    <t>EHSM-1211</t>
  </si>
  <si>
    <t>在DEV模式下，对key_level为0xFF，key_type支持的算法KEY_TYPE_SYM_KEY，测试随机密钥正常生成</t>
  </si>
  <si>
    <t>1、配置OTP 生命周期DEV模式，密钥CHIP_ROOT_KEY和DEVICE_ROOT_KEY配置值和对应属性，其它OTP KEY不配置；
2、重启eHSM，并检查启动状态；
3、使用 get_random_key 接口，key_level为0xFF，keytype支持KEY_TYPE_SYM_KEY，检查生成的key数据的CRC值，并对比两次获取的数据是否一致；</t>
  </si>
  <si>
    <t>test_key.py::test_ehsm_1211</t>
  </si>
  <si>
    <t>EHSM-1212</t>
  </si>
  <si>
    <t>在MANU模式下，对key_level为0xFF，key_type支持的算法KEY_TYPE_SYM_KEY，测试随机密钥正常生成</t>
  </si>
  <si>
    <t>1、配置OTP 生命周期MANU模式，密钥CHIP_ROOT_KEY和DEVICE_ROOT_KEY配置值和对应属性，其它OTP KEY不配置；
2、重启eHSM，并检查启动状态；
3、使用 get_random_key 接口，key_level为0xFF，keytype支持KEY_TYPE_SYM_KEY，检查生成的key数据的CRC值，并对比两次获取的数据是否一致；</t>
  </si>
  <si>
    <t>test_key.py::test_ehsm_1212</t>
  </si>
  <si>
    <t>EHSM-1213</t>
  </si>
  <si>
    <t>在User模式下，对key_level为0xFF级，key_type支持的算法KEY_TYPE_SYM_KEY，测试随机密钥在不支持的生命周期模式下的限制能力</t>
  </si>
  <si>
    <t>1、配置OTP 生命周期User模式，密钥CHIP_ROOT_KEY配置值和对应属性，其它OTP KEY不配置；
2、重启eHSM，并检查启动状态；
3、使用 get_random_key 接口，key_level为0xFF，key_type支持的算法KEY_TYPE_SYM_KEY；</t>
  </si>
  <si>
    <t>1、配置OTP成功；
2、重启检查状态成功；
3、获取密钥失败，返回生命周期限制错误码；</t>
  </si>
  <si>
    <t>test_key.py::test_ehsm_1213</t>
  </si>
  <si>
    <t>EHSM-1214</t>
  </si>
  <si>
    <t>在DEBUG模式下，对key_level为0xFF级，key_type支持的算法KEY_TYPE_SYM_KEY，测试随机密钥在不支持的生命周期模式下的限制能力</t>
  </si>
  <si>
    <t>1、配置OTP 生命周期DEBUG模式，密钥CHIP_ROOT_KEY配置值和对应属性，其它OTP KEY不配置；
2、重启eHSM，并检查启动状态；
3、使用 get_random_key 接口，key_level为0xFF，key_type支持的算法KEY_TYPE_SYM_KEY；</t>
  </si>
  <si>
    <t>test_key.py::test_ehsm_1214</t>
  </si>
  <si>
    <t>EHSM-1215</t>
  </si>
  <si>
    <t>在MANU模式下，对key_level为0xFF，key_type不支持的算法遍历，测试随机密钥生成的限制能力</t>
  </si>
  <si>
    <t>1、配置OTP 生命周期MANU模式，密钥CHIP_ROOT_KEY和DEVICE_ROOT_KEY配置值和对应属性，其它OTP KEY不配置；
2、重启eHSM，并检查启动状态；
3、使用 get_random_key 接口，key_level为0xFF，keytype不支持KEY_TYPE_SM2_PRIV_KEY, KEY_TYPE_SECP256_PRIV_KEY遍历，检查生成的key数据的CRC值，并对比两次获取的数据是否一致；
4、恢复默认OTP配置；</t>
  </si>
  <si>
    <t>1、配置OTP成功；
2、重启检查状态成功；
3、获取密钥失败，返回非法密钥类型错误；
4、None；</t>
  </si>
  <si>
    <t>test_key.py::test_ehsm_1215</t>
  </si>
  <si>
    <t>EHSM-124</t>
  </si>
  <si>
    <t>在Test模式下，对key_level为1级，key_type支持的算法key遍历，测试随机密钥正常生成</t>
  </si>
  <si>
    <t>1、配置OTP 生命周期Test模式，密钥CHIP_ROOT_KEY配置值和对应属性，其它OTP KEY不配置；
2、重启eHSM，并检查启动状态；
3、使用 get_random_key 接口，key_level为1，遍历所有的 key_type，检查生成的key数据的CRC值，并对比两次获取的数据是否一致；</t>
  </si>
  <si>
    <t>test_key.py::test_ehsm_124</t>
  </si>
  <si>
    <t>EHSM-125</t>
  </si>
  <si>
    <t>在Dev模式下，对key_level为1级，key_type支持的算法key遍历，测试随机密钥正常生成</t>
  </si>
  <si>
    <t>1、配置OTP 生命周期Dev模式，密钥CHIP_ROOT_KEY配置值和对应属性，其它OTP KEY不配置；
2、重启eHSM，并检查启动状态；
3、使用 get_random_key 接口，key_level为1，遍历所有的 key_type，检查生成的key数据的CRC值，并对比两次获取的数据是否一致；</t>
  </si>
  <si>
    <t>test_key.py::test_ehsm_125</t>
  </si>
  <si>
    <t>EHSM-126</t>
  </si>
  <si>
    <t>在Test模式下，对key_level为2级，key_type支持的算法key遍历，测试随机密钥正常生成</t>
  </si>
  <si>
    <t>1、配置OTP 生命周期Test模式，密钥CHIP_ROOT_KEY和DEVICE_ROOT_KEY配置值和对应属性，其它OTP KEY不配置；
2、重启eHSM，并检查启动状态；
3、使用 get_random_key 接口，key_level为2，遍历所有的 key_type，检查生成的key数据的CRC值，并对比两次获取的数据是否一致；</t>
  </si>
  <si>
    <t>test_key.py::test_ehsm_126</t>
  </si>
  <si>
    <t>EHSM-1268</t>
  </si>
  <si>
    <t>在TEST模式下，对key_level为0xFF，key_type不支持的算法遍历，测试随机密钥生成的限制能力</t>
  </si>
  <si>
    <t>1、配置OTP 生命周期TEST模式，密钥CHIP_ROOT_KEY和DEVICE_ROOT_KEY配置值和对应属性，其它OTP KEY不配置；
2、重启eHSM，并检查启动状态；
3、使用 get_random_key 接口，key_level为0xFF，keytype不支持KEY_TYPE_SM2_PRIV_KEY, KEY_TYPE_SECP256_PRIV_KEY遍历，检查生成的key数据的CRC值，并对比两次获取的数据是否一致；
4、恢复默认OTP配置；</t>
  </si>
  <si>
    <t>test_key.py::test_ehsm_1268</t>
  </si>
  <si>
    <t>EHSM-1269</t>
  </si>
  <si>
    <t>在DEV模式下，对key_level为0xFF，key_type不支持的算法遍历，测试随机密钥生成的限制能力</t>
  </si>
  <si>
    <t>1、配置OTP 生命周期DEV模式，密钥CHIP_ROOT_KEY和DEVICE_ROOT_KEY配置值和对应属性，其它OTP KEY不配置；
2、重启eHSM，并检查启动状态；
3、使用 get_random_key 接口，key_level为0xFF，keytype不支持KEY_TYPE_SM2_PRIV_KEY, KEY_TYPE_SECP256_PRIV_KEY遍历，检查生成的key数据的CRC值，并对比两次获取的数据是否一致；
4、恢复默认OTP配置；</t>
  </si>
  <si>
    <t>test_key.py::test_ehsm_1269</t>
  </si>
  <si>
    <t>EHSM-127</t>
  </si>
  <si>
    <t>在Dev模式下，对key_level为2级，key_type支持的算法key遍历，测试随机密钥正常生成</t>
  </si>
  <si>
    <t>1、配置OTP 生命周期Dev模式，密钥CHIP_ROOT_KEY和DEVICE_ROOT_KEY配置值和对应属性，其它OTP KEY不配置；
2、重启eHSM，并检查启动状态；
3、使用 get_random_key 接口，key_level为2，遍历所有的 key_type，检查生成的key数据的CRC值，并对比两次获取的数据是否一致；</t>
  </si>
  <si>
    <t>test_key.py::test_ehsm_127</t>
  </si>
  <si>
    <t>EHSM-128</t>
  </si>
  <si>
    <t>在Manu模式下，对key_level为2级，key_type支持的算法key遍历，测试随机密钥正常生成</t>
  </si>
  <si>
    <t>1、配置OTP 生命周期Manu模式，密钥CHIP_ROOT_KEY和DEVICE_ROOT_KEY配置值和对应属性，其它OTP KEY不配置；
2、重启eHSM，并检查启动状态；
3、使用 get_random_key 接口，key_level为2，遍历所有的 key_type，检查生成的key数据的CRC值，并对比两次获取的数据是否一致；</t>
  </si>
  <si>
    <t>test_key.py::test_ehsm_128</t>
  </si>
  <si>
    <t>EHSM-129</t>
  </si>
  <si>
    <t>在Manu模式下，对key_level为1级，key_type支持的算法key遍历，测试随机密钥在不支持的生命周期模式下的限制能力</t>
  </si>
  <si>
    <t>1、配置OTP 生命周期Manu模式，密钥CHIP_ROOT_KEY配置值和对应属性，其它OTP KEY不配置；
2、重启eHSM，并检查启动状态；
3、使用 get_random_key 接口，key_level为1，遍历所有的 key_type；</t>
  </si>
  <si>
    <t>test_key.py::test_ehsm_129</t>
  </si>
  <si>
    <t>EHSM-130</t>
  </si>
  <si>
    <t>在User模式下，对key_level为1级，key_type支持的算法key遍历，测试随机密钥在不支持的生命周期模式下的限制能力</t>
  </si>
  <si>
    <t>1、配置OTP 生命周期User模式，密钥CHIP_ROOT_KEY配置值和对应属性，其它OTP KEY不配置；
2、重启eHSM，并检查启动状态；
3、使用 get_random_key 接口，key_level为1，遍历所有的 key_type；</t>
  </si>
  <si>
    <t>test_key.py::test_ehsm_130</t>
  </si>
  <si>
    <t>EHSM-131</t>
  </si>
  <si>
    <t>在Debug模式下，对key_level为1级，key_type支持的算法key遍历，测试随机密钥在不支持的生命周期模式下的限制能力</t>
  </si>
  <si>
    <t>1、配置OTP 生命周期Debug模式，密钥CHIP_ROOT_KEY配置值和对应属性，其它OTP KEY不配置；
2、重启eHSM，并检查启动状态；
3、使用 get_random_key 接口，key_level为1，遍历所有的 key_type；</t>
  </si>
  <si>
    <t>test_key.py::test_ehsm_131</t>
  </si>
  <si>
    <t>EHSM-132</t>
  </si>
  <si>
    <t>在User模式下，对key_level为2级，key_type支持的算法key遍历，测试随机密钥在不支持的生命周期模式下的限制能力</t>
  </si>
  <si>
    <t>1、配置OTP 生命周期User模式，密钥CHIP_ROOT_KEY配置值和对应属性，其它OTP KEY不配置；
2、重启eHSM，并检查启动状态；
3、使用 get_random_key 接口，key_level为2，遍历所有的 key_type；</t>
  </si>
  <si>
    <t>test_key.py::test_ehsm_132</t>
  </si>
  <si>
    <t>EHSM-133</t>
  </si>
  <si>
    <t>在Debug模式下，对key_level为2级，key_type支持的算法key遍历，测试随机密钥在不支持的生命周期模式下的限制能力</t>
  </si>
  <si>
    <t>1、配置OTP 生命周期Debug模式，密钥CHIP_ROOT_KEY配置值和对应属性，其它OTP KEY不配置；
2、重启eHSM，并检查启动状态；
3、使用 get_random_key 接口，key_level为2，遍历所有的 key_type；</t>
  </si>
  <si>
    <t>test_key.py::test_ehsm_133</t>
  </si>
  <si>
    <t>EHSM-134</t>
  </si>
  <si>
    <t>在Test模式下，对非法key_level参数，key_type合法参数，测试随机密钥接口的异常处理</t>
  </si>
  <si>
    <t>1、配置OTP 生命周期Test模式，密钥CHIP_ROOT_KEY配置值和对应属性，其它OTP KEY不配置；
2、重启eHSM，并检查启动状态；
3、使用 get_random_key 接口，key_level为0xFE，遍历所有的 key_type；</t>
  </si>
  <si>
    <t>1、配置OTP成功；
2、重启检查状态成功；
3、获取密钥失败，返回非法密钥级别错误；</t>
  </si>
  <si>
    <t>test_key.py::test_ehsm_134</t>
  </si>
  <si>
    <t>EHSM-135</t>
  </si>
  <si>
    <t>在Test模式下，对key_level为1，key_type非法参数，测试随机密钥接口的异常处理</t>
  </si>
  <si>
    <t>1、配置OTP 生命周期Test模式，密钥CHIP_ROOT_KEY配置值和对应属性，其它OTP KEY不配置；
2、重启eHSM，并检查启动状态；
3、使用 get_random_key 接口，key_level为1， key_type为 0xFF；</t>
  </si>
  <si>
    <t>1、配置OTP成功；
2、重启检查状态成功；
3、获取密钥失败，返回非法密钥类型错误；</t>
  </si>
  <si>
    <t>test_key.py::test_ehsm_135</t>
  </si>
  <si>
    <t>EHSM-136</t>
  </si>
  <si>
    <t>在Test模式下，对key_level为1级的算法key遍历，测试加密密钥正常生成</t>
  </si>
  <si>
    <t>1、配置OTP 生命周期Test模式，密钥CHIP_ROOT_KEY配置值和对应属性，其它OTP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4、将长度为32的数据m作为输入，并计算CRC，补齐0到48字节长度；再使用key_level为1，对应ehsm_kek_key作为密钥，使用AES_CBC算法加密，得到加密后数据m；
5、将m；
6、对比 c与c1；</t>
  </si>
  <si>
    <t>test_key.py::test_ehsm_136</t>
  </si>
  <si>
    <t>EHSM-137</t>
  </si>
  <si>
    <t>在Dev模式下，对key_level为1级，测试加密密钥正常生成</t>
  </si>
  <si>
    <t>1、配置OTP 生命周期Dev模式，密钥CHIP_ROOT_KEY配置值和对应属性，其它OTP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4、将长度为32的数据m作为输入，并计算CRC，补齐0到48字节长度；再使用key_level为1，对应ehsm_kek_key作为密钥，使用AES_CBC算法加密，得到加密后数据m；
5、将m；
6、对比 c与c1；</t>
  </si>
  <si>
    <t>test_key.py::test_ehsm_137</t>
  </si>
  <si>
    <t>EHSM-138</t>
  </si>
  <si>
    <t>在Test模式下，对key_level为2级，测试加密密钥正常生成</t>
  </si>
  <si>
    <t>1、配置OTP 生命周期Test模式，密钥CHIP_ROOT_KEY和DEVICE_ROOT_KEY配置值和对应属性，其它OTP KEY不配置，KeyAlgSel配置AES128；
2、重启eHSM，并检查启动状态；
3、将长度为32的数据m作为输入，key使用预置device_root_key，使用AES_ECB加密，并计算CRC，组合成数据c，长度为36；
4、将长度为32的数据m作为输入，并计算CRC，补齐0到48字节长度；再使用key_level为2，对应soc_kek_key作为密钥，使用AES_CBC算法加密，得到加密后数据m；
5、将m；
6、对比 c与c1；</t>
  </si>
  <si>
    <t>test_key.py::test_ehsm_138</t>
  </si>
  <si>
    <t>EHSM-139</t>
  </si>
  <si>
    <t>在Dev模式下，对key_level为2级，测试加密密钥正常生成</t>
  </si>
  <si>
    <t>1、配置OTP 生命周期Dev模式，密钥CHIP_ROOT_KEY和DEVICE_ROOT_KEY配置值和对应属性，其它OTP KEY不配置，KeyAlgSel配置AES128；
2、重启eHSM，并检查启动状态；
3、将长度为32的数据m作为输入，key使用预置device_root_key，使用AES_ECB加密，并计算CRC，组合成数据c，长度为36；
4、将长度为32的数据m作为输入，并计算CRC，补齐0到48字节长度；再使用key_level为2，对应soc_kek_key作为密钥，使用AES_CBC算法加密，得到加密后数据m；
5、将m；
6、对比 c与c1；</t>
  </si>
  <si>
    <t>test_key.py::test_ehsm_139</t>
  </si>
  <si>
    <t>EHSM-140</t>
  </si>
  <si>
    <t>在Manu模式下，对key_level为2级，测试加密密钥正常生成</t>
  </si>
  <si>
    <t>1、配置OTP 生命周期Manu模式，密钥CHIP_ROOT_KEY和DEVICE_ROOT_KEY配置值和对应属性，其它OTP KEY不配置，KeyAlgSel配置AES128；
2、重启eHSM，并检查启动状态；
3、将长度为32的数据m作为输入，key使用预置device_root_key，使用AES_ECB加密，并计算CRC，组合成数据c，长度为36；
4、将长度为32的数据m作为输入，并计算CRC，补齐0到48字节长度；再使用key_level为2，对应soc_kek_key作为密钥，使用AES_CBC算法加密，得到加密后数据m；
5、将m；
6、对比 c与c1；</t>
  </si>
  <si>
    <t>test_key.py::test_ehsm_140</t>
  </si>
  <si>
    <t>EHSM-141</t>
  </si>
  <si>
    <t>在User模式下，对key_level为1级，测试加密密钥在不支持的生命周期模式下的限制能力</t>
  </si>
  <si>
    <t>1、配置OTP 生命周期User模式，密钥CHIP_ROOT_KEY配置值和对应属性，其它OTP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4、将长度为32的数据m作为输入，并计算CRC，补齐0到48字节长度；再使用key_level为1，对应ehsm_kek_key作为密钥，使用AES_CBC算法加密，得到加密后数据m；
5、将m；</t>
  </si>
  <si>
    <t>test_key.py::test_ehsm_141</t>
  </si>
  <si>
    <t>EHSM-142</t>
  </si>
  <si>
    <t>在Debug模式下，对key_level为1级，测试加密密钥在不支持的生命周期模式下的限制能力</t>
  </si>
  <si>
    <t>1、配置OTP 生命周期Debug模式，密钥CHIP_ROOT_KEY配置值和对应属性，其它OTP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4、将长度为32的数据m作为输入，并计算CRC，补齐0到48字节长度；再使用key_level为1，对应ehsm_kek_key作为密钥，使用AES_CBC算法加密，得到加密后数据m；
5、将m；</t>
  </si>
  <si>
    <t>test_key.py::test_ehsm_142</t>
  </si>
  <si>
    <t>EHSM-143</t>
  </si>
  <si>
    <t>在User模式下，对key_level为2级，测试加密密钥在不支持的生命周期模式下的限制能力</t>
  </si>
  <si>
    <t>1、配置OTP 生命周期User模式，密钥CHIP_ROOT_KEY和DEVICE_ROOT_KEY配置值和对应属性，其它OTP KEY不配置，KeyAlgSel配置AES128；
2、重启eHSM，并检查启动状态；
3、将长度为32的数据m作为输入，key使用预置device_root_key，使用AES_ECB加密，并计算CRC，组合成数据c，长度为36；
4、将长度为32的数据m作为输入，并计算CRC，补齐0到48字节长度；再使用key_level为2，对应soc_kek_key作为密钥，使用AES_CBC算法加密，得到加密后数据m；
5、将m；</t>
  </si>
  <si>
    <t>test_key.py::test_ehsm_143</t>
  </si>
  <si>
    <t>EHSM-144</t>
  </si>
  <si>
    <t>在Debug模式下，对key_level为2级，测试加密密钥在不支持的生命周期模式下的限制能力</t>
  </si>
  <si>
    <t>1、配置OTP 生命周期Debug模式，密钥CHIP_ROOT_KEY和DEVICE_ROOT_KEY配置值和对应属性，其它OTP KEY不配置，KeyAlgSel配置AES128；
2、重启eHSM，并检查启动状态；
3、将长度为32的数据m作为输入，key使用预置device_root_key，使用AES_ECB加密，并计算CRC，组合成数据c，长度为36；
4、将长度为32的数据m作为输入，并计算CRC，补齐0到48字节长度；再使用key_level为2，对应soc_kek_key作为密钥，使用AES_CBC算法加密，得到加密后数据m；
5、将m；</t>
  </si>
  <si>
    <t>test_key.py::test_ehsm_144</t>
  </si>
  <si>
    <t>EHSM-145</t>
  </si>
  <si>
    <t>在DEV模式下，对非法key_level参数，测试加密密钥接口的异常处理</t>
  </si>
  <si>
    <t>1、配置OTP 生命周期DEV模式，密钥CHIP_ROOT_KEY和DEVICE_ROOT_KEY配置值和对应属性，其它OTP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4、将长度为32的数据m作为输入，并计算CRC，补齐0到48字节长度；再使用key_level为1，对应ehsm_kek_key作为密钥，使用AES_CBC算法加密，得到加密后数据m；
5、将m；</t>
  </si>
  <si>
    <t>test_key.py::test_ehsm_145</t>
  </si>
  <si>
    <t>EHSM-146</t>
  </si>
  <si>
    <t>在Test模式下，对非法输入数据地址、输出地址和输入长度参数，测试加密密钥接口的异常处理</t>
  </si>
  <si>
    <t>1、配置OTP 生命周期DEV模式，密钥CHIP_ROOT_KEY和DEVICE_ROOT_KEY配置值和对应属性，其它OTP KEY不配置，KeyAlgSel配置AES128；
2、重启eHSM，并检查启动状态；
3、将长度为32的数据m作为输入，key使用预置chip_root_key，使用AES_ECB加密，并计算CRC，组合成数据c，长度为36；
4、将长度为32的数据m作为输入，并计算CRC，补齐0到48字节长度；再使用key_level为1，对应ehsm_kek_key作为密钥，使用AES_CBC算法加密，得到加密后数据m；
5、测试各种非法参数情况，验证错误处理机制；</t>
  </si>
  <si>
    <t>1、配置OTP成功；
2、重启检查状态成功；
3、获取密钥成功;
4、检查通过；</t>
  </si>
  <si>
    <t>test_key.py::test_ehsm_146</t>
  </si>
  <si>
    <t>EHSM_k001</t>
  </si>
  <si>
    <t>在Test模式下，测试get_random_key接口key_level参数为0的异常处理</t>
  </si>
  <si>
    <t>1、配置OTP生命周期Test模式；并重启生效；
2、调用get_random_key接口，传入key_level=0，key_type=EHSM_BL_GEN_KEY_TYPE_SYMM；</t>
  </si>
  <si>
    <t>1、生命周期配置成功；
2、报非法密钥级别错误；</t>
  </si>
  <si>
    <t>test_key.py::test_ehsm_k001</t>
  </si>
  <si>
    <t>EHSM_k002</t>
  </si>
  <si>
    <t>在Test模式下，测试get_random_key接口key_level参数为3的异常处理</t>
  </si>
  <si>
    <t>1、配置OTP生命周期Test模式；并重启生效；
2、调用get_random_key接口，传入key_level=3，key_type=EHSM_BL_GEN_KEY_TYPE_SYMM；</t>
  </si>
  <si>
    <t>test_key.py::test_ehsm_k002</t>
  </si>
  <si>
    <t>EHSM_k003</t>
  </si>
  <si>
    <t>在Test模式下，测试get_random_key接口key_type参数为0的异常处理</t>
  </si>
  <si>
    <t>1、配置OTP生命周期Test模式；并重启生效；
2、调用get_random_key接口，传入key_level=EHSM_KEY_LEVEL_1，key_type=0；</t>
  </si>
  <si>
    <t>1、生命周期配置成功；
2、报非法密钥类型错误；</t>
  </si>
  <si>
    <t>test_key.py::test_ehsm_k003</t>
  </si>
  <si>
    <t>EHSM_k004</t>
  </si>
  <si>
    <t>在Test模式下，测试get_random_key接口key_type参数为3的异常处理</t>
  </si>
  <si>
    <t>1、配置OTP生命周期Test模式；并重启生效；
2、调用get_random_key接口，传入key_level=EHSM_KEY_LEVEL_1，key_type=3；</t>
  </si>
  <si>
    <t>test_key.py::test_ehsm_k004</t>
  </si>
  <si>
    <t>EHSM_k005</t>
  </si>
  <si>
    <t>在Test模式下，测试get_random_key接口key_type参数为超大值的异常处理</t>
  </si>
  <si>
    <t>1、配置OTP生命周期Test模式；并重启生效；
2、调用get_random_key接口，传入key_level=EHSM_KEY_LEVEL_1，key_type=0xFFFFFFFF；</t>
  </si>
  <si>
    <t>test_key.py::test_ehsm_k005</t>
  </si>
  <si>
    <t>EHSM_k006</t>
  </si>
  <si>
    <t>在Test模式下，测试get_random_key接口同时传入非法key_level和key_type的异常处理</t>
  </si>
  <si>
    <t>1、配置OTP生命周期Test模式；并重启生效；
2、调用get_random_key接口，传入key_level=0，key_type=0；</t>
  </si>
  <si>
    <t>1、生命周期配置成功；
2、报参数错误；</t>
  </si>
  <si>
    <t>test_key.py::test_ehsm_k006</t>
  </si>
  <si>
    <t>EHSM_k007</t>
  </si>
  <si>
    <t>在Test模式下，测试get_random_key接口ctx地址为无效地址的异常处理</t>
  </si>
  <si>
    <t>1、配置OTP生命周期Test模式；并重启生效；
2、调用底层hostapi接口，传入ctx地址为0x12345678（无效地址）；</t>
  </si>
  <si>
    <t>test_key.py::test_ehsm_k007</t>
  </si>
  <si>
    <t>EHSM_k008</t>
  </si>
  <si>
    <t>在Test模式下，测试get_random_key接口key_out地址为无效地址的异常处理</t>
  </si>
  <si>
    <t>1、配置OTP生命周期Test模式；并重启生效；
2、调用底层hostapi接口，传入key_out地址为0x87654321（无效地址）；</t>
  </si>
  <si>
    <t>test_key.py::test_ehsm_k008</t>
  </si>
  <si>
    <t>EHSM-k009</t>
  </si>
  <si>
    <t>在Test模式下，测试bl_encrypt_key接口key_level参数异常处理</t>
  </si>
  <si>
    <t>1、配置OTP生命周期Test模式；并重启生效；
2、调用bl_encrypt_key接口，key_level参数传入0（无效值）；
3、调用bl_encrypt_key接口，key_level参数传入3（未定义的值）；</t>
  </si>
  <si>
    <t>1、生命周期配置成功；
2、返回参数错误；
3、返回参数错误；</t>
  </si>
  <si>
    <t>test_key.py::test_ehsm_k009</t>
  </si>
  <si>
    <t>EHSM-k010</t>
  </si>
  <si>
    <t>在Test模式下，测试bl_encrypt_key接口input_data参数异常处理</t>
  </si>
  <si>
    <t>1、配置OTP生命周期Test模式；并重启生效；
2、调用bl_encrypt_key接口，input_data参数传入None（NULL指针）；</t>
  </si>
  <si>
    <t>1、生命周期配置成功；
2、返回无效地址错误；</t>
  </si>
  <si>
    <t>test_key.py::test_ehsm_k010</t>
  </si>
  <si>
    <t>EHSM-k011</t>
  </si>
  <si>
    <t>在Test模式下，测试bl_encrypt_key接口size参数异常处理</t>
  </si>
  <si>
    <t>1、配置OTP生命周期Test模式；并重启生效；
2、调用bl_encrypt_key接口，size参数传入0（大小为0）；
3、调用bl_encrypt_key接口，size参数传入32（非48字节）；</t>
  </si>
  <si>
    <t>1、生命周期配置成功；
2、返回数据长度错误；
3、返回数据长度错误；</t>
  </si>
  <si>
    <t>test_key.py::test_ehsm_k011</t>
  </si>
  <si>
    <t>otp</t>
  </si>
  <si>
    <t>EHSM-1050</t>
  </si>
  <si>
    <t>在Dev模式下，测试bootloader OTP读写边界</t>
  </si>
  <si>
    <t>1、配置生命周期为Dev模式；并重启生效；
2、写入OTP区域OTP_BASE_ADDRESS - 1/OTP_BASE_ADDRESS + CONFIG_BL_OTP_SIZE + 1, 长度16字节，0x01递增到0x0F 数据；
3、读取OTP区域OTP_BASE_ADDRESS - 1/OTP_BASE_ADDRESS + CONFIG_BL_OTP_SIZE + 1, 长度16字节，读取到tmp空间；</t>
  </si>
  <si>
    <t>1、生命周期配置成功；
2、超出OTP边界的地址写入数据时返回了预期的错误码；
3、超出OTP边界的地址读取数据时返回了预期的错误码；</t>
  </si>
  <si>
    <t>test_otp.py::test_ehsm_1050</t>
  </si>
  <si>
    <t>EHSM-1052</t>
  </si>
  <si>
    <t>在Manu模式下，测试bootloader OTP读写边界</t>
  </si>
  <si>
    <t>1、配置生命周期为Manu模式；并重启生效；
2、写入OTP区域OTP_BASE_ADDRESS - 1/OTP_BASE_ADDRESS + CONFIG_BL_OTP_SIZE + 1, 长度16字节，0x01递增到0x0F 数据；
3、读取OTP区域OTP_BASE_ADDRESS - 1/OTP_BASE_ADDRESS + CONFIG_BL_OTP_SIZE + 1, 长度16字节，读取到tmp空间；</t>
  </si>
  <si>
    <t>1、生命周期配置成功；
2、manu模式下OTP写入数据受到生命周期限制；
3、manu模式下OTP读取数据受到生命周期限制；</t>
  </si>
  <si>
    <t>test_otp.py::test_ehsm_1052</t>
  </si>
  <si>
    <t>EHSM-1055</t>
  </si>
  <si>
    <t>在User模式下，测试bootloader OTP读写边界</t>
  </si>
  <si>
    <t>1、配置生命周期为User模式；并重启生效；
2、写入OTP区域OTP_BASE_ADDRESS - 1/OTP_BASE_ADDRESS + CONFIG_BL_OTP_SIZE + 1, 长度16字节，0x01递增到0x0F 数据；
3、读取OTP区域OTP_BASE_ADDRESS - 1/OTP_BASE_ADDRESS + CONFIG_BL_OTP_SIZE + 1, 长度16字节，读取到tmp空间；</t>
  </si>
  <si>
    <t>1、生命周期配置成功；
2、user模式下OTP写入数据受到生命周期限制；
3、user模式下OTP读取数据受到生命周期限制；</t>
  </si>
  <si>
    <t>test_otp.py::test_ehsm_1055</t>
  </si>
  <si>
    <t>EHSM-1056</t>
  </si>
  <si>
    <t>在Debug模式下，测试bootloader OTP读写边界</t>
  </si>
  <si>
    <t>1、配置生命周期为Debug模式；并重启生效；
2、写入OTP区域OTP_BASE_ADDRESS - 1/OTP_BASE_ADDRESS + CONFIG_BL_OTP_SIZE + 1, 长度16字节，0x01递增到0x0F 数据；
3、读取OTP区域OTP_BASE_ADDRESS - 1/OTP_BASE_ADDRESS + CONFIG_BL_OTP_SIZE + 1, 长度16字节，读取到tmp空间；</t>
  </si>
  <si>
    <t>1、生命周期配置成功；
2、debug模式下OTP写入数据受到生命周期限制；
3、debug模式下OTP读取数据受到生命周期限制；</t>
  </si>
  <si>
    <t>test_otp.py::test_ehsm_1056</t>
  </si>
  <si>
    <t>EHSM-110</t>
  </si>
  <si>
    <t>在Test模式下，测试bootloader OTP读写功能</t>
  </si>
  <si>
    <t>1、配置生命周期为Test模式；并重启生效；
2、写入OTP区域OTP_BASE_ADDRESS, 长度16字节，0x01递增到0x0F 数据；
3、读取OTP区域OTP_BASE_ADDRESS, 长度16字节，读取到tmp空间；
4、对比tmp数据；</t>
  </si>
  <si>
    <t>1、生命周期配置成功；
2、写入成功；
3、读取成功，数据正确；
4、对比tmp数据与写入数据一致；</t>
  </si>
  <si>
    <t>test_otp.py::test_ehsm_110</t>
  </si>
  <si>
    <t>EHSM-111</t>
  </si>
  <si>
    <t>在Test模式下，测试bootloader OTP读写边界</t>
  </si>
  <si>
    <t>1、配置生命周期为Test模式；并重启生效；
2、写入OTP区域OTP_BASE_ADDRESS - 1/OTP_BASE_ADDRESS + CONFIG_BL_OTP_SIZE + 1, 长度16字节，0x01递增到0x0F 数据；
3、读取OTP区域OTP_BASE_ADDRESS - 1/OTP_BASE_ADDRESS + CONFIG_BL_OTP_SIZE + 1, 长度16字节，读取到tmp空间；</t>
  </si>
  <si>
    <t>test_otp.py::test_ehsm_111</t>
  </si>
  <si>
    <t>EHSM-112</t>
  </si>
  <si>
    <t>在Dev模式下，测试bootloader OTP读写功能</t>
  </si>
  <si>
    <t>1、配置生命周期为Dev模式；并重启生效；
2、写入OTP区域OTP_BASE_ADDRESS, 长度16字节，0x01递增到0x0F 数据；
3、读取OTP区域OTP_BASE_ADDRESS, 长度16字节，读取到tmp空间；
4、对比tmp数据；</t>
  </si>
  <si>
    <t>test_otp.py::test_ehsm_112</t>
  </si>
  <si>
    <t>EHSM-113</t>
  </si>
  <si>
    <t>在Manu模式下，测试bootloader OTP读写功能的限制能力</t>
  </si>
  <si>
    <t>1、配置生命周期为Manu模式；并重启生效；
2、写入OTP区域OTP_BASE_ADDRESS, 长度16字节，0x01递增到0x0F 数据；
3、读取OTP区域OTP_BASE_ADDRESS, 长度16字节，读取到tmp空间；
4、恢复默认OTP区域数据；</t>
  </si>
  <si>
    <t>1、生命周期配置成功；
2、manu模式下OTP写入数据受到生命周期限制；
3、manu模式下OTP读取数据受到生命周期限制；
4、恢复数据成功；</t>
  </si>
  <si>
    <t>test_otp.py::test_ehsm_113</t>
  </si>
  <si>
    <t>EHSM-114</t>
  </si>
  <si>
    <t>在User模式下，测试bootloader OTP读写功能的限制能力</t>
  </si>
  <si>
    <t>1、配置生命周期为User模式；并重启生效；
2、写入OTP区域OTP_BASE_ADDRESS, 长度16字节，0x01递增到0x0F 数据；
3、读取OTP区域OTP_BASE_ADDRESS, 长度16字节，读取到tmp空间；
4、恢复默认OTP区域数据；</t>
  </si>
  <si>
    <t>1、生命周期配置成功；
2、user模式下OTP写入数据受到生命周期限制；
3、user模式下OTP读取数据受到生命周期限制；
4、恢复数据成功；</t>
  </si>
  <si>
    <t>test_otp.py::test_ehsm_114</t>
  </si>
  <si>
    <t>EHSM-115</t>
  </si>
  <si>
    <t>在Debug模式下，测试bootloader OTP读写功能的限制能力</t>
  </si>
  <si>
    <t>1、配置生命周期为Debug模式；并重启生效；
2、写入OTP区域OTP_BASE_ADDRESS, 长度16字节，0x01递增到0x0F 数据；
3、读取OTP区域OTP_BASE_ADDRESS, 长度16字节，读取到tmp空间；
4、恢复默认OTP区域数据；</t>
  </si>
  <si>
    <t>1、生命周期配置成功；
2、debug模式下OTP写入数据受到生命周期限制；
3、debug模式下OTP读取数据受到生命周期限制；
4、恢复数据成功；</t>
  </si>
  <si>
    <t>test_otp.py::test_ehsm_115</t>
  </si>
  <si>
    <t>EHSM-116</t>
  </si>
  <si>
    <t>在Test模式下，测试bootloader OTP接口异常参数的处理</t>
  </si>
  <si>
    <t>1、配置生命周期为Test模式；并重启生效；
2、OTP读写接口传入空的src_addr；其它参数合法；
3、OTP读写接口传入空的dst_addr；其它参数合法；</t>
  </si>
  <si>
    <t>1、生命周期配置成功；
2、报非法参数，符合预期；
3、报非法参数，符合预期；</t>
  </si>
  <si>
    <t>test_otp.py::test_ehsm_116</t>
  </si>
  <si>
    <t>EHSM_O001</t>
  </si>
  <si>
    <t>测试OTP读取接口size=0参数</t>
  </si>
  <si>
    <t>1、配置生命周期为Test模式；并重启生效；
2、调用OTP读取接口，地址合法但size=0；</t>
  </si>
  <si>
    <t>1、生命周期配置成功；
2、报非法参数，符合预期；</t>
  </si>
  <si>
    <t>test_otp.py::test_ehsm_o001</t>
  </si>
  <si>
    <t>EHSM_O002</t>
  </si>
  <si>
    <t>测试OTP读取接口size过大导致越界</t>
  </si>
  <si>
    <t>1、配置生命周期为Test模式；并重启生效；
2、调用OTP读取接口，从合法地址读取但size超过OTP区域大小；</t>
  </si>
  <si>
    <t>test_otp.py::test_ehsm_o002</t>
  </si>
  <si>
    <t>EHSM_O003</t>
  </si>
  <si>
    <t>测试OTP读取接口地址+size越界</t>
  </si>
  <si>
    <t>1、配置生命周期为Test模式；并重启生效；
2、调用OTP读取接口，地址合法但地址+size超出OTP区域；</t>
  </si>
  <si>
    <t>test_otp.py::test_ehsm_o003</t>
  </si>
  <si>
    <t>EHSM_O005</t>
  </si>
  <si>
    <t>测试OTP写入接口size=0参数</t>
  </si>
  <si>
    <t>1、配置生命周期为Test模式；并重启生效；
2、调用OTP写入接口，数据和地址合法但size=0；</t>
  </si>
  <si>
    <t>test_otp.py::test_ehsm_o005</t>
  </si>
  <si>
    <t>EHSM_O006</t>
  </si>
  <si>
    <t>测试OTP写入接口size超大导致越界</t>
  </si>
  <si>
    <t>1、配置生命周期为Test模式；并重启生效；
2、调用OTP写入接口，数据和地址合法但size超过OTP区域大小；</t>
  </si>
  <si>
    <t>test_otp.py::test_ehsm_o006</t>
  </si>
  <si>
    <t>EHSM_O007</t>
  </si>
  <si>
    <t>测试OTP写入接口地址+size越界</t>
  </si>
  <si>
    <t>1、配置生命周期为Test模式；并重启生效；
2、调用OTP写入接口，地址合法但地址+size超出OTP区域；</t>
  </si>
  <si>
    <t>test_otp.py::test_ehsm_o007</t>
  </si>
  <si>
    <t>EHSM_O008</t>
  </si>
  <si>
    <t>测试OTP写入接口地址小于最小边界</t>
  </si>
  <si>
    <t>1、配置生命周期为Test模式；并重启生效；
2、调用OTP写入接口，地址小于OTP最小边界；</t>
  </si>
  <si>
    <t>test_otp.py::test_ehsm_o008</t>
  </si>
  <si>
    <t>EHSM_O009</t>
  </si>
  <si>
    <t>测试OTP写入接口地址大于最大边界</t>
  </si>
  <si>
    <t>1、配置生命周期为Test模式；并重启生效；
2、调用OTP写入接口，地址大于OTP最大边界；</t>
  </si>
  <si>
    <t>test_otp.py::test_ehsm_o009</t>
  </si>
  <si>
    <t>reg</t>
  </si>
  <si>
    <t>EHSM-1110</t>
  </si>
  <si>
    <t>在Dev模式下，测试bootloader REG读写边界</t>
  </si>
  <si>
    <t>1、配置生命周期为Dev模式；并重启生效；
2、写入REG区域REG_MIN_ADDRESS/REG_MAX_ADDRESS, 长度16字节，0x01递增到0x0F 数据；
3、读取REG区域REG_MIN_ADDRESS/REG_MAX_ADDRESS, 长度16字节，读取到tmp空间；</t>
  </si>
  <si>
    <t>1、生命周期配置成功；
2、超出REG区域边界写入数据，返回预期的错误码；
3、超出REG区域边界读取数据，返回预期的错误码；</t>
  </si>
  <si>
    <t>test_reg.py::test_ehsm_1110</t>
  </si>
  <si>
    <t>EHSM-1111</t>
  </si>
  <si>
    <t>在Manu模式下，测试bootloader REG读写边界</t>
  </si>
  <si>
    <t>1、配置生命周期为Manu模式；并重启生效；
2、写入REG区域REG_MIN_ADDRESS/REG_MAX_ADDRESS, 长度16字节，0x01递增到0x0F 数据；
3、读取REG区域REG_MIN_ADDRESS/REG_MAX_ADDRESS, 长度16字节，读取到tmp空间；</t>
  </si>
  <si>
    <t>test_reg.py::test_ehsm_1111</t>
  </si>
  <si>
    <t>EHSM-1112</t>
  </si>
  <si>
    <t>在User模式下，测试bootloader REG读写边界</t>
  </si>
  <si>
    <t>1、配置生命周期为User模式；并重启生效；
2、写入REG区域REG_MIN_ADDRESS/REG_MAX_ADDRESS, 长度16字节，0x01递增到0x0F 数据；
3、读取REG区域REG_MIN_ADDRESS/REG_MAX_ADDRESS, 长度16字节，读取到tmp空间；</t>
  </si>
  <si>
    <t>1、生命周期配置成功；
2、user模式下在超出REG边界区域写入数据受到生命周期限制；
3、user模式下在超出REG边界区域读取数据受到生命周期限制；</t>
  </si>
  <si>
    <t>test_reg.py::test_ehsm_1112</t>
  </si>
  <si>
    <t>EHSM-1113</t>
  </si>
  <si>
    <t>在Debug模式下，测试bootloader REG读写边界</t>
  </si>
  <si>
    <t>1、配置生命周期为Debug模式；并重启生效；
2、写入REG区域REG_MIN_ADDRESS/REG_MAX_ADDRESS, 长度16字节，0x01递增到0x0F 数据；
3、读取REG区域REG_MIN_ADDRESS/REG_MAX_ADDRESS 长度16字节，读取到tmp空间；</t>
  </si>
  <si>
    <t>1、生命周期配置成功；
2、debug模式下在超出REG区域写入数据受到生命周期限制；
3、debug模式下在超出REG区域读取数据受到生命周期限制；</t>
  </si>
  <si>
    <t>test_reg.py::test_ehsm_1113</t>
  </si>
  <si>
    <t>EHSM-117</t>
  </si>
  <si>
    <t>在Test模式下，测试bootloader REG读写功能</t>
  </si>
  <si>
    <t>1、配置生命周期为Test模式；并重启生效；
2、写入REG区域REG_BASE_ADDRESS, 长度16字节，0x01递增到0x0F 数据；
3、读取REG区域REG_BASE_ADDRESS, 长度16字节，读取到tmp空间；
4、对比tmp数据；</t>
  </si>
  <si>
    <t>test_reg.py::test_ehsm_117</t>
  </si>
  <si>
    <t>EHSM-118</t>
  </si>
  <si>
    <t>在Test模式下，测试bootloader REG读写边界</t>
  </si>
  <si>
    <t>1、配置生命周期为Test模式；并重启生效；
2、写入REG区域REG_MIN_ADDRESS/REG_MAX_ADDRESS, 长度16字节，0x01递增到0x0F 数据；
3、读取REG区域REG_MIN_ADDRESS/REG_MAX_ADDRESS, 长度16字节，读取到tmp空间；</t>
  </si>
  <si>
    <t>1、生命周期配置成功；
2、超出REG边界区域写入数据返回预期的错误码；
3、超出REG边界区域读取数据返回预期的错误码；</t>
  </si>
  <si>
    <t>test_reg.py::test_ehsm_118</t>
  </si>
  <si>
    <t>EHSM-119</t>
  </si>
  <si>
    <t>在Dev模式下，测试bootloader REG读写功能</t>
  </si>
  <si>
    <t>1、配置生命周期为Dev模式；并重启生效；
2、写入REG区域REG_BASE_ADDRESS, 长度16字节，0x01递增到0x0F 数据；
3、读取REG区域REG_BASE_ADDRESS, 长度16字节，读取到tmp空间；
4、对比tmp数据；</t>
  </si>
  <si>
    <t>test_reg.py::test_ehsm_119</t>
  </si>
  <si>
    <t>EHSM-120</t>
  </si>
  <si>
    <t>在Manu模式下，测试bootloader REG读写功能的限制能力</t>
  </si>
  <si>
    <t>1、配置生命周期为Manu模式；并重启生效；
2、写入REG区域REG_BASE_ADDRESS, 长度16字节，0x01递增到0x0F 数据；
3、读取REG区域REG_BASE_ADDRESS, 长度16字节，读取到tmp空间；</t>
  </si>
  <si>
    <t>1、生命周期配置成功；
2、manu模式下REG写入数据受到生命周期限制；
3、manu模式下REG读取数据受到生命周期限制；</t>
  </si>
  <si>
    <t>test_reg.py::test_ehsm_120</t>
  </si>
  <si>
    <t>EHSM-121</t>
  </si>
  <si>
    <t>在User模式下，测试bootloader REG读写功能的限制能力</t>
  </si>
  <si>
    <t>1、配置生命周期为User模式；并重启生效；
2、写入REG区域REG_BASE_ADDRESS, 长度16字节，0x01递增到0x0F 数据；
3、读取REG区域REG_BASE_ADDRESS, 长度16字节，读取到tmp空间；</t>
  </si>
  <si>
    <t>1、生命周期配置成功；
2、user模式下REG写入数据受到生命周期限制；
3、user模式下REG读取数据受到生命周期限制；</t>
  </si>
  <si>
    <t>test_reg.py::test_ehsm_121</t>
  </si>
  <si>
    <t>EHSM-122</t>
  </si>
  <si>
    <t>在Debug模式下，测试bootloader REG读写功能的限制能力</t>
  </si>
  <si>
    <t>1、配置生命周期为Debug模式；并重启生效；
2、写入REG区域REG_BASE_ADDRESS, 长度16字节，0x01递增到0x0F 数据；
3、读取REG区域REG_BASE_ADDRESS, 长度16字节，读取到tmp空间；</t>
  </si>
  <si>
    <t>1、生命周期配置成功；
2、debug模式下REG写入数据受到生命周期限制；
3、debug模式下REG读取数据受到生命周期限制；</t>
  </si>
  <si>
    <t>test_reg.py::test_ehsm_122</t>
  </si>
  <si>
    <t>EHSM-123</t>
  </si>
  <si>
    <t>在Test模式下，测试bootloader REG读写接口异常参数的处理</t>
  </si>
  <si>
    <t>1、配置生命周期为Test模式；并重启生效；
2、REG读写接口传入空的src_addr；其它参数合法；
3、REG读写接口传入空的dst_addr；其它参数合法；</t>
  </si>
  <si>
    <t>1、生命周期配置成功；
2、写入非法参数时报非法参数，符合预期；
3、读取非法参数时报非法参数，符合预期；</t>
  </si>
  <si>
    <t>test_reg.py::test_ehsm_123</t>
  </si>
  <si>
    <t>EHSM_R001</t>
  </si>
  <si>
    <t>测试REG读取接口size=0参数</t>
  </si>
  <si>
    <t>1、配置生命周期为Test模式；并重启生效；
2、调用REG读取接口，地址合法但size=0；</t>
  </si>
  <si>
    <t>test_reg.py::test_ehsm_r001</t>
  </si>
  <si>
    <t>EHSM_R002</t>
  </si>
  <si>
    <t>测试REG读取接口size过大导致越界</t>
  </si>
  <si>
    <t>1、配置生命周期为Test模式；并重启生效；
2、调用REG读取接口，从合法地址读取但size超过REG区域大小；</t>
  </si>
  <si>
    <t>test_reg.py::test_ehsm_r002</t>
  </si>
  <si>
    <t>EHSM_R003</t>
  </si>
  <si>
    <t>测试REG读取接口地址+size越界</t>
  </si>
  <si>
    <t>1、配置生命周期为Test模式；并重启生效；
2、调用REG读取接口，地址合法但地址+size超出REG区域；</t>
  </si>
  <si>
    <t>test_reg.py::test_ehsm_r003</t>
  </si>
  <si>
    <t>EHSM_R004</t>
  </si>
  <si>
    <t>测试REG写入接口size=0参数</t>
  </si>
  <si>
    <t>1、配置生命周期为Test模式；并重启生效；
2、调用REG写入接口，数据和地址合法但size=0；</t>
  </si>
  <si>
    <t>test_reg.py::test_ehsm_r004</t>
  </si>
  <si>
    <t>EHSM_R005</t>
  </si>
  <si>
    <t>测试REG写入接口size超大导致越界</t>
  </si>
  <si>
    <t>1、配置生命周期为Test模式；并重启生效；
2、调用REG写入接口，数据和地址合法但size超过REG区域大小；</t>
  </si>
  <si>
    <t>test_reg.py::test_ehsm_r005</t>
  </si>
  <si>
    <t>EHSM_R006</t>
  </si>
  <si>
    <t>测试REG写入接口地址+size越界</t>
  </si>
  <si>
    <t>1、配置生命周期为Test模式；并重启生效；
2、调用REG写入接口，地址合法但地址+size超出REG区域；</t>
  </si>
  <si>
    <t>test_reg.py::test_ehsm_r006</t>
  </si>
  <si>
    <t>EHSM_R007</t>
  </si>
  <si>
    <t>测试REG写入接口地址小于最小边界</t>
  </si>
  <si>
    <t>1、配置生命周期为Test模式；并重启生效；
2、调用REG写入接口，地址小于REG最小边界；</t>
  </si>
  <si>
    <t>test_reg.py::test_ehsm_r007</t>
  </si>
  <si>
    <t>EHSM_R008</t>
  </si>
  <si>
    <t>测试REG写入接口地址大于最大边界</t>
  </si>
  <si>
    <t>1、配置生命周期为Test模式；并重启生效；
2、调用REG写入接口，地址大于REG最大边界；</t>
  </si>
  <si>
    <t>test_reg.py::test_ehsm_r008</t>
  </si>
  <si>
    <t>rompatch</t>
  </si>
  <si>
    <t>EHSM-RP001</t>
  </si>
  <si>
    <t>配置patch总使能开关关闭，patch行不生效时，无法进行patch</t>
  </si>
  <si>
    <t>test_rompatch.py::test_ehsm_rp001</t>
  </si>
  <si>
    <t>EHSM-RP002</t>
  </si>
  <si>
    <t>配置patch总使能开关关闭，patch行生效时，无法进行patch</t>
  </si>
  <si>
    <t>test_rompatch.py::test_ehsm_rp002</t>
  </si>
  <si>
    <t>EHSM-RP003</t>
  </si>
  <si>
    <t>test_rompatch.py::test_ehsm_rp003</t>
  </si>
  <si>
    <t>配置patch总使能开关开启，patch行有效时，可以正常进行patch</t>
  </si>
  <si>
    <t>32行Patch全替换的情况下，验证Patch可以正常进行</t>
  </si>
  <si>
    <t>验证rom patch单条指令替换功能</t>
  </si>
  <si>
    <t>1、结果为0xA5332211；
2、重启成功；
3、结果为0xA53322AA；</t>
  </si>
  <si>
    <t>selftest</t>
  </si>
  <si>
    <t>EHSM-1079</t>
  </si>
  <si>
    <t>在Dev模式下，测试自检指令和获取自检结果</t>
  </si>
  <si>
    <t>1、配置OTP 生命周期Dev模式，OTP配置国密功能开启；
2、重启eHSM，并检查启动状态；
3、调取 self_test 接口；
4、调取 read_self_test_result 获取self_test 结果；
5、打印self_test 结果；</t>
  </si>
  <si>
    <t>1、配置成功；
2、重启成功，状态正常；
3、执行成功；
4、读取成功，数据正确；
5、打印成功；</t>
  </si>
  <si>
    <t>test_selftest.py::test_ehsm_1079</t>
  </si>
  <si>
    <t>EHSM-1080</t>
  </si>
  <si>
    <t>在Dev模式下，测试自检结果获取命令的异常参数处理</t>
  </si>
  <si>
    <t>1、配置OTP 生命周期Dev模式，OTP配置国密功能开启；
2、重启eHSM，并检查启动状态；
3、测试异常参数处理；</t>
  </si>
  <si>
    <t>1、配置成功；
2、重启成功，状态正常；
3、返回预期错误码；</t>
  </si>
  <si>
    <t>test_selftest.py::test_ehsm_1080</t>
  </si>
  <si>
    <t>EHSM-1081</t>
  </si>
  <si>
    <t>在Dev模式下，获取默认上电自检信息</t>
  </si>
  <si>
    <t>1、配置OTP 生命周期Dev模式；
2、重启eHSM，并检查启动状态；
3、调取 read_self_test_result 获取self_test 结果；
4、打印self_test 结果；</t>
  </si>
  <si>
    <t>1、配置成功；
2、重启成功，状态正常；
3、读取成功，数据正确；
4、打印成功；</t>
  </si>
  <si>
    <t>test_selftest.py::test_ehsm_1081</t>
  </si>
  <si>
    <t>EHSM-1082</t>
  </si>
  <si>
    <t>在Dev模式下，关闭自检配置，测试自检指令和获取自检结果</t>
  </si>
  <si>
    <t>1、配置OTP 生命周期Dev模式，OTP配置自检功能关闭；
2、重启eHSM，并检查启动状态；
3、调取 self_test 接口；
4、调取 read_self_test_result 获取self_test 结果；
5、打印self_test 结果；</t>
  </si>
  <si>
    <t>test_selftest.py::test_ehsm_1082</t>
  </si>
  <si>
    <t>EHSM-1083</t>
  </si>
  <si>
    <t>在Dev模式下，简单自检配置，测试自检指令和获取自检结果</t>
  </si>
  <si>
    <t>1、配置OTP 生命周期Dev模式，OTP配置自检功能为简单自检；
2、重启eHSM，并检查启动状态；
3、调取 self_test 接口，；
4、调取 read_self_test_result 获取self_test 结果；
5、打印self_test 结果；</t>
  </si>
  <si>
    <t>test_selftest.py::test_ehsm_1083</t>
  </si>
  <si>
    <t>EHSM-1084</t>
  </si>
  <si>
    <t>在Dev模式下，全开自检配置，测试自检指令和获取自检结果</t>
  </si>
  <si>
    <t>1、配置OTP 生命周期Dev模式，OTP配置自检功能为全部自检；
2、重启eHSM，并检查启动状态；
3、调取 self_test 接口，；
4、调取 read_self_test_result 获取self_test 结果；
5、打印self_test 结果；</t>
  </si>
  <si>
    <t>test_selftest.py::test_ehsm_1084</t>
  </si>
  <si>
    <t>EHSM-1085</t>
  </si>
  <si>
    <t>在Manu模式下，测试自检指令和获取自检结果</t>
  </si>
  <si>
    <t>1、配置OTP 生命周期Manu模式，OTP配置国密功能开启；
2、重启eHSM，并检查启动状态；
3、调取 self_test 接口，；
4、调取 read_self_test_result 获取self_test 结果；
5、打印self_test 结果；</t>
  </si>
  <si>
    <t>test_selftest.py::test_ehsm_1085</t>
  </si>
  <si>
    <t>EHSM-1086</t>
  </si>
  <si>
    <t>在User模式下，测试自检指令和获取自检结果</t>
  </si>
  <si>
    <t>1、配置OTP 生命周期User模式，OTP配置国密功能开启；
2、重启eHSM，并检查启动状态；
3、调取 self_test 接口，；
4、调取 read_self_test_result 获取self_test 结果；
5、打印self_test 结果；</t>
  </si>
  <si>
    <t>test_selftest.py::test_ehsm_1086</t>
  </si>
  <si>
    <t>EHSM-1087</t>
  </si>
  <si>
    <t>在Debug模式下，测试自检指令和获取自检结果</t>
  </si>
  <si>
    <t>1、配置OTP 生命周期Debug模式，OTP配置国密功能开启；
2、重启eHSM，并检查启动状态；
3、调取 self_test 接口，；
4、调取 read_self_test_result 获取self_test 结果；
5、打印self_test 结果；</t>
  </si>
  <si>
    <t>test_selftest.py::test_ehsm_1087</t>
  </si>
  <si>
    <t>EHSM-1088</t>
  </si>
  <si>
    <t>在Manu模式下，测试自检结果获取命令的异常参数处理</t>
  </si>
  <si>
    <t>1、配置OTP 生命周期Manu模式，OTP配置国密功能开启；
2、重启eHSM，并检查启动状态；
3、测试异常参数处理；</t>
  </si>
  <si>
    <t>test_selftest.py::test_ehsm_1088</t>
  </si>
  <si>
    <t>EHSM-1089</t>
  </si>
  <si>
    <t>在User模式下，测试自检结果获取命令的异常参数处理</t>
  </si>
  <si>
    <t>1、配置OTP 生命周期User模式，OTP配置国密功能开启；
2、重启eHSM，并检查启动状态；
3、测试异常参数处理；</t>
  </si>
  <si>
    <t>test_selftest.py::test_ehsm_1089</t>
  </si>
  <si>
    <t>EHSM-1090</t>
  </si>
  <si>
    <t>在Debug模式下，测试自检结果获取命令的异常参数处理</t>
  </si>
  <si>
    <t>1、配置OTP 生命周期Debug模式，OTP配置国密功能开启；
2、重启eHSM，并检查启动状态；
3、测试异常参数处理；</t>
  </si>
  <si>
    <t>test_selftest.py::test_ehsm_1090</t>
  </si>
  <si>
    <t>EHSM-1091</t>
  </si>
  <si>
    <t>在Manu模式下，获取默认上电自检信息</t>
  </si>
  <si>
    <t>1、配置OTP 生命周期Manu模式；
2、重启eHSM，并检查启动状态；
3、调取 read_self_test_result 获取self_test 结果；
4、打印self_test 结果；</t>
  </si>
  <si>
    <t>test_selftest.py::test_ehsm_1091</t>
  </si>
  <si>
    <t>EHSM-1092</t>
  </si>
  <si>
    <t>在User模式下，获取默认上电自检信息</t>
  </si>
  <si>
    <t>1、配置OTP 生命周期User模式；
2、重启eHSM，并检查启动状态；
3、调取 read_self_test_result 获取self_test 结果；
4、打印self_test 结果；</t>
  </si>
  <si>
    <t>test_selftest.py::test_ehsm_1092</t>
  </si>
  <si>
    <t>EHSM-1093</t>
  </si>
  <si>
    <t>在Debug模式下，获取默认上电自检信息</t>
  </si>
  <si>
    <t>1、配置OTP 生命周期Debug模式；
2、重启eHSM，并检查启动状态；
3、调取 read_self_test_result 获取self_test 结果；
4、打印self_test 结果；</t>
  </si>
  <si>
    <t>test_selftest.py::test_ehsm_1093</t>
  </si>
  <si>
    <t>EHSM-1094</t>
  </si>
  <si>
    <t>在Manu模式下，关闭自检配置，测试自检指令和获取自检结果</t>
  </si>
  <si>
    <t>1、配置OTP 生命周期Manu模式，OTP配置自检功能关闭；
2、重启eHSM，并检查启动状态；
3、调取 self_test 接口，；
4、调取 read_self_test_result 获取self_test 结果；
5、打印self_test 结果；</t>
  </si>
  <si>
    <t>test_selftest.py::test_ehsm_1094</t>
  </si>
  <si>
    <t>EHSM-1095</t>
  </si>
  <si>
    <t>在User模式下，关闭自检配置，测试自检指令和获取自检结果</t>
  </si>
  <si>
    <t>1、配置OTP 生命周期User模式，OTP配置自检功能关闭；
2、重启eHSM，并检查启动状态；
3、调取 self_test 接口，；
4、调取 read_self_test_result 获取self_test 结果；
5、打印self_test 结果；</t>
  </si>
  <si>
    <t>test_selftest.py::test_ehsm_1095</t>
  </si>
  <si>
    <t>EHSM-1096</t>
  </si>
  <si>
    <t>在Debug模式下，关闭自检配置，测试自检指令和获取自检结果</t>
  </si>
  <si>
    <t>1、配置OTP 生命周期Debug模式，OTP配置自检功能关闭；
2、重启eHSM，并检查启动状态；
3、调取 self_test 接口，；
4、调取 read_self_test_result 获取self_test 结果；
5、打印self_test 结果；</t>
  </si>
  <si>
    <t>test_selftest.py::test_ehsm_1096</t>
  </si>
  <si>
    <t>EHSM-1097</t>
  </si>
  <si>
    <t>在Manu模式下，简单自检配置，测试自检指令和获取自检结果</t>
  </si>
  <si>
    <t>1、配置OTP 生命周期Manu模式，OTP配置自检功能为简单自检；
2、重启eHSM，并检查启动状态；
3、调取 self_test 接口，；
4、调取 read_self_test_result 获取self_test 结果；
5、打印self_test 结果；</t>
  </si>
  <si>
    <t>test_selftest.py::test_ehsm_1097</t>
  </si>
  <si>
    <t>EHSM-1098</t>
  </si>
  <si>
    <t>在User模式下，简单自检配置，测试自检指令和获取自检结果</t>
  </si>
  <si>
    <t>1、配置OTP 生命周期User模式，OTP配置自检功能为简单自检；
2、重启eHSM，并检查启动状态；
3、调取 self_test 接口，；
4、调取 read_self_test_result 获取self_test 结果；
5、打印self_test 结果；</t>
  </si>
  <si>
    <t>test_selftest.py::test_ehsm_1098</t>
  </si>
  <si>
    <t>EHSM-1099</t>
  </si>
  <si>
    <t>在Debug模式下，简单自检配置，测试自检指令和获取自检结果</t>
  </si>
  <si>
    <t>1、配置OTP 生命周期Debug模式，OTP配置自检功能为简单自检；
2、重启eHSM，并检查启动状态；
3、调取 self_test 接口，；
4、调取 read_self_test_result 获取self_test 结果；
5、打印self_test 结果；</t>
  </si>
  <si>
    <t>test_selftest.py::test_ehsm_1099</t>
  </si>
  <si>
    <t>EHSM-1100</t>
  </si>
  <si>
    <t>在Manu模式下，全开自检配置，测试自检指令和获取自检结果</t>
  </si>
  <si>
    <t>1、配置OTP 生命周期Manu模式，OTP配置自检功能为全部自检；
2、重启eHSM，并检查启动状态；
3、调取 self_test 接口，；
4、调取 read_self_test_result 获取self_test 结果；
5、打印self_test 结果；</t>
  </si>
  <si>
    <t>test_selftest.py::test_ehsm_1100</t>
  </si>
  <si>
    <t>EHSM-1101</t>
  </si>
  <si>
    <t>在User模式下，全开自检配置，测试自检指令和获取自检结果</t>
  </si>
  <si>
    <t>1、配置OTP 生命周期User模式，OTP配置自检功能为全部自检；
2、重启eHSM，并检查启动状态；
3、调取 self_test 接口，；
4、调取 read_self_test_result 获取self_test 结果；
5、打印self_test 结果；</t>
  </si>
  <si>
    <t>test_selftest.py::test_ehsm_1101</t>
  </si>
  <si>
    <t>EHSM-1102</t>
  </si>
  <si>
    <t>在Debug模式下，全开自检配置，测试自检指令和获取自检结果</t>
  </si>
  <si>
    <t>1、配置OTP 生命周期Debug模式，OTP配置自检功能为全部自检；
2、重启eHSM，并检查启动状态；
3、调取 self_test 接口，；
4、调取 read_self_test_result 获取self_test 结果；
5、打印self_test 结果；</t>
  </si>
  <si>
    <t>test_selftest.py::test_ehsm_1102</t>
  </si>
  <si>
    <t>EHSM-150</t>
  </si>
  <si>
    <t>在Test模式下，测试自检指令和获取自检结果</t>
  </si>
  <si>
    <t>1、配置OTP 生命周期Test模式，OTP配置国密功能开启；
2、重启eHSM，并检查启动状态；
3、调取 self_test 接口；
4、调取 read_self_test_result 获取self_test 结果；
5、打印self_test 结果；</t>
  </si>
  <si>
    <t>test_selftest.py::test_ehsm_150</t>
  </si>
  <si>
    <t>EHSM-151</t>
  </si>
  <si>
    <t>在Test模式下，测试自检结果获取命令的异常参数处理</t>
  </si>
  <si>
    <t>1、配置OTP 生命周期Test模式，OTP配置国密功能开启；
2、重启eHSM，并检查启动状态；
3、测试异常参数处理；</t>
  </si>
  <si>
    <t>test_selftest.py::test_ehsm_151</t>
  </si>
  <si>
    <t>EHSM-152</t>
  </si>
  <si>
    <t>在Test模式下，获取默认上电自检信息</t>
  </si>
  <si>
    <t>1、配置OTP 生命周期Test模式；
2、重启eHSM，并检查启动状态；
3、调取 read_self_test_result 获取self_test 结果；
4、打印self_test 结果；</t>
  </si>
  <si>
    <t>test_selftest.py::test_ehsm_152</t>
  </si>
  <si>
    <t>EHSM-153</t>
  </si>
  <si>
    <t>在Test模式下，关闭自检配置，测试自检指令和获取自检结果</t>
  </si>
  <si>
    <t>1、配置OTP 生命周期Test模式，OTP配置自检功能关闭；
2、重启eHSM，并检查启动状态；
3、调取 self_test 接口，；
4、调取 read_self_test_result 获取self_test 结果；
5、打印self_test 结果；</t>
  </si>
  <si>
    <t>test_selftest.py::test_ehsm_153</t>
  </si>
  <si>
    <t>EHSM-154</t>
  </si>
  <si>
    <t>在Test模式下，简单自检配置，测试自检指令和获取自检结果</t>
  </si>
  <si>
    <t>1、配置OTP 生命周期Test模式，OTP配置自检功能为简单自检；
2、重启eHSM，并检查启动状态；
3、调取 self_test 接口，；
4、调取 read_self_test_result 获取self_test 结果；
5、打印self_test 结果；</t>
  </si>
  <si>
    <t>test_selftest.py::test_ehsm_154</t>
  </si>
  <si>
    <t>EHSM-155</t>
  </si>
  <si>
    <t>在Test模式下，全开自检配置，测试自检指令和获取自检结果</t>
  </si>
  <si>
    <t>1、配置OTP 生命周期Test模式，OTP配置自检功能为全部自检；
2、重启eHSM，并检查启动状态；
3、调取 self_test 接口，；
4、调取 read_self_test_result 获取self_test 结果；
5、打印self_test 结果；</t>
  </si>
  <si>
    <t>test_selftest.py::test_ehsm_155</t>
  </si>
  <si>
    <t>EHSM-TRNG-001</t>
  </si>
  <si>
    <t>在Dev模式下，测试TRNG专项自检功能（full自检配置）</t>
  </si>
  <si>
    <t>1、配置OTP 生命周期Dev模式，OTP配置自检功能为全部自检；
2、重启eHSM，并检查启动状态；
3、调取 self_test 接口，执行包含TRNG在内的完整自检；
4、调取 read_self_test_result 获取self_test 结果；
5、专项检查TRNG自检结果（bit 19）；
6、打印完整自检结果；</t>
  </si>
  <si>
    <t>1、配置成功；
2、重启成功，状态正常；
3、执行成功；
4、读取成功，数据正确；
5、TRNG自检通过；
6、打印成功；</t>
  </si>
  <si>
    <t>test_selftest.py::test_ehsm_trng_001</t>
  </si>
  <si>
    <t>EHSM-TRNG-002</t>
  </si>
  <si>
    <t>在Test模式下，测试TRNG专项自检功能（full自检配置）</t>
  </si>
  <si>
    <t>1、配置OTP 生命周期Test模式，OTP配置自检功能为全部自检；
2、重启eHSM，并检查启动状态；
3、调取 self_test 接口，执行包含TRNG在内的完整自检；
4、调取 read_self_test_result 获取self_test 结果；
5、专项检查TRNG自检结果（bit 19）；
6、打印完整自检结果；</t>
  </si>
  <si>
    <t>test_selftest.py::test_ehsm_trng_002</t>
  </si>
  <si>
    <t>EHSM-TRNG-003</t>
  </si>
  <si>
    <t>在Manu模式下，测试TRNG专项自检功能（full自检配置）</t>
  </si>
  <si>
    <t>1、配置OTP 生命周期Manu模式，OTP配置自检功能为全部自检；
2、重启eHSM，并检查启动状态；
3、调取 self_test 接口，执行包含TRNG在内的完整自检；
4、调取 read_self_test_result 获取self_test 结果；
5、专项检查TRNG自检结果（bit 19）；
6、打印完整自检结果；</t>
  </si>
  <si>
    <t>test_selftest.py::test_ehsm_trng_003</t>
  </si>
  <si>
    <t>EHSM-TRNG-004</t>
  </si>
  <si>
    <t>在User模式下，测试TRNG专项自检功能（full自检配置）</t>
  </si>
  <si>
    <t>1、配置OTP 生命周期User模式，OTP配置自检功能为全部自检；
2、重启eHSM，并检查启动状态；
3、调取 self_test 接口，执行包含TRNG在内的完整自检；
4、调取 read_self_test_result 获取self_test 结果；
5、专项检查TRNG自检结果（bit 19）；
6、打印完整自检结果；</t>
  </si>
  <si>
    <t>test_selftest.py::test_ehsm_trng_004</t>
  </si>
  <si>
    <t>EHSM-TRNG-005</t>
  </si>
  <si>
    <t>在Debug模式下，测试TRNG专项自检功能（full自检配置）</t>
  </si>
  <si>
    <t>1、配置OTP 生命周期Debug模式，OTP配置自检功能为全部自检；
2、重启eHSM，并检查启动状态；
3、调取 self_test 接口，执行包含TRNG在内的完整自检；
4、调取 read_self_test_result 获取self_test 结果；
5、专项检查TRNG自检结果（bit 19）；
6、打印完整自检结果；</t>
  </si>
  <si>
    <t>test_selftest.py::test_ehsm_trng_005</t>
  </si>
  <si>
    <t>EHSM-TRNG-006</t>
  </si>
  <si>
    <t>在Dev模式下，测试上电自检中的TRNG自检功能</t>
  </si>
  <si>
    <t>1、配置OTP 生命周期Dev模式，OTP配置自检功能为全部自检（上电自检）；
2、重启eHSM，触发上电自检；
3、调取 read_self_test_result 直接获取上电自检结果；
4、专项检查TRNG上电自检结果（bit 19）；
5、打印上电自检结果；</t>
  </si>
  <si>
    <t>1、配置成功；
2、重启成功，上电自检执行；
3、读取成功，数据正确；
4、TRNG上电自检通过；
5、打印成功；</t>
  </si>
  <si>
    <t>test_selftest.py::test_ehsm_trng_006</t>
  </si>
  <si>
    <t>sensor</t>
  </si>
  <si>
    <t>EHSM-1158</t>
  </si>
  <si>
    <t>验证TEST模式下，当err rsp ctrl配置了SOC reset时，不会触发sensor错误，上位机的 o_hsm_status的bit18（soc_reset) 不会被置1，BL可以继续处理命令</t>
  </si>
  <si>
    <t>1、配置OTP模式为TEST模式，并重启下位机ehsm；
2、ehsm_write_otp_data_ex配置了SOC reset；
3、触发映射的SOC_SENSOR_OUT 寄存器，配置0x00008000；
4、检查上位机o_hsm_statusbit18  SYS_HSM_STA1[18] 5秒之内是否为1，5秒之内都为0时跳出循环；
5、发送命令（设置baud），查看baud是否设置成功；</t>
  </si>
  <si>
    <t>1、配置成功；
2、配置成功；
3、配置成功；
4、检查通过；
5、发送成功；</t>
  </si>
  <si>
    <t>test_sensor.py::test_ehsm_1158</t>
  </si>
  <si>
    <t>EHSM-1166</t>
  </si>
  <si>
    <t>验证USER/DEBUG/DEV/MANU模式下，当err rsp ctrl配置了0时， 触发sensor错误，上位机的 o_hsm_status的bit18（soc_reset)不会被置1，BL正常处理命令</t>
  </si>
  <si>
    <t>1、配置OTP模式为DEV模式， sensor rsp ctrl 配置为0，并重启下位机ehsm；
2、ehsm_write_otp_data_ex配置了SOC reset=0；
3、触发映射的SOC_SENSOR_OUT 寄存器，配置0x00008000；
4、检查上位机o_hsm_statusbit18  SYS_HSM_STA1[18] 5秒之内都为0；
5、发送命令（设置baud），查看baud是否设置成功；
6、配置OTP模式为MANU模式，重复步骤2-5；
7、配置OTP模式为USER模式，重复步骤2-5；
8、配置OTP模式为DEBUG模式，重复步骤2-5；</t>
  </si>
  <si>
    <t>1、配置成功；
2、配置成功；
3、配置成功；
4、检查通过；
5、发送成功；
6、配置成功；
7、配置成功；
8、配置成功；</t>
  </si>
  <si>
    <t>test_sensor.py::test_ehsm_1166</t>
  </si>
  <si>
    <t>EHSM-1703</t>
  </si>
  <si>
    <t>验证 TEST 模式下 sensor 状态寄存器信号控制复位 ehsm功能，下位机手动检查ehsm复位 ehsm操作</t>
  </si>
  <si>
    <t>1、配置OTP sensor rsp ctrl 位置的一个控制域，并重启下位机ehsm；
2、触发映射的SOC_SENSOR_OUT 寄存器，配置0x00008000；
3、手动断点进入下位机，检查下位机是否调用到secboot_emu_err_handler 函数中的sysreg_hsm_reset接口；</t>
  </si>
  <si>
    <t>1、配置成功；
2、配置成功；
3、检查通过；</t>
  </si>
  <si>
    <t>test_sensor.py::test_ehsm_1703</t>
  </si>
  <si>
    <t>EHSM-958</t>
  </si>
  <si>
    <t>验证sensor 状态寄存器信号控制复位 ehsm功能，下位机手动检查ehsm复位 ehsm操作</t>
  </si>
  <si>
    <t>test_sensor.py::test_ehsm_958</t>
  </si>
  <si>
    <t>EHSM-959</t>
  </si>
  <si>
    <t>验证sensor 状态寄存器信号控制清除所有密钥功能，密钥无法使用报错误</t>
  </si>
  <si>
    <t>1、配置OTP sensor rsp ctrl 位置的一个控制域，并重启下位机ehsm；
2、触发映射的SOC_SENSOR_OUT 寄存器，配置0x80000000；
3、配置校验镜像命令，并配置SOC_SENSOR_OUT 寄存器为0x00；并重启ehsm；
4、发送进行校验命令，该命令会使用OTP密钥进行镜像校验；</t>
  </si>
  <si>
    <t>1、配置成功；
2、配置成功；
3、配置成功；
4、发送成功；</t>
  </si>
  <si>
    <t>test_sensor.py::test_ehsm_959</t>
  </si>
  <si>
    <t>upgrade</t>
  </si>
  <si>
    <t>EHSM-10</t>
  </si>
  <si>
    <t>在Test模式下，测试 SM2 算法签名，SM4-128-CBC算法加密的eHSM升级镜像的ONEPASS升级流程</t>
  </si>
  <si>
    <t>执行测试函数</t>
  </si>
  <si>
    <t>测试执行成功，无错误或异常</t>
  </si>
  <si>
    <t>test_upgrade.py::test_ehsm_10</t>
  </si>
  <si>
    <t>EHSM-1011</t>
  </si>
  <si>
    <t>在DEBUG模式下，测试 AES-CMAC(128 or 256)算法签名，AES-CBC(128 or 256)算法加密的eHSM升级镜像的ONEPASS升级流程</t>
  </si>
  <si>
    <t>1、配置OTP 生命周期DEBUG模式，升级签名算法密钥eHSM_UPGRADE_VERIFY_KEY配置AES-CMAC(128 or 256)算法预置密钥值和对应属性，升级加密密钥eHSM_UPGRADE_ENC_KEY配置AES-CBC(128 or 256)算法预置密钥值和对应属性；重启eHSM生效；
2、准备好使用AES-128_CMAC算法预置密钥签名和使用AES-CBC(128 or 256)算法预置密钥加密的eHSM升级镜像，并配置到升级命令的镜像地址，并发送升级命令；
3、验证升级输出镜像内容是否与原始固件一致；</t>
  </si>
  <si>
    <t>test_upgrade.py::test_ehsm_1011</t>
  </si>
  <si>
    <t>EHSM-1012</t>
  </si>
  <si>
    <t>在MANU模式下，测试RSA-3072算法签名，不加密的eHSM启动镜像的ONEPASS校验流程</t>
  </si>
  <si>
    <t>1、配置OTP 生命周期MANU模式，升级签名算法密钥eHSM_FW_VERIFY_KEY配置RSA-3072公钥HASH值和对应属性，升级加密密钥eHSM_ENC_KEY配置成0x00；重启eHSM生效；
2、准备好RSA-3072签名、没有加密的eHSM启动镜像，并配置到校验命令的镜像地址，并发送校验命令；</t>
  </si>
  <si>
    <t>1、配置成功；
2、配置成功；</t>
  </si>
  <si>
    <t>test_upgrade.py::test_ehsm_1012</t>
  </si>
  <si>
    <t>EHSM-1013</t>
  </si>
  <si>
    <t>在DEBUG模式下，测试RSA-3072算法签名，不加密的eHSM启动镜像的ONEPASS校验流程</t>
  </si>
  <si>
    <t>1、配置OTP 生命周期DEBUG模式，升级签名算法密钥eHSM_FW_VERIFY_KEY配置RSA-3072公钥HASH值和对应属性，升级加密密钥eHSM_ENC_KEY配置成0x00；重启eHSM生效；
2、准备好RSA-3072签名、没有加密的eHSM启动镜像，并配置到校验命令的镜像地址，并发送校验命令；</t>
  </si>
  <si>
    <t>test_upgrade.py::test_ehsm_1013</t>
  </si>
  <si>
    <t>EHSM-1014</t>
  </si>
  <si>
    <t>在USER模式下，测试 AES-CMAC算法签名，AES-CBC算法加密的升级镜像，在升级校验密钥值不匹配情况下的异常升级场景</t>
  </si>
  <si>
    <t>1、配置OTP 生命周期user模式，升级签名算法密钥eHSM_UPGRADE_VERIFY_KEY配置AES-CMAC(128 or 256)算法密钥值为0和对应属性，升级加密密钥eHSM_UPGRADE_ENC_KEY配置AES-CBC(128 or 256)算法预置密钥值和对应属性；
2、重启eHSM并检查生命周期；
3、准备好使用AES-128_CMAC算法预置密钥签名和使用AES-CBC(128 or 256)算法预置密钥加密的eHSM升级镜像，并配置到升级命令的镜像地址，并发送升级命令；</t>
  </si>
  <si>
    <t>1、配置成功；
2、重启成功，状态正常；
3、配置成功；</t>
  </si>
  <si>
    <t>test_upgrade.py::test_ehsm_1014</t>
  </si>
  <si>
    <t>EHSM-1015</t>
  </si>
  <si>
    <t>在DEV模式下，测试 AES-CMAC算法签名，AES-CBC算法加密的升级镜像，在升级校验密钥生命周期配置 unburned 情况下的异常升级场景</t>
  </si>
  <si>
    <t>1、配置OTP 生命周期dev模式，升级签名算法密钥eHSM_UPGRADE_VERIFY_KEY配置AES-CMAC(128 or 256)算法密钥值为预置值，升级加密密钥eHSM_UPGRADE_ENC_KEY配置AES-CBC(128 or 256)算法预置密钥值；密钥属性配置为 unburned；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</si>
  <si>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test_upgrade.py::test_ehsm_1015</t>
  </si>
  <si>
    <t>EHSM-1016</t>
  </si>
  <si>
    <t>在DEV模式下，测试 AES-CMAC算法签名，AES-CBC算法加密的升级镜像，在升级校验密钥生命周期配置 Unused 情况下的异常升级场景</t>
  </si>
  <si>
    <t>1、配置OTP 生命周期dev模式，升级签名算法密钥eHSM_UPGRADE_VERIFY_KEY配置AES-CMAC(128 or 256)算法密钥值为预置值，升级加密密钥eHSM_UPGRADE_ENC_KEY配置AES-CBC(128 or 256)算法预置密钥值；密钥属性配置为 unused；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</si>
  <si>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test_upgrade.py::test_ehsm_1016</t>
  </si>
  <si>
    <t>EHSM-1017</t>
  </si>
  <si>
    <t>在DEV模式下，测试 AES-CMAC算法签名，AES-CBC算法加密的升级镜像，在升级校验密钥生命周期配置 Disabled 情况下的异常升级场景</t>
  </si>
  <si>
    <t>1、配置OTP 生命周期dev模式，升级签名算法密钥eHSM_UPGRADE_VERIFY_KEY配置AES-CMAC(128 or 256)算法密钥值为预置值，升级加密密钥eHSM_UPGRADE_ENC_KEY配置AES-CBC(128 or 256)算法预置密钥值；密钥属性配置为 disabled；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</si>
  <si>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test_upgrade.py::test_ehsm_1017</t>
  </si>
  <si>
    <t>EHSM-1018</t>
  </si>
  <si>
    <t>在DEV模式下，测试 AES-CMAC算法签名，AES-CBC算法加密的升级镜像，在升级校验密钥生命周期配置 Distoried 情况下的异常升级场景</t>
  </si>
  <si>
    <t>1、配置OTP 生命周期dev模式，升级签名算法密钥eHSM_UPGRADE_VERIFY_KEY配置AES-CMAC(128 or 256)算法密钥值为预置值，升级加密密钥eHSM_UPGRADE_ENC_KEY配置AES-CBC(128 or 256)算法预置密钥值；密钥属性配置为 destroied；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</si>
  <si>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test_upgrade.py::test_ehsm_1018</t>
  </si>
  <si>
    <t>EHSM-1019</t>
  </si>
  <si>
    <t>在MANU模式下，测试 AES-CMAC算法签名，AES-CBC算法加密的升级镜像，在升级校验密钥生命周期配置 Distoried 情况下的异常升级场景</t>
  </si>
  <si>
    <t>1、配置OTP 生命周期manu模式，升级签名算法密钥eHSM_UPGRADE_VERIFY_KEY配置AES-CMAC(128 or 256)算法密钥值为预置值，升级加密密钥eHSM_UPGRADE_ENC_KEY配置AES-CBC(128 or 256)算法预置密钥值；密钥属性配置为 destroied；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</si>
  <si>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test_upgrade.py::test_ehsm_1019</t>
  </si>
  <si>
    <t>EHSM-1020</t>
  </si>
  <si>
    <t>在USER模式下，测试 AES-CMAC算法签名，AES-CBC算法加密的升级镜像，在升级校验密钥生命周期配置 Distoried 情况下的异常升级场景</t>
  </si>
  <si>
    <t>1、配置OTP 生命周期user模式，升级签名算法密钥eHSM_UPGRADE_VERIFY_KEY配置AES-CMAC(128 or 256)算法密钥值为预置值，升级加密密钥eHSM_UPGRADE_ENC_KEY配置AES-CBC(128 or 256)算法预置密钥值；密钥属性配置为 destroied；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</si>
  <si>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test_upgrade.py::test_ehsm_1020</t>
  </si>
  <si>
    <t>EHSM-1021</t>
  </si>
  <si>
    <t>在dev模式下，测试 AES-CMAC算法签名，AES-CBC算法加密的升级镜像，在升级校验密钥生命周期配置 Illegal 情况下的异常升级场景</t>
  </si>
  <si>
    <t>test_upgrade.py::test_ehsm_1021</t>
  </si>
  <si>
    <t>EHSM-1022</t>
  </si>
  <si>
    <t>在 DEV 模式下，测试 AES-CMAC算法签名，AES-CBC算法加密的升级镜像，在升级校验密钥类型配置 ASYMETRIC_PRIV_KEY 情况下的异常升级场景</t>
  </si>
  <si>
    <t>1、配置OTP 生命周期dev模式，升级签名算法密钥eHSM_UPGRADE_VERIFY_KEY配置AES-CMAC(128 or 256)算法密钥值为预置值，升级加密密钥eHSM_UPGRADE_ENC_KEY配置AES-CBC(128 or 256)算法预置密钥值；eHSM_UPGRADE_VERIFY_KEY密钥类型配置ASYMETRIC_PRIV_KEY；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</si>
  <si>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test_upgrade.py::test_ehsm_1022</t>
  </si>
  <si>
    <t>EHSM-1023</t>
  </si>
  <si>
    <t>在 USER 模式下，测试 AES-CMAC算法签名，AES-CBC算法加密的升级镜像，在升级校验密钥类型配置 ASYMETRIC_KEY_HASH 情况下的异常升级场景</t>
  </si>
  <si>
    <t>1、配置OTP 生命周期user模式，升级签名算法密钥eHSM_UPGRADE_VERIFY_KEY配置AES-CMAC(128 or 256)算法密钥值为预置值，升级加密密钥eHSM_UPGRADE_ENC_KEY配置AES-CBC(128 or 256)算法预置密钥值；eHSM_UPGRADE_VERIFY_KEY密钥类型配置ASYMETRIC_KEY_HASH；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</si>
  <si>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test_upgrade.py::test_ehsm_1023</t>
  </si>
  <si>
    <t>EHSM-1025</t>
  </si>
  <si>
    <t>在 USER 模式下，测试 AES-CMAC算法签名，AES-CBC算法加密的升级镜像，在升级校验密钥类型配置 Illegal 情况下的异常升级场景</t>
  </si>
  <si>
    <t>1、配置OTP 生命周期user模式，升级签名算法密钥eHSM_UPGRADE_VERIFY_KEY配置AES-CMAC(128 or 256)算法密钥值为预置值，升级加密密钥eHSM_UPGRADE_ENC_KEY配置AES-CBC(128 or 256)算法预置密钥值；eHSM_UPGRADE_VERIFY_KEY密钥类型配置Illegal；
2、重启eHSM并检查生命周期；
3、准备好使用AES-128_CMAC算法预置密钥签名和使用AES-CBC(128 or 256)算法预置密钥加密的eHSM升级镜像，并配置到升级命令的镜像地址，并发送升级命令；</t>
  </si>
  <si>
    <t>test_upgrade.py::test_ehsm_1025</t>
  </si>
  <si>
    <t>EHSM-1026</t>
  </si>
  <si>
    <t>在 DEV 模式下，测试 AES-CMAC算法签名，AES-CBC算法加密的升级镜像，在升级校验密钥 CRC 配置错误 情况下的异常升级场景</t>
  </si>
  <si>
    <t>1、配置OTP 生命周期dev模式，升级签名算法密钥eHSM_UPGRADE_VERIFY_KEY配置AES-CMAC(128 or 256)算法密钥值为预置值，升级加密密钥eHSM_UPGRADE_ENC_KEY配置AES-CBC(128 or 256)算法预置密钥值；eHSM_UPGRADE_VERIFY_KEY密钥CRC值配置为0，生命周期为disabled；
2、重启eHSM并检查生命周期；
3、读上位机的状态寄存器HSM_ERR_HW1，判断是否有crc_error_bit置位；
4、重写正确的OTP值，恢复测试环境；</t>
  </si>
  <si>
    <t>test_upgrade.py::test_ehsm_1026</t>
  </si>
  <si>
    <t>EHSM-1027</t>
  </si>
  <si>
    <t>在 USER 模式下，测试 AES-CMAC算法签名，AES-CBC算法加密的升级镜像，在升级校验密钥 CRC 配置错误情况下的异常升级场景</t>
  </si>
  <si>
    <t>1、配置OTP 生命周期user模式，升级签名算法密钥eHSM_UPGRADE_VERIFY_KEY配置AES-CMAC(128 or 256)算法密钥值为预置值，升级加密密钥eHSM_UPGRADE_ENC_KEY配置AES-CBC(128 or 256)算法预置密钥值；eHSM_UPGRADE_VERIFY_KEY密钥CRC值配置为0，生命周期为disabled；
2、重启eHSM并检查生命周期；
3、读上位机的状态寄存器HSM_ERR_HW1，判断是否有CRC_ERROR bit置位；
4、重写正确的OTP值，恢复测试环境；</t>
  </si>
  <si>
    <t>test_upgrade.py::test_ehsm_1027</t>
  </si>
  <si>
    <t>EHSM-1028</t>
  </si>
  <si>
    <t>在USER模式下，测试 SM2算法签名，SM4-128-CBC算法加密的校验镜像，在启动校验密钥值不匹配情况下的异常校验场景</t>
  </si>
  <si>
    <t>1、配置OTP 生命周期user模式，校验签名算法密钥eHSM_VERIFY_KEY配置SM2密钥的SM3 值为0值，升级加密密钥eHSM_ENC_KEY配置SM4-CBC算法预置密钥值；
2、重启eHSM并检查生命周期；
3、获取测试的SM2算法签名SM4算法加密的启动镜像，并发送校验命令；</t>
  </si>
  <si>
    <t>1、配置成功；
2、重启成功，状态正常；
3、读取成功，数据正确；</t>
  </si>
  <si>
    <t>test_upgrade.py::test_ehsm_1028</t>
  </si>
  <si>
    <t>EHSM-1029</t>
  </si>
  <si>
    <t>在DEV模式下，测试 SM2算法签名，SM4-128-CBC算法加密的校验镜像，在启动校验密钥生命周期配置 unburned 情况下的异常校验场景</t>
  </si>
  <si>
    <t>1、配置OTP 生命周期dev模式，校验签名算法密钥eHSM_VERIFY_KEY配置SM2密钥的SM3 值为预置值，升级加密密钥eHSM_ENC_KEY配置SM4-CBC算法预置密钥值；校验密钥生命周期配置为 unburned；
2、重启eHSM并检查生命周期；
3、获取测试的SM2算法签名SM4算法加密的启动镜像，并发送校验命令；</t>
  </si>
  <si>
    <t>test_upgrade.py::test_ehsm_1029</t>
  </si>
  <si>
    <t>EHSM-1030</t>
  </si>
  <si>
    <t>在DEV模式下，测试 SM2算法签名，SM4-128-CBC算法加密的校验镜像，在启动校验密钥生命周期配置 Unused 情况下的异常校验场景</t>
  </si>
  <si>
    <t>1、配置OTP 生命周期dev模式，校验签名算法密钥eHSM_VERIFY_KEY配置SM2密钥的SM3 值为预置值，升级加密密钥eHSM_ENC_KEY配置SM4-CBC算法预置密钥值；校验密钥生命周期配置为 Unused；
2、重启eHSM并检查生命周期；
3、获取测试的SM2算法签名SM4算法加密的启动镜像，并发送校验命令；</t>
  </si>
  <si>
    <t>test_upgrade.py::test_ehsm_1030</t>
  </si>
  <si>
    <t>EHSM-1031</t>
  </si>
  <si>
    <t>在DEV模式下，测试 SM2算法签名，SM4-128-CBC算法加密的校验镜像，在启动校验密钥生命周期配置 Disabled 情况下的异常校验场景</t>
  </si>
  <si>
    <t>1、配置OTP 生命周期dev模式，校验签名算法密钥eHSM_VERIFY_KEY配置SM2密钥的SM3 值为预置值，升级加密密钥eHSM_ENC_KEY配置SM4-CBC算法预置密钥值；校验密钥生命周期配置为 Disabled；
2、重启eHSM并检查生命周期；
3、获取测试的SM2算法签名SM4算法加密的启动镜像，并发送校验命令；</t>
  </si>
  <si>
    <t>test_upgrade.py::test_ehsm_1031</t>
  </si>
  <si>
    <t>EHSM-1032</t>
  </si>
  <si>
    <t>在DEV模式下，测试 SM2算法签名，SM4-128-CBC算法加密的校验镜像，在启动校验密钥生命周期配置 Distoried 情况下的异常校验场景</t>
  </si>
  <si>
    <t>1、配置OTP 生命周期dev模式，校验签名算法密钥eHSM_VERIFY_KEY配置SM2密钥的SM3 值为预置值，升级加密密钥eHSM_ENC_KEY配置SM4-CBC算法预置密钥值；校验密钥生命周期配置为 Distoried；
2、重启eHSM并检查生命周期；
3、获取测试的SM2算法签名SM4算法加密的启动镜像，并发送校验命令；</t>
  </si>
  <si>
    <t>test_upgrade.py::test_ehsm_1032</t>
  </si>
  <si>
    <t>EHSM-1033</t>
  </si>
  <si>
    <t>在MANU模式下，测试 SM2算法签名，SM4-128-CBC算法加密的校验镜像，在启动校验密钥生命周期配置 Distoried 情况下的异常校验场景</t>
  </si>
  <si>
    <t>1、配置OTP 生命周期manu模式，校验签名算法密钥eHSM_VERIFY_KEY配置SM2密钥的SM3 值为预置值，升级加密密钥eHSM_ENC_KEY配置SM4-CBC算法预置密钥值；校验密钥生命周期配置为 Distoried；
2、重启eHSM并检查生命周期；
3、获取测试的SM2算法签名SM4算法加密的启动镜像，并发送校验命令；</t>
  </si>
  <si>
    <t>test_upgrade.py::test_ehsm_1033</t>
  </si>
  <si>
    <t>EHSM-1034</t>
  </si>
  <si>
    <t>在USER模式下，测试 SM2算法签名，SM4-128-CBC算法加密的校验镜像，在启动校验密钥生命周期配置 Distoried 情况下的异常校验场景</t>
  </si>
  <si>
    <t>1、配置OTP 生命周期USER模式，校验签名算法密钥eHSM_VERIFY_KEY配置SM2密钥的SM3 值为预置值，升级加密密钥eHSM_ENC_KEY配置SM4-CBC算法预置密钥值；校验密钥生命周期配置为 Distoried；
2、重启eHSM并检查生命周期；
3、获取测试的SM2算法签名SM4算法加密的启动镜像，并发送校验命令；</t>
  </si>
  <si>
    <t>test_upgrade.py::test_ehsm_1034</t>
  </si>
  <si>
    <t>EHSM-1035</t>
  </si>
  <si>
    <t>在dev模式下，测试 SM2算法签名，SM4-128-CBC算法加密的校验镜像，在启动校验密钥生命周期配置 Illegal 情况下的异常校验场景</t>
  </si>
  <si>
    <t>1、配置OTP 生命周期dev模式，校验签名算法密钥eHSM_VERIFY_KEY配置SM2密钥的SM3 值为预置值，升级加密密钥eHSM_ENC_KEY配置SM4-CBC算法预置密钥值；校验密钥生命周期配置为 Illegal；
2、重启eHSM并检查生命周期；
3、获取测试的SM2算法签名SM4算法加密的启动镜像，并发送校验命令；</t>
  </si>
  <si>
    <t>test_upgrade.py::test_ehsm_1035</t>
  </si>
  <si>
    <t>EHSM-1036</t>
  </si>
  <si>
    <t>在 DEV 模式下，测试 SM2算法签名，SM4-128-CBC算法加密的校验镜像，在启动校验密钥类型配置 ASYMETRIC_PRIV_KEY 情况下的异常校验场景</t>
  </si>
  <si>
    <t>1、配置OTP 生命周期dev模式，校验签名算法密钥eHSM_VERIFY_KEY配置SM2密钥的SM3 值为预置值，升级加密密钥eHSM_ENC_KEY配置SM4-CBC算法预置密钥值；校验密钥类型配置为 ASYMETRIC_PRIV_KEY；
2、重启eHSM并检查生命周期；
3、获取测试的SM2算法签名SM4算法加密的启动镜像，并发送校验命令；</t>
  </si>
  <si>
    <t>test_upgrade.py::test_ehsm_1036</t>
  </si>
  <si>
    <t>EHSM-1037</t>
  </si>
  <si>
    <t>在 USER 模式下，测试 SM2算法签名，SM4-128-CBC算法加密的校验镜像，在启动校验密钥类型配置 SYMETRIC_KEY 情况下的异常校验场景</t>
  </si>
  <si>
    <t>1、配置OTP 生命周期user模式，校验签名算法密钥eHSM_VERIFY_KEY配置SM2密钥的SM3 值为预置值，升级加密密钥eHSM_ENC_KEY配置SM4-CBC算法预置密钥值；校验密钥类型配置为 SYMETRIC_KEY；
2、重启eHSM并检查生命周期；
3、获取测试的SM2算法签名SM4算法加密的启动镜像，并发送校验命令；</t>
  </si>
  <si>
    <t>test_upgrade.py::test_ehsm_1037</t>
  </si>
  <si>
    <t>EHSM-1039</t>
  </si>
  <si>
    <t>在 USER 模式下，测试 SM2算法签名，SM4-128-CBC算法加密的校验镜像，在启动校验密钥类型配置 Illegal 情况下的异常校验场景</t>
  </si>
  <si>
    <t>1、配置OTP 生命周期user模式，校验签名算法密钥eHSM_VERIFY_KEY配置SM2密钥的SM3 值为预置值，升级加密密钥eHSM_ENC_KEY配置SM4-CBC算法预置密钥值；校验密钥类型配置为 Illegal；
2、重启eHSM并检查生命周期；
3、获取测试的SM2算法签名SM4算法加密的启动镜像，并发送校验命令；</t>
  </si>
  <si>
    <t>test_upgrade.py::test_ehsm_1039</t>
  </si>
  <si>
    <t>EHSM-1040</t>
  </si>
  <si>
    <t>在 DEV 模式下，测试 SM2算法签名，SM4-128-CBC算法加密的校验镜像，在启动校验密钥 CRC 配置错误 情况下的异常校验场景</t>
  </si>
  <si>
    <t>1、配置OTP 生命周期dev模式，校验签名算法密钥eHSM_VERIFY_KEY配置SM2密钥的SM3 值为预置值，升级加密密钥eHSM_ENC_KEY配置SM4-CBC算法预置密钥值；校验密钥的CRC设置为0；
2、重启eHSM并检查生命周期；
3、读上位机的状态寄存器HSM_ERR_HW1，判断是否有CRC_ERROR bit置位；
4、重写正确的OTP值，恢复测试环境；</t>
  </si>
  <si>
    <t>test_upgrade.py::test_ehsm_1040</t>
  </si>
  <si>
    <t>EHSM-1041</t>
  </si>
  <si>
    <t>在 USER 模式下，测试 SM2算法签名，SM4-128-CBC算法加密的校验镜像，在启动校验密钥 CRC 配置错误情况下的异常校验场景</t>
  </si>
  <si>
    <t>1、配置OTP 生命周期user模式，校验签名算法密钥eHSM_VERIFY_KEY配置SM2密钥的SM3 值为预置值，升级加密密钥eHSM_ENC_KEY配置SM4-CBC算法预置密钥值；校验密钥的CRC设置为0；
2、重启eHSM并检查生命周期；
3、读上位机的状态寄存器HSM_ERR_HW1，判断是否有CRC_ERROR bit置位；
4、重写正确的OTP值，恢复测试环境；</t>
  </si>
  <si>
    <t>test_upgrade.py::test_ehsm_1041</t>
  </si>
  <si>
    <t>EHSM-1042</t>
  </si>
  <si>
    <t>在Dev模式下，测试 AES-CMAC算法签名，AES-CBC算法加密的升级镜像的升级流程, 启动镜像的Plain_Flag为1明文</t>
  </si>
  <si>
    <t>1、配置OTP 生命周期Dev模式，升级签名算法密钥eHSM_UPGRADE_VERIFY_KEY配置AES-CMAC(128 or 256)算法预置密钥值和对应属性，升级加密密钥eHSM_UPGRADE_ENC_KEY配置AES-CBC(128 or 256)算法预置密钥值和对应属性；重启eHSM生效；
2、准备好使用AES-128_CMAC算法预置密钥签名和使用AES-CBC(128 or 256)算法预置密钥加密的eHSM升级镜像，启动镜像的Plain_Flag为1明文，并配置到升级命令的镜像地址，并发送升级命令；
3、验证升级输出镜像内容是否与原始固件一致；</t>
  </si>
  <si>
    <t>test_upgrade.py::test_ehsm_1042</t>
  </si>
  <si>
    <t>EHSM-1043</t>
  </si>
  <si>
    <t>在Dev模式下，测试 AES-CMAC算法签名，AES-CBC算法加密的升级镜像的升级流程, 配置升级校验算法类型非法值</t>
  </si>
  <si>
    <t>1、配置OTP 生命周期Dev模式，升级签名算法密钥eHSM_UPGRADE_VERIFY_KEY配置AES-CMAC(128 or 256)算法预置密钥值和对应属性，升级加密密钥eHSM_UPGRADE_ENC_KEY配置AES-CBC(128 or 256)算法预置密钥值和对应属性，配置升级算法为非法值；重启eHSM生效；
2、准备好使用AES-128_CMAC算法预置密钥签名和使用AES-CBC(128 or 256)算法预置密钥加密的eHSM升级镜像，启动镜像的Plain_Flag为1明文，并配置到升级命令的镜像地址，并发送升级命令；</t>
  </si>
  <si>
    <t>test_upgrade.py::test_ehsm_1043</t>
  </si>
  <si>
    <t>EHSM-1044</t>
  </si>
  <si>
    <t>在User模式下，测试 SM2 算法签名，SM4-128-CBC算法加密的eHSM启动镜像， 在校验算法非法情况下的异常校验流程</t>
  </si>
  <si>
    <t>1、配置OTP 生命周期User模式，校验签名算法密钥配置AES-128-CMAC算法，校验加密密钥配置AES-128-CBC算法，校验算法类型配置非法值；重启eHSM生效；
2、准备好使用AES-128-CMAC算法签名和AES-128-CBC算法加密的eHSM启动镜像，并发送校验命令；</t>
  </si>
  <si>
    <t>1、配置成功；
2、发送成功；</t>
  </si>
  <si>
    <t>test_upgrade.py::test_ehsm_1044</t>
  </si>
  <si>
    <t>EHSM-1045</t>
  </si>
  <si>
    <t>在User模式下，测试 SM2 算法签名，SM4-128-CBC算法加密的eHSM启动镜像在Valid flag错误状态下的异常校验测试</t>
  </si>
  <si>
    <t>1、配置OTP 生命周期User模式，校验签名算法密钥配置SM2公钥HASH值和对应属性，校验加密密钥配置SM4-128-CBC预置值和对应属性；重启eHSM生效；
2、准备好使用SM2算法签名和SM4-128-CBC加密的eHSM启动镜像，修改镜像valid_flag为错误状态，并发送校验命令；</t>
  </si>
  <si>
    <t>test_upgrade.py::test_ehsm_1045</t>
  </si>
  <si>
    <t>EHSM-1046</t>
  </si>
  <si>
    <t>验证校验流程镜像头和代码分离情况，AES-CMAC(128 or 256)算法签名，AES-CBC(128 or 256)算法加密的eHSM启动镜像在镜像头分离时校验通过(仅拷贝镜像code)</t>
  </si>
  <si>
    <t>1、配置OTP 生命周期Test模式，校验签名算法密钥配置AES-CMAC算法预置密钥值，校验加密密钥配置AES-CBC算法预置密钥值；重启eHSM生效；
2、准备好使用AES-128-CMAC算法签名和AES-128-CBC算法加密的eHSM启动镜像，配置only_copy_code为1进行镜像头和代码分离校验；</t>
  </si>
  <si>
    <t>test_upgrade.py::test_ehsm_1046</t>
  </si>
  <si>
    <t>EHSM-1047</t>
  </si>
  <si>
    <t>在USER模式下，验证校验流程镜像头和代码分离情况，测试 AES-CMAC算法签名，AES-CBC算法加密的SOC_USE_SOC_KEY启动镜像的ONEPASS校验流程，输出完整镜像</t>
  </si>
  <si>
    <t>1、配置OTP生命周期Test模式，配置SOC校验算法密钥；
2、生成AES-CMAC签名和AES-CBC加密的SOC启动镜像并执行校验（输出完整镜像）；
3、验证输出镜像内容；</t>
  </si>
  <si>
    <t>1、配置成功；
2、计算成功；
3、检查通过；</t>
  </si>
  <si>
    <t>test_upgrade.py::test_ehsm_1047</t>
  </si>
  <si>
    <t>EHSM-1048</t>
  </si>
  <si>
    <t>在USER模式下，验证校验流程镜像头和代码分离情况，测试 AES-CMAC算法签名，AES-CBC算法加密的SOC_USE_SOC_KEY启动镜像的ONEPASS校验流程，仅输出镜像</t>
  </si>
  <si>
    <t>1、配置OTP生命周期Test模式，配置SOC校验算法密钥；
2、生成AES-CMAC签名和AES-CBC加密的SOC启动镜像并执行校验（仅输出镜像代码）；
3、验证输出镜像内容；</t>
  </si>
  <si>
    <t>test_upgrade.py::test_ehsm_1048</t>
  </si>
  <si>
    <t>EHSM-11</t>
  </si>
  <si>
    <t>在Manu模式下，测试 AES-CMAC(128 or 256)算法签名，AES-CBC(128 or 256)算法加密的SOC_eHSM升级镜像的ONEPASS升级流程</t>
  </si>
  <si>
    <t>test_upgrade.py::test_ehsm_11</t>
  </si>
  <si>
    <t>EHSM-1103</t>
  </si>
  <si>
    <t>在USER模式下，验证校验流程镜像头和代码分离异常情况，测试 AES-CMAC算法签名，AES-CBC算法加密的SOC_USE_SOC_KEY启动镜像的ONEPASS校验流程，仅输出镜像</t>
  </si>
  <si>
    <t>1、配置OTP生命周期Test模式，配置SOC校验算法密钥；
2、生成SOC启动镜像，并故意使用非法的image_body位置进行校验（预期失败）；</t>
  </si>
  <si>
    <t>1、配置成功；
2、返回预期错误码；</t>
  </si>
  <si>
    <t>test_upgrade.py::test_ehsm_1103</t>
  </si>
  <si>
    <t>EHSM-1163</t>
  </si>
  <si>
    <t>在User模式下，测试 SM2 算法签名，SM4-128-CBC算法加密的SOC升级镜像的ONEPASS异常升级流程，使用错误的密钥值</t>
  </si>
  <si>
    <t>test_upgrade.py::test_ehsm_1163</t>
  </si>
  <si>
    <t>EHSM-1164</t>
  </si>
  <si>
    <t>在User模式下，测试 SM2 算法签名，SM4-128-CBC算法加密的SOC升级镜像的ONEPASS异常升级流程，使用错误的密钥类型</t>
  </si>
  <si>
    <t>test_upgrade.py::test_ehsm_1164</t>
  </si>
  <si>
    <t>EHSM-1165</t>
  </si>
  <si>
    <t>在User模式下，测试 SM2 算法签名，SM4-128-CBC算法加密的SOC升级镜像的ONEPASS异常升级流程，使用错误的密钥生命周期</t>
  </si>
  <si>
    <t>test_upgrade.py::test_ehsm_1165</t>
  </si>
  <si>
    <t>EHSM-1167</t>
  </si>
  <si>
    <t>在 user 模式下，测试 AES-CMAC算法签名，AES-CBC算法加密的SOC_USE_SOC_KEY启动镜像的ONEPASS异常校验流程，使用错误密钥值</t>
  </si>
  <si>
    <t>test_upgrade.py::test_ehsm_1167</t>
  </si>
  <si>
    <t>EHSM-1168</t>
  </si>
  <si>
    <t>在 user 模式下，测试 AES-CMAC算法签名，AES-CBC算法加密的SOC_USE_SOC_KEY启动镜像的ONEPASS异常校验流程，使用错误密钥类型</t>
  </si>
  <si>
    <t>test_upgrade.py::test_ehsm_1168</t>
  </si>
  <si>
    <t>EHSM-1169</t>
  </si>
  <si>
    <t>在 user 模式下，测试  AES-CMAC算法签名，AES-CBC算法加密的SOC_USE_SOC_KEY启动镜像的ONEPASS异常校验流程，使用错误密钥生命周期</t>
  </si>
  <si>
    <t>test_upgrade.py::test_ehsm_1169</t>
  </si>
  <si>
    <t>EHSM-1183</t>
  </si>
  <si>
    <t>在Test模式下，修改OTP中Version_Counter预置值大于镜像的Version_Counter，测试SM2-SM3算法签名，SM4-CBC算法加密的升级镜像的升级流程  镜像版本小于OTP版本，版本错误，无法升级。</t>
  </si>
  <si>
    <t>1、配置OTP生命周期Test模式，配置SOC升级和校验算法密钥，设置OTP version为VC3；
2、生成升级镜像（镜像逻辑版本号:2 &lt; OTP逻辑版本号:3）并执行升级；</t>
  </si>
  <si>
    <t>1、配置成功；
2、执行成功；</t>
  </si>
  <si>
    <t>test_upgrade.py::test_ehsm_1183</t>
  </si>
  <si>
    <t>EHSM-1184</t>
  </si>
  <si>
    <t>在Test模式下，修改OTP中Version_Counter预置值小于镜像的Version_Counter，测试SM2-SM3算法签名，SM4-CBC算法加密的升级镜像的升级流程</t>
  </si>
  <si>
    <t>1、配置OTP生命周期Test模式，配置SOC升级和校验算法密钥，设置OTP version为VC1（较低版本）；
2、生成升级镜像（镜像逻辑版本号:2 &gt; OTP逻辑版本号:1）并执行升级；
3、验证升级输出镜像内容；
4、使用升级输出镜像执行启动校验；</t>
  </si>
  <si>
    <t>1、配置成功；
2、执行成功；
3、检查通过；
4、执行成功；</t>
  </si>
  <si>
    <t>test_upgrade.py::test_ehsm_1184</t>
  </si>
  <si>
    <t>EHSM-1188</t>
  </si>
  <si>
    <t>在Test模式下，测试fw裸镜像的在OTP数据为空的场景下的校验流程</t>
  </si>
  <si>
    <t>1、配置OTP生命周期Test模式，其它OTP域使用默认值；
2、生成eHSM裸镜像（无加密无签名）并加载到启动镜像地址；
3、发送校验指令进入校验流程，检查返回状态；</t>
  </si>
  <si>
    <t>1、配置成功；
2、计算成功；
3、发送成功；</t>
  </si>
  <si>
    <t>test_upgrade.py::test_ehsm_1188</t>
  </si>
  <si>
    <t>EHSM-1189</t>
  </si>
  <si>
    <t>在dev模式下，测试fw裸镜像的在OTP数据为空的场景下的校验流程</t>
  </si>
  <si>
    <t>test_upgrade.py::test_ehsm_1189</t>
  </si>
  <si>
    <t>EHSM-1192</t>
  </si>
  <si>
    <t>在Test模式下，测试soc裸镜像的在OTP数据为空的场景下的校验流程</t>
  </si>
  <si>
    <t>1、配置OTP生命周期Test模式，配置SOC校验算法密钥；
2、生成SOC裸镜像（无加密无签名）并加载到启动镜像地址；
3、发送校验指令进入校验流程，检查返回状态；</t>
  </si>
  <si>
    <t>test_upgrade.py::test_ehsm_1192</t>
  </si>
  <si>
    <t>EHSM-1193</t>
  </si>
  <si>
    <t>在DEV模式下，测试soc裸镜像的在OTP数据为空的场景下的校验流程</t>
  </si>
  <si>
    <t>1、配置OTP生命周期DEV模式，其它OTP域使用默认值；
2、生成SOC裸镜像（无加密无签名）并加载到启动镜像地址；
3、发送校验指令进入校验流程，检查返回状态；</t>
  </si>
  <si>
    <t>test_upgrade.py::test_ehsm_1193</t>
  </si>
  <si>
    <t>EHSM-1199</t>
  </si>
  <si>
    <t>在Test模式下，测试ecc256算法签名，不加密的eHSM启动镜像的ONEPASS校验流程，OTP Version Counter大于image Version Counter，校验过程检查Version Counter非法</t>
  </si>
  <si>
    <t>1、配置OTP生命周期Test模式，配置eHSM校验算法密钥，VERSION配置为3；
2、生成ECC256签名、无加密、Version为2的eHSM启动镜像；
3、执行校验，预期失败（OTP版本3 &gt; 镜像版本2）；</t>
  </si>
  <si>
    <t>1、配置成功；
2、计算成功；
3、执行成功；</t>
  </si>
  <si>
    <t>test_upgrade.py::test_ehsm_1199</t>
  </si>
  <si>
    <t>EHSM-12</t>
  </si>
  <si>
    <t>在Manu模式下，测试 RSA-2048算法签名，AES-CBC(128 or 256)算法加密的SOC_eHSM升级镜像的ONEPASS升级流程</t>
  </si>
  <si>
    <t>1、配置OTP 生命周期Manu模式，升级签名算法密钥eHSM_UPGRADE_VERIFY_KEY配置RSA-2048公钥HASH值和对应属性，升级加密密钥eHSM_UPGRADE_ENC_KEY配置AES-CBC预期值和对应属性，启动验证密钥eHSM_FW_VERIFY_KEY配置对应算法；重启eHSM生效；
2、生成使用RSA-2048算法签名和AES-CBC算法加密的SOC_eHSM升级镜像，并发送ONEPASS升级命令；
3、校验升级输出的启动镜像，验证ONEPASS升级流程成功；</t>
  </si>
  <si>
    <t>1、配置成功；
2、发送成功；
3、检查通过；</t>
  </si>
  <si>
    <t>test_upgrade.py::test_ehsm_12</t>
  </si>
  <si>
    <t>EHSM-1200</t>
  </si>
  <si>
    <t>在Test模式下，测试ecc-256算法签名，不加密的eHSM启动镜像的ONEPASS校验流程，OTP Version Counter小于image Version Counter，校验过程检查Version Counter合法</t>
  </si>
  <si>
    <t>1、配置OTP 生命周期Test模式，启动签名算法密钥eHSM_FW_VERIFY_KEY配置ecc-256公钥HASH值和对应属性，VERSION_COUNTER配置为1；重启eHSM生效；
2、生成使用ecc-256算法签名，不加密的eHSM启动镜像（版本固定为EHSM_VC2），并发送ONEPASS校验命令；
3、验证Version Counter检查合法，校验流程成功完成；</t>
  </si>
  <si>
    <t>test_upgrade.py::test_ehsm_1200</t>
  </si>
  <si>
    <t>EHSM-1264</t>
  </si>
  <si>
    <t>在user 模式下，测试 AES-CMAC算法签名，AES-CBC算法加密的升级镜像，在镜像大小超过 IRAM 大小的场景下的异常升级流程</t>
  </si>
  <si>
    <t>1、配置OTP 生命周期USER模式，升级签名算法密钥eHSM_UPGRADE_VERIFY_KEY配置AES-CMAC(128 or 256)算法预置密钥值和对应属性，升级加密密钥eHSM_UPGRADE_ENC_KEY配置AES-CBC(128 or 256)算法预置密钥值和对应属性；重启eHSM生效；
2、准备好使用AES-128_CMAC算法预置密钥签名和使用AES-CBC(128 or 256)算法预置密钥加密的eHSM升级镜像，并配置到升级命令的镜像地址，将image_size 改为CONFIG_BL_IRAM_SIZE+1， 并发送升级命令；
3、验证升级异常，确认因镜像大小超过IRAM限制而失败；</t>
  </si>
  <si>
    <t>test_upgrade.py::test_ehsm_1264</t>
  </si>
  <si>
    <t>EHSM-13</t>
  </si>
  <si>
    <t>在Manu模式下，测试 RSA-3072算法签名，AES-CBC(128 or 256)算法加密的SOC_eHSM升级镜像的ONEPASS升级流程</t>
  </si>
  <si>
    <t>1、配置OTP 生命周期Manu模式，升级签名算法密钥eHSM_UPGRADE_VERIFY_KEY配置RSA-3072算法公钥HASH值和对应属性，升级加密密钥eHSM_UPGRADE_ENC_KEY配置AES-CBC(128 or 256)算法预置密钥值和对应属性；重启eHSM生效；
2、准备好使用RSA-3072算法预置密钥签名和使用AES-CBC(128 or 256)算法预置密钥加密的SOC_eHSM升级镜像，并配置到升级命令的镜像地址，并发送升级命令；
3、校验升级输出的启动镜像，验证ONEPASS升级流程成功；</t>
  </si>
  <si>
    <t>test_upgrade.py::test_ehsm_13</t>
  </si>
  <si>
    <t>EHSM-14</t>
  </si>
  <si>
    <t>在Manu模式下，测试 ECC-P256R1算法签名，AES-CBC(128 or 256)算法加密的SOC_eHSM升级镜像的ONEPASS升级流程</t>
  </si>
  <si>
    <t>1、配置OTP 生命周期Manu模式，升级签名算法密钥eHSM_UPGRADE_VERIFY_KEY配置ECC-P256R1算法公钥HASH值和对应属性，升级加密密钥eHSM_UPGRADE_ENC_KEY配置AES-CBC预期值和对应属性，启动验证密钥eHSM_FW_VERIFY_KEY配置对应算法；重启eHSM生效；
2、生成使用ECC-P256R1算法签名和AES-CBC算法加密的SOC_eHSM升级镜像，并发送ONEPASS升级命令；
3、校验升级输出的启动镜像，验证ONEPASS升级流程成功；</t>
  </si>
  <si>
    <t>test_upgrade.py::test_ehsm_14</t>
  </si>
  <si>
    <t>EHSM-15</t>
  </si>
  <si>
    <t>在Manu模式下，测试 SM4-128-CMAC算法签名，SM4-128-CBC算法加密的SOC_eHSM升级镜像的ONEPASS升级流程</t>
  </si>
  <si>
    <t>1、配置OTP 生命周期Manu模式，升级签名算法密钥eHSM_UPGRADE_VERIFY_KEY配置SM4-128-CMAC算法预置密钥值和对应属性，升级加密密钥eHSM_UPGRADE_ENC_KEY配置SM4-128-CBC算法预置密钥值和对应属性，启动验证密钥eHSM_FW_VERIFY_KEY配置对应算法；重启eHSM生效；
2、生成使用SM4-128-CMAC算法签名和SM4-128-CBC算法加密的SOC_eHSM升级镜像，并发送ONEPASS升级命令；
3、校验升级输出的启动镜像，验证ONEPASS升级流程成功；</t>
  </si>
  <si>
    <t>test_upgrade.py::test_ehsm_15</t>
  </si>
  <si>
    <t>EHSM-16</t>
  </si>
  <si>
    <t>在Manu模式下，测试 SM2 算法签名，SM4-128-CBC算法加密的SOC_eHSM升级镜像的ONEPASS升级流程</t>
  </si>
  <si>
    <t>1、配置OTP 生命周期Manu模式，升级签名算法密钥eHSM_UPGRADE_VERIFY_KEY配置SM2算法公钥HASH值和对应属性，升级加密密钥eHSM_UPGRADE_ENC_KEY配置SM4-128-CBC算法预置密钥值和对应属性，启动验证密钥eHSM_FW_VERIFY_KEY配置对应算法；重启eHSM生效；
2、生成使用SM2算法签名和SM4-128-CBC算法加密的SOC_eHSM升级镜像，并发送ONEPASS升级命令；
3、校验升级输出的启动镜像，验证ONEPASS升级流程成功；</t>
  </si>
  <si>
    <t>test_upgrade.py::test_ehsm_16</t>
  </si>
  <si>
    <t>EHSM-17</t>
  </si>
  <si>
    <t>在User模式下，测试 AES-CMAC(128 or 256)算法签名，AES-CBC(128 or 256)算法加密的SOC升级镜像的ONEPASS升级流程</t>
  </si>
  <si>
    <t>1、配置OTP 生命周期User模式，升级签名算法密钥SOC_UPGRADE_VERIFY_KEY配置AES-CMAC(128)算法预置密钥值和对应属性，升级加密密钥SOC_UPGRADE_ENC_KEY配置AES-CBC(128)算法预置密钥值和对应属性；重启eHSM生效；
2、生成使用AES-CMAC(128)算法签名和AES-CBC(128)算法加密的SOC升级镜像，并发送ONEPASS升级命令；
3、校验升级输出的启动镜像，验证ONEPASS升级流程成功；</t>
  </si>
  <si>
    <t>test_upgrade.py::test_ehsm_17</t>
  </si>
  <si>
    <t>EHSM-18</t>
  </si>
  <si>
    <t>在User模式下，测试 RSA-2048算法签名，AES-CBC(128 or 256)算法加密的SOC升级镜像的ONEPASS升级流程</t>
  </si>
  <si>
    <t>1、配置OTP 生命周期User模式，升级签名算法密钥SOC_UPGRADE_VERIFY_KEY配置RSA-2048算法公钥HASH值和对应属性，升级加密密钥SOC_UPGRADE_ENC_KEY配置AES-CBC(128)算法预置密钥值和对应属性；重启eHSM生效；
2、生成使用RSA-2048算法签名和AES-CBC(128)算法加密的SOC升级镜像，并发送ONEPASS升级命令；
3、校验升级输出的启动镜像，验证ONEPASS升级流程成功；</t>
  </si>
  <si>
    <t>test_upgrade.py::test_ehsm_18</t>
  </si>
  <si>
    <t>EHSM-19</t>
  </si>
  <si>
    <t>在User模式下，测试 RSA-3072算法签名，AES-CBC(128 or 256)算法加密的SOC升级镜像的ONEPASS升级流程</t>
  </si>
  <si>
    <t>1、配置OTP 生命周期User模式，升级签名算法密钥SOC_UPGRADE_VERIFY_KEY配置RSA-3072算法公钥HASH值和对应属性，升级加密密钥SOC_UPGRADE_ENC_KEY配置AES-CBC(128)算法预置密钥值和对应属性；重启eHSM生效；
2、生成使用RSA-3072算法签名和AES-CBC(128)算法加密的SOC升级镜像，并发送ONEPASS升级命令；
3、校验升级输出的启动镜像，验证ONEPASS升级流程成功；</t>
  </si>
  <si>
    <t>test_upgrade.py::test_ehsm_19</t>
  </si>
  <si>
    <t>EHSM-20</t>
  </si>
  <si>
    <t>在User模式下，测试 ECC-P256R1算法签名，AES-CBC(128 or 256)算法加密的SOC升级镜像的ONEPASS升级流程</t>
  </si>
  <si>
    <t>1、配置OTP 生命周期User模式，升级签名算法密钥SOC_UPGRADE_VERIFY_KEY配置ECC-P256R1算法公钥HASH值和对应属性，升级加密密钥SOC_UPGRADE_ENC_KEY配置AES-CBC(128)算法预置密钥值和对应属性；重启eHSM生效；
2、生成使用ECC-P256R1算法签名和AES-CBC(128)算法加密的SOC升级镜像，并发送ONEPASS升级命令；
3、校验升级输出的启动镜像，验证ONEPASS升级流程成功；</t>
  </si>
  <si>
    <t>test_upgrade.py::test_ehsm_20</t>
  </si>
  <si>
    <t>EHSM-21</t>
  </si>
  <si>
    <t>在User模式下，测试 SM4-128-CMAC算法签名，SM4-128-CBC算法加密的SOC升级镜像的ONEPASS升级流程</t>
  </si>
  <si>
    <t>1、配置OTP 生命周期User模式，升级签名算法密钥SOC_UPGRADE_VERIFY_KEY配置SM4-128-CMAC算法预置密钥值和对应属性，升级加密密钥SOC_UPGRADE_ENC_KEY配置SM4-128-CBC算法预置密钥值和对应属性；重启eHSM生效；
2、生成使用SM4-128-CMAC算法签名和SM4-128-CBC算法加密的SOC升级镜像，并发送ONEPASS升级命令；
3、校验升级输出的启动镜像，验证ONEPASS升级流程成功；</t>
  </si>
  <si>
    <t>test_upgrade.py::test_ehsm_21</t>
  </si>
  <si>
    <t>EHSM-22</t>
  </si>
  <si>
    <t>在User模式下，测试 SM2 算法签名，SM4-128-CBC算法加密的SOC升级镜像的ONEPASS升级流程</t>
  </si>
  <si>
    <t>1、配置OTP 生命周期User模式，升级签名算法密钥SOC_UPGRADE_VERIFY_KEY配置SM2算法公钥HASH值和对应属性，升级加密密钥SOC_UPGRADE_ENC_KEY配置SM4-128-CBC算法预置密钥值和对应属性；重启eHSM生效；
2、生成使用SM2算法签名和SM4-128-CBC算法加密的SOC升级镜像，并发送ONEPASS升级命令；
3、校验升级输出的启动镜像，验证ONEPASS升级流程成功；</t>
  </si>
  <si>
    <t>test_upgrade.py::test_ehsm_22</t>
  </si>
  <si>
    <t>EHSM-23</t>
  </si>
  <si>
    <t>在Test模式下，测试 AES-CMAC(128 or 256)算法签名，AES-CBC(128 or 256)算法加密的eHSM升级镜像的三段式升级流程</t>
  </si>
  <si>
    <t>1、配置OTP生命周期，EHSM加密算法密钥和签名算法密钥；
2、准备升级镜像；
3、重启eHSM生效；
4、发送start指令启动升级，检查升级返回的状态值；
5、发送update指令更新，检查升级返回的状态值；
6、发送finish指令完成升级，检查升级返回的状态值；</t>
  </si>
  <si>
    <t>1、配置成功；
2、镜像生成成功；
3、重启成功，状态正常；
4、发送成功；
5、发送成功；
6、发送成功；</t>
  </si>
  <si>
    <t>test_upgrade.py::test_ehsm_23</t>
  </si>
  <si>
    <t>EHSM-24</t>
  </si>
  <si>
    <t>在Test模式下，测试 RSA-2048算法签名，AES-CBC(128 or 256)算法加密的eHSM升级镜像的三段式升级流程</t>
  </si>
  <si>
    <t>test_upgrade.py::test_ehsm_24</t>
  </si>
  <si>
    <t>EHSM-25</t>
  </si>
  <si>
    <t>在Test模式下，测试 RSA-3072算法签名，AES-CBC(128 or 256)算法加密的eHSM升级镜像的三段式升级流程</t>
  </si>
  <si>
    <t>test_upgrade.py::test_ehsm_25</t>
  </si>
  <si>
    <t>EHSM-26</t>
  </si>
  <si>
    <t>在Test模式下，测试 ECC-P256R1算法签名，AES-CBC(128 or 256)算法加密的eHSM升级镜像的三段式升级流程</t>
  </si>
  <si>
    <t>test_upgrade.py::test_ehsm_26</t>
  </si>
  <si>
    <t>EHSM-27</t>
  </si>
  <si>
    <t>在Test模式下，测试 SM4-CMAC算法签名，SM4-CBC算法加密的eHSM升级镜像的三段式升级流程</t>
  </si>
  <si>
    <t>test_upgrade.py::test_ehsm_27</t>
  </si>
  <si>
    <t>EHSM-28</t>
  </si>
  <si>
    <t>在Test模式下，测试 SM2算法签名，SM4-CBC算法加密的eHSM升级镜像的三段式升级流程</t>
  </si>
  <si>
    <t>test_upgrade.py::test_ehsm_28</t>
  </si>
  <si>
    <t>EHSM-29</t>
  </si>
  <si>
    <t>在Test模式下，测试 AES-CMAC(128 or 256)算法签名，AES-CBC(128 or 256)算法加密的SOC-eHSM升级镜像的三段式升级流程</t>
  </si>
  <si>
    <t>1、配置OTP生命周期，EHSM加密算法密钥和签名算法密钥；
2、准备升级镜像；
3、重启eHSM生效；
4、发送start指令启动升级，检查升级返回的状态值；
5、发送update指令更新，检查升级返回的状态值；
6、发送finish指令完成升级，检查升级返回的状态值；
7、执行SOC镜像验证并比对结果；</t>
  </si>
  <si>
    <t>1、配置成功；
2、镜像生成成功；
3、重启成功，状态正常；
4、发送成功；
5、发送成功；
6、发送成功；
7、验证成功，镜像内容正确；</t>
  </si>
  <si>
    <t>test_upgrade.py::test_ehsm_29</t>
  </si>
  <si>
    <t>EHSM-30</t>
  </si>
  <si>
    <t>在Test模式下，测试 RSA-2048算法签名，AES-CBC(128 or 256)算法加密的SOC-eHSM升级镜像的三段式升级流程</t>
  </si>
  <si>
    <t>test_upgrade.py::test_ehsm_30</t>
  </si>
  <si>
    <t>EHSM-31</t>
  </si>
  <si>
    <t>在Manu模式下，测试 RSA-3072算法签名，AES-CBC(128 or 256)算法加密的SOC-eHSM升级镜像的三段式升级流程</t>
  </si>
  <si>
    <t>test_upgrade.py::test_ehsm_31</t>
  </si>
  <si>
    <t>EHSM-32</t>
  </si>
  <si>
    <t>在User模式下，测试 ECC-P256R1算法签名，AES-CBC(128 or 256)算法加密的SOC-eHSM升级镜像的三段式升级流程</t>
  </si>
  <si>
    <t>test_upgrade.py::test_ehsm_32</t>
  </si>
  <si>
    <t>EHSM-33</t>
  </si>
  <si>
    <t>在Debug模式下，测试 SM4-CMAC算法签名，SM4-CBC算法加密的SOC-eHSM升级镜像的三段式升级流程</t>
  </si>
  <si>
    <t>test_upgrade.py::test_ehsm_33</t>
  </si>
  <si>
    <t>EHSM-34</t>
  </si>
  <si>
    <t>在Test模式下，测试 SM2算法签名，SM4-CBC算法加密的SOC-eHSM升级镜像的三段式升级流程</t>
  </si>
  <si>
    <t>test_upgrade.py::test_ehsm_34</t>
  </si>
  <si>
    <t>EHSM-35</t>
  </si>
  <si>
    <t>在Dev模式下，测试 AES-CMAC(128 or 256)算法签名，AES-CBC(128 or 256)算法加密的SOC升级镜像的三段式升级流程</t>
  </si>
  <si>
    <t>1、配置OTP生命周期，SOC加密算法密钥和签名算法密钥；
2、准备升级镜像；
3、重启eHSM生效；
4、发送start指令启动升级，检查升级返回的状态值；
5、发送update指令更新，检查升级返回的状态值；
6、发送finish指令完成升级，检查升级返回的状态值；
7、执行SOC镜像验证并比对结果；</t>
  </si>
  <si>
    <t>test_upgrade.py::test_ehsm_35</t>
  </si>
  <si>
    <t>EHSM-36</t>
  </si>
  <si>
    <t>在Test模式下，测试 RSA-2048算法签名，AES-CBC(128 or 256)算法加密的SOC升级镜像的三段式升级流程</t>
  </si>
  <si>
    <t>test_upgrade.py::test_ehsm_36</t>
  </si>
  <si>
    <t>EHSM-37</t>
  </si>
  <si>
    <t>在Manu模式下，测试 RSA-3072算法签名，AES-CBC(128 or 256)算法加密的SOC升级镜像的三段式升级流程</t>
  </si>
  <si>
    <t>test_upgrade.py::test_ehsm_37</t>
  </si>
  <si>
    <t>EHSM-38</t>
  </si>
  <si>
    <t>在User模式下，测试 ECC-P256R1算法签名，AES-CBC(128 or 256)算法加密的SOC升级镜像的三段式升级流程</t>
  </si>
  <si>
    <t>test_upgrade.py::test_ehsm_38</t>
  </si>
  <si>
    <t>EHSM-39</t>
  </si>
  <si>
    <t>在Debug模式下，测试 SM4-CMAC算法签名，SM4-CBC算法加密的SOC升级镜像的三段式升级流程</t>
  </si>
  <si>
    <t>test_upgrade.py::test_ehsm_39</t>
  </si>
  <si>
    <t>EHSM-4</t>
  </si>
  <si>
    <t>在Dev模式下，测试 AES-CMAC(128 or 256)算法签名，AES-CBC(128 or 256)算法加密的eHSM升级镜像的ONEPASS升级流程</t>
  </si>
  <si>
    <t>1、配置OTP 生命周期Dev模式，升级签名算法密钥eHSM_UPGRADE_VERIFY_KEY配置AES-CMAC(128)算法预置密钥值和对应属性，升级加密密钥eHSM_UPGRADE_ENC_KEY配置AES-CBC(128)算法预置密钥值和对应属性；重启eHSM生效；
2、准备好使用AES-CMAC(128)算法预置密钥签名和AES-CBC(128)算法预置密钥加密的eHSM升级镜像，并配置到升级命令的镜像地址，并发送升级命令；
3、校验升级输出的启动镜像，验证ONEPASS升级流程成功；</t>
  </si>
  <si>
    <t>test_upgrade.py::test_ehsm_4</t>
  </si>
  <si>
    <t>EHSM-40</t>
  </si>
  <si>
    <t>在Test模式下，测试 SM2算法签名，SM4-CBC算法加密的SOC升级镜像的三段式升级流程</t>
  </si>
  <si>
    <t>test_upgrade.py::test_ehsm_40</t>
  </si>
  <si>
    <t>EHSM-41</t>
  </si>
  <si>
    <t>在Test模式下，修改 AES-CMAC(128 or 256)算法签名，AES-CBC(128 or 256)算法加密的eHSM升级镜像Upgrade_Valid_Flag数据和预期不一致，测试升级流程</t>
  </si>
  <si>
    <t>1、配置OTP 生命周期Test模式，升级签名算法密钥eHSM_UPGRADE_VERIFY_KEY配置AES-CMAC(128 or 256)算法预置密钥值和对应属性，升级加密密钥eHSM_UPGRADE_ENC_KEY配置AES-CBC(128 or 256)算法预置密钥值和对应属性；重启eHSM生效；
2、准备好使用AES-128_CMAC算法预置密钥签名和使用AES-CBC(128 or 256)算法预置密钥加密的eHSM升级镜像，修改Upgrade_Valid_Flag值的首位为0x00，并保留原始值；
3、将修改后的镜像配置到升级命令的镜像地址，并发送升级命令；</t>
  </si>
  <si>
    <t>1、配置成功；
2、计算成功；
3、配置成功；</t>
  </si>
  <si>
    <t>test_upgrade.py::test_ehsm_41</t>
  </si>
  <si>
    <t>EHSM-42</t>
  </si>
  <si>
    <t>在Test模式下，修改 AES-CMAC(128 or 256)算法签名，AES-CBC(128 or 256)算法加密的eHSM升级镜像的Upgrade_Signature区域，测试升级流程</t>
  </si>
  <si>
    <t>1、配置OTP 生命周期Test模式，升级签名算法密钥eHSM_UPGRADE_VERIFY_KEY配置AES-CMAC(128 or 256)算法预置密钥值和对应属性，升级加密密钥eHSM_UPGRADE_ENC_KEY配置AES-CBC(128 or 256)算法预置密钥值和对应属性；重启eHSM生效；
2、准备好使用AES-128_CMAC算法预置密钥签名和使用AES-CBC(128 or 256)算法预置密钥加密的eHSM升级镜像，修改Upgrade_Signature区域数据；
3、将修改后的镜像配置到升级命令的镜像地址，并发送升级命令；</t>
  </si>
  <si>
    <t>test_upgrade.py::test_ehsm_42</t>
  </si>
  <si>
    <t>EHSM-43</t>
  </si>
  <si>
    <t>在Test模式下，修改OTP中eHSM_FW_VERIFY_KEY的（hash）预置值，测试 RSA-2048算法签名，AES-CBC(128 or 256)算法加密的eHSM升级镜像的升级流程</t>
  </si>
  <si>
    <t>1、配置OTP 生命周期Test模式，升级签名算法密钥eHSM_UPGRADE_VERIFY_KEY配置错误HASH值和对应属性，升级加密密钥eHSM_UPGRADE_ENC_KEY配置AES-CBC(128 or 256)算法预置密钥值和对应属性；重启eHSM生效；
2、准备好使用RSA-2048算法预置密钥签名和使用AES-CBC(128 or 256)算法预置密钥加密的eHSM升级镜像，并配置到升级命令的镜像地址，并发送升级命令；</t>
  </si>
  <si>
    <t>test_upgrade.py::test_ehsm_43</t>
  </si>
  <si>
    <t>EHSM-44</t>
  </si>
  <si>
    <t>在Test模式下，修改OTP中Version_Counter预置值大于镜像的Version_Counter，测试 RSA-2048算法签名，AES-CBC(128 or 256)算法加密的eHSM升级镜像的升级流程</t>
  </si>
  <si>
    <t>1、配置OTP 生命周期Test模式，升级签名算法密钥eHSM_UPGRADE_VERIFY_KEY配置RSA-2048算法公钥HASH值和对应属性，升级加密密钥eHSM_UPGRADE_ENC_KEY配置AES-CBC(128 or 256)算法预置密钥值和对应属性，OTP Version配置0x07，即版本号为3；重启eHSM生效；
2、准备好使用RSA-2048算法预置密钥签名和使用AES-CBC(128 or 256)算法预置密钥加密、Version counter为0x03 的eHSM升级镜像，并配置到升级命令的镜像地址，并发送升级命令；</t>
  </si>
  <si>
    <t>test_upgrade.py::test_ehsm_44</t>
  </si>
  <si>
    <t>EHSM-45</t>
  </si>
  <si>
    <t>在Test模式下，修改OTP中Version_Counter预置值小于镜像的Version_Counter，测试 RSA-2048算法签名，AES-CBC(128 or 256)算法加密的eHSM升级镜像的升级流程</t>
  </si>
  <si>
    <t>1、配置OTP 生命周期Test模式，升级签名算法密钥eHSM_UPGRADE_VERIFY_KEY配置RSA-2048算法公钥HASH值和对应属性，升级加密密钥eHSM_UPGRADE_ENC_KEY配置AES-CBC(128 or 256)算法预置密钥值和对应属性，OTP Version配置0x01，即版本号为1；重启eHSM生效；
2、准备好使用RSA-2048算法预置密钥签名和使用AES-CBC(128 or 256)算法预置密钥加密、Version counter为0x03 的eHSM升级镜像，并配置到升级命令的镜像地址，并发送升级命令；</t>
  </si>
  <si>
    <t>test_upgrade.py::test_ehsm_45</t>
  </si>
  <si>
    <t>EHSM-46</t>
  </si>
  <si>
    <t>在Test模式下，测试升级接口对异常参数的处理过程</t>
  </si>
  <si>
    <t>1、配置OTP 生命周期Test模式；重启eHSM生效；
2、升级命令配置 process_mode 为0xf，其它值合法，并发送；
3、升级命令配置 upgrade_image 地址为空，其它值合法，并发送；
4、升级命令配置 storage_image地址为空，其它值合法，并发送；
5、升级命令配置 storage_enc 为0xf，其它值合法，并发送；</t>
  </si>
  <si>
    <t>1、配置成功；
2、配置成功；
3、配置成功；
4、配置成功；
5、配置成功；</t>
  </si>
  <si>
    <t>test_upgrade.py::test_ehsm_46</t>
  </si>
  <si>
    <t>EHSM-47</t>
  </si>
  <si>
    <t>在Test模式下，测试 AES-CMAC(128 or 256)算法签名，AES-CBC(128 or 256)算法加密的eHSM启动镜像的ONEPASS校验流程</t>
  </si>
  <si>
    <t>1、配置OTP 生命周期Test模式，升级签名算法密钥eHSM_FW_VERIFY_KEY配置AES-CMAC(128 or 256)算法预置密钥值和对应属性，升级加密密钥eHSM_ENC_KEY配置AES-CBC(128 or 256)算法预置密钥值和对应属性；重启eHSM生效；
2、准备好使用AES-128_CMAC算法预置密钥签名和使用AES-CBC(128 or 256)算法预置密钥加密的eHSM启动镜像，并配置到校验命令的镜像地址，并发送校验命令；</t>
  </si>
  <si>
    <t>test_upgrade.py::test_ehsm_47</t>
  </si>
  <si>
    <t>EHSM-48</t>
  </si>
  <si>
    <t>在Test模式下，测试 RSA-2048算法签名，AES-CBC(128 or 256)算法加密的eHSM启动镜像的ONEPASS校验流程</t>
  </si>
  <si>
    <t>1、配置OTP 生命周期Test模式，升级签名算法密钥eHSM_FW_VERIFY_KEY配置RSA-2048公钥HASH值和对应属性，升级加密密钥eHSM_ENC_KEY配置AES-CBC(128 or 256)算法预置密钥值和对应属性；重启eHSM生效；
2、准备好RSA-2048签名和使用AES-CBC(128 or 256)算法预置密钥加密的eHSM启动镜像，并配置到校验命令的镜像地址，并发送校验命令；</t>
  </si>
  <si>
    <t>test_upgrade.py::test_ehsm_48</t>
  </si>
  <si>
    <t>EHSM-49</t>
  </si>
  <si>
    <t>在Test模式下，测试 RSA-3072算法签名，AES-CBC(128 or 256)算法加密的eHSM启动镜像的ONEPASS校验流程</t>
  </si>
  <si>
    <t>1、配置OTP 生命周期Test模式，升级签名算法密钥eHSM_FW_VERIFY_KEY配置RSA-3072公钥HASH值和对应属性，升级加密密钥eHSM_ENC_KEY配置AES-CBC(128 or 256)算法预置密钥值和对应属性；重启eHSM生效；
2、准备好RSA-3072签名和使用AES-CBC(128 or 256)算法预置密钥加密的eHSM启动镜像，并配置到校验命令的镜像地址，并发送校验命令；</t>
  </si>
  <si>
    <t>test_upgrade.py::test_ehsm_49</t>
  </si>
  <si>
    <t>EHSM-5</t>
  </si>
  <si>
    <t>在Test模式下，测试 AES-CMAC(128 or 256)算法签名，AES-CBC(128 or 256)算法加密的eHSM升级镜像的ONEPASS升级流程</t>
  </si>
  <si>
    <t>1、配置OTP 生命周期Test模式，升级签名算法密钥eHSM_UPGRADE_VERIFY_KEY配置AES-CMAC(128 or 256)算法预置密钥值和对应属性，升级加密密钥eHSM_UPGRADE_ENC_KEY配置AES-CBC(128 or 256)算法预置密钥值和对应属性；重启eHSM生效；
2、准备好使用AES-128_CMAC算法预置密钥签名和使用AES-CBC(128 or 256)算法预置密钥加密的eHSM升级镜像，并配置到升级命令的镜像地址，并发送升级命令；
3、检测升级后的镜像解密后的明文是否和原始明文镜像一致；</t>
  </si>
  <si>
    <t>1、配置成功；
2、配置成功；
3、执行成功；</t>
  </si>
  <si>
    <t>test_upgrade.py::test_ehsm_5</t>
  </si>
  <si>
    <t>EHSM-50</t>
  </si>
  <si>
    <t>在Test模式下，测试 ECC-P256R1算法签名，AES-CBC(128 or 256)算法加密的eHSM启动镜像的ONEPASS校验流程</t>
  </si>
  <si>
    <t>1、配置OTP 生命周期Test模式，升级签名算法密钥eHSM_FW_VERIFY_KEY配置ECC-P256R1公钥HASH值和对应属性，升级加密密钥eHSM_ENC_KEY配置AES-CBC(128 or 256)算法预置密钥值和对应属性；重启eHSM生效；
2、准备好ECC-P256R1签名和使用AES-CBC(128 or 256)算法预置密钥加密的eHSM启动镜像，并配置到校验命令的镜像地址，并发送校验命令；</t>
  </si>
  <si>
    <t>test_upgrade.py::test_ehsm_50</t>
  </si>
  <si>
    <t>EHSM-51</t>
  </si>
  <si>
    <t>在Test模式下，测试 SM4-128-CMAC算法签名，SM4-128-CBC算法加密的eHSM启动镜像的ONEPASS校验流程</t>
  </si>
  <si>
    <t>1、配置OTP 生命周期Test模式，升级签名算法密钥eHSM_FW_VERIFY_KEY配置SM4-128-CMAC算法预置密钥值和对应属性，升级加密密钥eHSM_ENC_KEY配置SM4-128-CBC算法预置密钥值和对应属性；重启eHSM生效；
2、准备好使用SM4-128-CMAC算法预置密钥签名和使用SM4-128-CBC算法预置密钥加密的eHSM启动镜像，并配置到校验命令的镜像地址，并发送校验命令；</t>
  </si>
  <si>
    <t>test_upgrade.py::test_ehsm_51</t>
  </si>
  <si>
    <t>EHSM-52</t>
  </si>
  <si>
    <t>在Test模式下，测试 SM2 算法签名，SM4-128-CBC算法加密的eHSM启动镜像的ONEPASS校验流程</t>
  </si>
  <si>
    <t>1、配置OTP 生命周期Test模式，升级签名算法密钥eHSM_FW_VERIFY_KEY配置SM2公钥HASH值和对应属性，升级加密密钥eHSM_ENC_KEY配置SM4-128-CBC算法预置密钥值和对应属性；重启eHSM生效；
2、准备好使用SM2算法预置密钥签名和使用SM4-128-CBC算法预置密钥加密的eHSM启动镜像，并配置到校验命令的镜像地址，并发送校验命令；</t>
  </si>
  <si>
    <t>test_upgrade.py::test_ehsm_52</t>
  </si>
  <si>
    <t>EHSM-53</t>
  </si>
  <si>
    <t>在User模式下，测试 SM2 算法签名，SM4-128-CBC算法加密的eHSM启动镜像的ONEPASS校验流程</t>
  </si>
  <si>
    <t>1、配置OTP 生命周期User模式，升级签名算法密钥eHSM_FW_VERIFY_KEY配置SM2公钥HASH值和对应属性，升级加密密钥eHSM_ENC_KEY配置SM4-128-CBC算法预置密钥值和对应属性；重启eHSM生效；
2、准备好使用SM2算法预置密钥签名和使用SM4-128-CBC算法预置密钥加密的eHSM启动镜像，并配置到校验命令的镜像地址，并发送校验命令；</t>
  </si>
  <si>
    <t>test_upgrade.py::test_ehsm_53</t>
  </si>
  <si>
    <t>EHSM-54</t>
  </si>
  <si>
    <t>在Test模式下，测试 AES-CMAC(128 or 256)算法签名，AES-CBC(128 or 256)算法加密的SOC_USE_EHSM_KEY启动镜像的ONEPASS校验流程</t>
  </si>
  <si>
    <t>1、配置OTP 生命周期Test模式，升级签名算法密钥eHSM_FW_VERIFY_KEY配置AES-CMAC(128 or 256)算法预置密钥值和对应属性，升级加密密钥eHSM_ENC_KEY配置AES-CBC(128 or 256)算法预置密钥值和对应属性；重启eHSM生效；
2、准备好使用AES-128_CMAC算法预置密钥签名和使用AES-CBC(128 or 256)算法预置密钥加密的SOC_USE_EHSM_KEY启动镜像，并配置到校验命令的镜像地址，并发送校验命令；
3、检测校验后的镜像解密后的明文是否和原始明文镜像一致；</t>
  </si>
  <si>
    <t>test_upgrade.py::test_ehsm_54</t>
  </si>
  <si>
    <t>EHSM-55</t>
  </si>
  <si>
    <t>在Test模式下，测试 RSA-2048算法签名，AES-CBC(128 or 256)算法加密的SOC_USE_EHSM_KEY启动镜像的ONEPASS校验流程</t>
  </si>
  <si>
    <t>1、配置OTP 生命周期Test模式，升级签名算法密钥eHSM_FW_VERIFY_KEY配置RSA-2048公钥HASH值和对应属性，升级加密密钥eHSM_ENC_KEY配置AES-CBC(128 or 256)算法预置密钥值和对应属性；重启eHSM生效；
2、准备好使用RSA-2048算法预置密钥签名和使用AES-CBC(128 or 256)算法预置密钥加密的SOC_USE_EHSM_KEY启动镜像，并配置到校验命令的镜像地址，并发送校验命令；
3、检测校验后的镜像解密后的明文是否和原始明文镜像一致；</t>
  </si>
  <si>
    <t>test_upgrade.py::test_ehsm_55</t>
  </si>
  <si>
    <t>EHSM-56</t>
  </si>
  <si>
    <t>在Test模式下，测试 RSA-3072算法签名，AES-CBC(128 or 256)算法加密的SOC_USE_EHSM_KEY启动镜像的ONEPASS校验流程</t>
  </si>
  <si>
    <t>1、配置OTP 生命周期Test模式，升级签名算法密钥eHSM_FW_VERIFY_KEY配置RSA-3072公钥HASH值和对应属性，升级加密密钥eHSM_ENC_KEY配置AES-CBC(128 or 256)算法预置密钥值和对应属性；重启eHSM生效；
2、准备好使用RSA-3072算法预置密钥签名和使用AES-CBC(128 or 256)算法预置密钥加密的SOC_USE_EHSM_KEY启动镜像，并配置到校验命令的镜像地址，并发送校验命令；
3、检测校验后的镜像解密后的明文是否和原始明文镜像一致；</t>
  </si>
  <si>
    <t>test_upgrade.py::test_ehsm_56</t>
  </si>
  <si>
    <t>EHSM-57</t>
  </si>
  <si>
    <t>在Test模式下，测试 ECC-P256R1算法签名，AES-CBC(128 or 256)算法加密的SOC_USE_EHSM_KEY启动镜像的ONEPASS校验流程</t>
  </si>
  <si>
    <t>1、配置OTP 生命周期Test模式，升级签名算法密钥eHSM_FW_VERIFY_KEY配置ECC-P256R1公钥HASH值和对应属性，升级加密密钥eHSM_ENC_KEY配置AES-CBC(128 or 256)算法预置密钥值和对应属性；重启eHSM生效；
2、准备好使用ECC-P256R1算法预置密钥签名和使用AES-CBC(128 or 256)算法预置密钥加密的SOC_USE_EHSM_KEY启动镜像，并配置到校验命令的镜像地址，并发送校验命令；
3、检测校验后的镜像解密后的明文是否和原始明文镜像一致；</t>
  </si>
  <si>
    <t>test_upgrade.py::test_ehsm_57</t>
  </si>
  <si>
    <t>EHSM-58</t>
  </si>
  <si>
    <t>在Test模式下，测试 SM4-128-CMAC算法签名，SM4-128-CBC算法加密的SOC_USE_EHSM_KEY启动镜像的ONEPASS校验流程</t>
  </si>
  <si>
    <t>1、配置OTP 生命周期Test模式，升级签名算法密钥eHSM_FW_VERIFY_KEY配置SM4-128-CMAC算法预置密钥值和对应属性，升级加密密钥eHSM_ENC_KEY配置SM4-128-CBC算法预置密钥值和对应属性；重启eHSM生效；
2、准备好使用SM4-128-CMAC算法预置密钥签名和使用SM4-128-CBC算法预置密钥加密的SOC_USE_EHSM_KEY启动镜像，并配置到校验命令的镜像地址，并发送校验命令；
3、检测校验后的镜像解密后的明文是否和原始明文镜像一致；</t>
  </si>
  <si>
    <t>test_upgrade.py::test_ehsm_58</t>
  </si>
  <si>
    <t>EHSM-59</t>
  </si>
  <si>
    <t>在Test模式下，测试 SM2 算法签名，SM4-128-CBC算法加密的SOC_USE_EHSM_KEY启动镜像的ONEPASS校验流程</t>
  </si>
  <si>
    <t>１、配置OTP 生命周期Test模式，升级签名算法密钥eHSM_FW_VERIFY_KEY配置SM2公钥HASH值和对应属性，升级加密密钥eHSM_ENC_KEY配置SM4-128-CBC算法预置密钥值和对应属性；重启eHSM生效；
２、准备好使用SM2算法预置密钥签名和使用SM4-128-CBC算法预置密钥加密的SOC_USE_EHSM_KEY启动镜像，并配置到校验命令的镜像地址，并发送校验命令；
３、检测校验后的镜像解密后的明文是否和原始明文镜像一致；</t>
  </si>
  <si>
    <t>test_upgrade.py::test_ehsm_59</t>
  </si>
  <si>
    <t>EHSM-6</t>
  </si>
  <si>
    <t>在Test模式下，测试 RSA-2048算法签名，AES-CBC(128 or 256)算法加密的eHSM升级镜像的ONEPASS升级流程</t>
  </si>
  <si>
    <t>１、配置OTP 生命周期Test模式，升级签名算法密钥eHSM_UPGRADE_VERIFY_KEY配置RSA-2048算法公钥HASH值和对应属性，升级加密密钥eHSM_UPGRADE_ENC_KEY配置AES-CBC(128 or 256)算法预置密钥值和对应属性；重启eHSM生效；
２、准备好使用RSA-2048算法预置密钥签名和使用AES-CBC(128 or 256)算法预置密钥加密的eHSM升级镜像，并配置到升级命令的镜像地址，并发送升级命令；
３、检测升级后的镜像解密后的明文是否和原始明文镜像一致；</t>
  </si>
  <si>
    <t>test_upgrade.py::test_ehsm_6</t>
  </si>
  <si>
    <t>EHSM-60</t>
  </si>
  <si>
    <t>在Test模式下，测试 AES-CMAC(128 or 256)算法签名，AES-CBC(128 or 256)算法加密的SOC_USE_SOC_KEY启动镜像的ONEPASS校验流程</t>
  </si>
  <si>
    <t>１、配置OTP 生命周期Test模式，升级签名算法密钥SOC_FW_VERIFY_KEY配置AES-CMAC(128 or 256)算法预置密钥值和对应属性，升级加密密钥SOC_ENC_KEY配置AES-CBC(128 or 256)算法预置密钥值和对应属性；重启eHSM生效；
２、准备好使用AES-128_CMAC算法预置密钥签名和使用AES-CBC(128 or 256)算法预置密钥加密的SOC_USE_SOC_KEY启动镜像，并配置到校验命令的镜像地址，并发送校验命令；
３、检测校验后的镜像解密后的明文是否和原始明文镜像一致；</t>
  </si>
  <si>
    <t>test_upgrade.py::test_ehsm_60</t>
  </si>
  <si>
    <t>EHSM-61</t>
  </si>
  <si>
    <t>在Test模式下，测试 RSA-2048算法签名，AES-CBC(128 or 256)算法加密的SOC_USE_SOC_KEY启动镜像的ONEPASS校验流程</t>
  </si>
  <si>
    <t>１、配置OTP 生命周期Test模式，配置SOC校验算法密钥和升级算法密钥；重启eHSM生效；
2、生成SOC_USE_SOC_KEY启动镜像并执行校验；
3、验证校验输出镜像内容；</t>
  </si>
  <si>
    <t>1、配置成功；
2、执行成功；
3、检查通过；</t>
  </si>
  <si>
    <t>test_upgrade.py::test_ehsm_61</t>
  </si>
  <si>
    <t>EHSM-62</t>
  </si>
  <si>
    <t>在Test模式下，测试 RSA-3072算法签名，AES-CBC(128 or 256)算法加密的SOC_USE_SOC_KEY启动镜像的ONEPASS校验流程</t>
  </si>
  <si>
    <t>test_upgrade.py::test_ehsm_62</t>
  </si>
  <si>
    <t>EHSM-63</t>
  </si>
  <si>
    <t>在Test模式下，测试 ECC-P256R1算法签名，AES-CBC(128 or 256)算法加密的SOC_USE_SOC_KEY启动镜像的ONEPASS校验流程</t>
  </si>
  <si>
    <t>test_upgrade.py::test_ehsm_63</t>
  </si>
  <si>
    <t>EHSM-64</t>
  </si>
  <si>
    <t>在Test模式下，测试 SM4-128-CMAC算法签名，SM4-128-CBC算法加密的SOC_USE_SOC_KEY启动镜像的ONEPASS校验流程</t>
  </si>
  <si>
    <t>test_upgrade.py::test_ehsm_64</t>
  </si>
  <si>
    <t>EHSM-65</t>
  </si>
  <si>
    <t>在Test模式下，测试 SM2 算法签名，SM4-128-CBC算法加密的SOC_USE_SOC_KEY启动镜像的ONEPASS校验流程</t>
  </si>
  <si>
    <t>test_upgrade.py::test_ehsm_65</t>
  </si>
  <si>
    <t>EHSM-66</t>
  </si>
  <si>
    <t>在Test模式下，测试RSA-2048算法签名，不加密的eHSM启动镜像的ONEPASS校验流程</t>
  </si>
  <si>
    <t>１、配置OTP 生命周期Test模式，配置eHSM校验算法密钥；重启eHSM生效；
2、生成eHSM启动镜像并执行校验；</t>
  </si>
  <si>
    <t>test_upgrade.py::test_ehsm_66</t>
  </si>
  <si>
    <t>EHSM-67</t>
  </si>
  <si>
    <t>在Dev模式下，测试RSA-2048算法签名，不加密的eHSM启动镜像的ONEPASS校验流程</t>
  </si>
  <si>
    <t>１、配置OTP 生命周期Dev模式，配置eHSM校验算法密钥；重启eHSM生效；
2、生成eHSM启动镜像并执行校验；</t>
  </si>
  <si>
    <t>test_upgrade.py::test_ehsm_67</t>
  </si>
  <si>
    <t>EHSM-68</t>
  </si>
  <si>
    <t>在User模式下，测试RSA-2048算法签名，不加密的eHSM启动镜像的ONEPASS校验流程</t>
  </si>
  <si>
    <t>１、配置OTP 生命周期User模式，配置eHSM校验算法密钥；重启eHSM生效；
2、生成eHSM启动镜像并执行校验；</t>
  </si>
  <si>
    <t>test_upgrade.py::test_ehsm_68</t>
  </si>
  <si>
    <t>EHSM-69</t>
  </si>
  <si>
    <t>在User模式下，测试RSA-3072算法签名，不加密的eHSM启动镜像的ONEPASS校验流程</t>
  </si>
  <si>
    <t>test_upgrade.py::test_ehsm_69</t>
  </si>
  <si>
    <t>EHSM-7</t>
  </si>
  <si>
    <t>在Test模式下，测试 RSA-3072算法签名，AES-CBC(128 or 256)算法加密的eHSM升级镜像的ONEPASS升级流程</t>
  </si>
  <si>
    <t>１、配置OTP 生命周期Test模式，配置eHSM升级算法密钥；重启eHSM生效；
2、生成eHSM升级镜像并执行升级；
3、验证升级输出镜像内容；
4、使用升级输出镜像执行启动校验；</t>
  </si>
  <si>
    <t>test_upgrade.py::test_ehsm_7</t>
  </si>
  <si>
    <t>EHSM-70</t>
  </si>
  <si>
    <t>在User模式下，测试ECC-P256R1算法签名，不加密的eHSM启动镜像的ONEPASS校验流程</t>
  </si>
  <si>
    <t>1、配置OTP 生命周期User模式，校验签名算法密钥eHSM_FW_VERIFY_KEY配置ECC-P256R1公钥HASH值和对应属性，不加密；重启eHSM生效；
2、准备好使用ECC-P256R1算法预置密钥签名，不加密的eHSM启动镜像，并配置到校验命令的镜像地址，并发送校验命令；</t>
  </si>
  <si>
    <t>test_upgrade.py::test_ehsm_70</t>
  </si>
  <si>
    <t>EHSM-71</t>
  </si>
  <si>
    <t>在Test模式下，测试RSA-2048算法签名，不加密的eHSM启动镜像的ONEPASS校验流程，OTP Version Counter大于image Version Counter，校验过程检查Version Counter非法</t>
  </si>
  <si>
    <t>１、配置OTP 生命周期Test模式，VERSION配置成3（大于镜像版本2）；
2、生成版本为2的eHSM启动镜像并执行校验（预期失败）；</t>
  </si>
  <si>
    <t>test_upgrade.py::test_ehsm_71</t>
  </si>
  <si>
    <t>EHSM-72</t>
  </si>
  <si>
    <t>在Test模式下，测试RSA-2048算法签名，不加密的eHSM启动镜像的ONEPASS校验流程，OTP Version Counter小于image Version Counter，校验过程检查Version Counter合法</t>
  </si>
  <si>
    <t>１、配置OTP 生命周期Test模式，VERSION配置为1（小于镜像版本2）；
2、生成版本为2的eHSM启动镜像并执行校验（预期成功）；</t>
  </si>
  <si>
    <t>test_upgrade.py::test_ehsm_72</t>
  </si>
  <si>
    <t>EHSM-73</t>
  </si>
  <si>
    <t>在Test模式下，测试RSA-2048算法签名，不加密的eHSM启动镜像的ONEPASS校验流程，校验通过后启动</t>
  </si>
  <si>
    <t>１、检测校验启动前FW状态寄存器；
2、配置OTP 生命周期User模式，配置eHSM校验算法密钥；
3、生成eHSM启动镜像并执行校验后启动；
4、检查FW启动成功状态寄存器；</t>
  </si>
  <si>
    <t>1、执行成功；
2、配置成功；
3、执行成功；
4、检查通过；</t>
  </si>
  <si>
    <t>test_upgrade.py::test_ehsm_73</t>
  </si>
  <si>
    <t>EHSM-74</t>
  </si>
  <si>
    <t>在Test模式下，测试校验接口对异常参数的处理过程</t>
  </si>
  <si>
    <t>１、配置OTP 生命周期Test模式；
2、测试非法参数的处理；</t>
  </si>
  <si>
    <t>test_upgrade.py::test_ehsm_74</t>
  </si>
  <si>
    <t>EHSM-75</t>
  </si>
  <si>
    <t>在Test模式下，测试裸镜像的校验流程</t>
  </si>
  <si>
    <t>１、配置OTP 生命周期Test模式；
2、生成eHSM裸镜像并加载到启动镜像地址；
3、发送校验指令进入校验流程，检查返回的状态值；</t>
  </si>
  <si>
    <t>1、配置成功；
2、执行成功；
3、发送成功；</t>
  </si>
  <si>
    <t>test_upgrade.py::test_ehsm_75</t>
  </si>
  <si>
    <t>EHSM-76</t>
  </si>
  <si>
    <t>在Dev模式下，测试裸镜像的校验流程</t>
  </si>
  <si>
    <t>１、配置OTP 生命周期Dev模式；
2、生成eHSM裸镜像并加载到启动镜像地址；
3、发送校验指令进入校验流程，检查返回的状态值；</t>
  </si>
  <si>
    <t>test_upgrade.py::test_ehsm_76</t>
  </si>
  <si>
    <t>EHSM-77</t>
  </si>
  <si>
    <t>在MANU模式下，测试裸镜像的校验受限</t>
  </si>
  <si>
    <t>１、配置OTP 生命周期MANU模式；
2、生成eHSM裸镜像并加载到启动镜像地址；
3、发送校验指令进入校验流程，检查返回的状态值（预期失败）；</t>
  </si>
  <si>
    <t>test_upgrade.py::test_ehsm_77</t>
  </si>
  <si>
    <t>EHSM-78</t>
  </si>
  <si>
    <t>在USER模式下，测试裸镜像的校验受限</t>
  </si>
  <si>
    <t>１、配置OTP 生命周期User模式；
2、生成eHSM裸镜像并加载到启动镜像地址；
3、发送校验指令进入校验流程，检查返回的状态值（预期失败）；</t>
  </si>
  <si>
    <t>test_upgrade.py::test_ehsm_78</t>
  </si>
  <si>
    <t>EHSM-79</t>
  </si>
  <si>
    <t>在DEBUG模式下，测试裸镜像的校验受限</t>
  </si>
  <si>
    <t>１、配置OTP 生命周期Debug模式；
2、生成eHSM裸镜像并加载到启动镜像地址；
3、发送校验指令进入校验流程，检查返回的状态值（预期失败）；</t>
  </si>
  <si>
    <t>test_upgrade.py::test_ehsm_79</t>
  </si>
  <si>
    <t>EHSM-8</t>
  </si>
  <si>
    <t>在Test模式下，测试 ECC-P256R1算法签名，AES-CBC(128 or 256)算法加密的eHSM升级镜像的ONEPASS升级流程</t>
  </si>
  <si>
    <t>１、配置OTP 生命周期Test模式，配置eHSM升级算法密钥；
2、生成eHSM升级镜像并执行升级；
3、验证升级输出镜像内容；
4、使用升级输出镜像执行启动校验；</t>
  </si>
  <si>
    <t>test_upgrade.py::test_ehsm_8</t>
  </si>
  <si>
    <t>EHSM-9</t>
  </si>
  <si>
    <t>在Test模式下，测试 SM4-128-CMAC算法签名，SM4-128-CBC算法加密的eHSM升级镜像的ONEPASS升级流程</t>
  </si>
  <si>
    <t>test_upgrade.py::test_ehsm_9</t>
  </si>
  <si>
    <t>EHSM-965</t>
  </si>
  <si>
    <t>验证校验流程镜像头和代码分离情况，AES-CMAC(128 or 256)算法签名，AES-CBC(128 or 256)算法加密的eHSM启动镜像在镜像头分离时校验通过</t>
  </si>
  <si>
    <t>１、配置OTP 生命周期Test模式，配置eHSM校验算法密钥；
2、生成eHSM启动镜像并执行镜像头和代码分离校验；</t>
  </si>
  <si>
    <t>test_upgrade.py::test_ehsm_965</t>
  </si>
  <si>
    <t>EHSM-966</t>
  </si>
  <si>
    <t>验证校验流程镜像头和代码分离情况，对镜像body与头部不一致的情况校验失败</t>
  </si>
  <si>
    <t>１、配置OTP 生命周期Test模式，配置eHSM校验算法密钥；
2、生成eHSM启动镜像并执行错误的镜像头和代码分离校验（预期失败）；</t>
  </si>
  <si>
    <t>test_upgrade.py::test_ehsm_966</t>
  </si>
  <si>
    <t>EHSM-967</t>
  </si>
  <si>
    <t>验证校验流程镜像头和代码分离情况，SM4-128-CMAC算法签名，SM4-128-CBC算法加密的eHSM启动镜像在镜像头分离时校验通过</t>
  </si>
  <si>
    <t>test_upgrade.py::test_ehsm_967</t>
  </si>
  <si>
    <t>EHSM-968</t>
  </si>
  <si>
    <t>验证从FLASH启动ehsm FW，测试RSA-2048算法签名，不加密的eHSM启动镜像的ONEPASS校验流程，校验通过后正常启动</t>
  </si>
  <si>
    <t>１、检测校验启动前FW状态寄存器；
2、配置OTP 生命周期User模式，配置eHSM校验算法密钥；
3、生成eHSM启动镜像并执行 FLASH 启动校验；
4、检查FW启动成功状态寄存器；</t>
  </si>
  <si>
    <t>test_upgrade.py::test_ehsm_968</t>
  </si>
  <si>
    <t>EHSM-969</t>
  </si>
  <si>
    <t>验证从FLASH启动ehsm FW，测试RSA-2048算法签名，不加密的eHSM启动镜像的校验失败情况，拷贝到不正确地址</t>
  </si>
  <si>
    <t>１、检测校验启动前FW状态寄存器；
2、配置OTP 生命周期User模式，配置eHSM校验算法密钥；
3、生成eHSM启动镜像并执行 FLASH 启动校验（不正确地址，预期失败）；
4、检查FW启动状态寄存器（应为失败状态）；</t>
  </si>
  <si>
    <t>test_upgrade.py::test_ehsm_969</t>
  </si>
  <si>
    <t>EHSM-970</t>
  </si>
  <si>
    <t>验证从FLASH启动ehsm FW，测试SM2 算法签名，SM4-128-CBC算法加密的SOC_USE_SOC_KEY启动镜像的校验失败情况</t>
  </si>
  <si>
    <t>1、检测校验启动前FW状态寄存器；
2、配置OTP 生命周期User模式，升级签名算法密钥eHSM_FW_VERIFY_KEY配置SM2公钥HASH值和对应属性，升级加密密钥eHSM_ENC_KEY配置成SM4-CBC；重启eHSM生效；
3、准备好SM2签名、SM4-CBC密的eHSM启动镜像，并配置到校验命令的镜像地址，并发送校验命令，配置校验后启动；
4、检查FW启动成功状态寄存器；</t>
  </si>
  <si>
    <t>1、执行成功；
2、配置成功；
3、配置成功；
4、检查通过；</t>
  </si>
  <si>
    <t>test_upgrade.py::test_ehsm_970</t>
  </si>
  <si>
    <t>EHSM-993</t>
  </si>
  <si>
    <t>在Test模式下，测试SM2算法签名，不加密的eHSM启动镜像的ONEPASS校验流程，OTP Version Counter小于image Version Counter，校验过程检查Version Counter合法</t>
  </si>
  <si>
    <t>test_upgrade.py::test_ehsm_993</t>
  </si>
  <si>
    <t>EHSM-994</t>
  </si>
  <si>
    <t>在Test模式下，测试SM2算法签名，不加密的eHSM启动镜像的ONEPASS校验流程，OTP Version Counter大于image Version Counter，校验过程检查Version Counter非法</t>
  </si>
  <si>
    <t>1、配置OTP 生命周期Test模式，升级签名算法密钥eHSM_FW_VERIFY_KEY配置SM2公钥HASH值和对应属性，升级加密密钥eHSM_ENC_KEY配置成0x00，VERSION配置成3（大于镜像版本2）；重启eHSM生效；
2、准备好SM2签名、没有加密的eHSM启动镜像，并配置到校验命令的镜像地址，并发送校验命令，配置校验后启动；</t>
  </si>
  <si>
    <t>test_upgrade.py::test_ehsm_994</t>
  </si>
  <si>
    <t>EHSM-996</t>
  </si>
  <si>
    <t>在User模式下，测试 SM2 算法签名，SM4-128-CBC算法加密的SOC_USE_SOC_KEY启动镜像的ONEPASS校验流程</t>
  </si>
  <si>
    <t>1、配置OTP 生命周期Test模式，升级签名算法密钥SOC_FW_VERIFY_KEY配置SM2公钥HASH值和对应属性，升级加密密钥SOC_ENC_KEY配置SM4-128-CBC预置值和对应属性；重启SOC生效；
2、准备好使用SM2算法预置密钥签名和SM4-128-CBC加密的SOC_SOC启动镜像，并配置到校验命令的镜像地址，并发送校验命令；
3、检测校验后的镜像解密后的明文是否和原始明文镜像一致；</t>
  </si>
  <si>
    <t>test_upgrade.py::test_ehsm_996</t>
  </si>
  <si>
    <t>test_ehsm_u005</t>
  </si>
  <si>
    <t>在Test模式下，测试SOC_HSMK裸镜像的在OTP数据为空的场景下的校验流程</t>
  </si>
  <si>
    <t>1、配置OTP生命周期Test模式，其它OTP域使用默认值；
2、生成SOC_HSMK裸镜像（无加密无签名）并加载到启动镜像地址；
3、发送校验指令进入校验流程，检查返回状态；</t>
  </si>
  <si>
    <t>test_upgrade.py::test_ehsm_u005</t>
  </si>
  <si>
    <t>test_ehsm_u006</t>
  </si>
  <si>
    <t>在Dev模式下，测试SOC_HSMK裸镜像的在OTP数据为空的场景下的校验流程</t>
  </si>
  <si>
    <t>1、配置OTP生命周期Dev模式，其它OTP域使用默认值；
2、生成SOC_HSMK裸镜像（无加密无签名）并加载到启动镜像地址；
3、发送校验指令进入校验流程，检查返回状态；</t>
  </si>
  <si>
    <t>test_upgrade.py::test_ehsm_u006</t>
  </si>
  <si>
    <t>test_ehsm_u007</t>
  </si>
  <si>
    <t>在Manu模式下，测试SOC_HSMK裸镜像不支持校验的情况</t>
  </si>
  <si>
    <t>1、配置OTP生命周期Manu模式，其它OTP域使用默认值；
2、生成SOC_HSMK裸镜像（无加密无签名）；
3、发送校验指令，预期校验失败；</t>
  </si>
  <si>
    <t>1、配置成功；
2、生成成功；
3、校验失败（预期结果）；</t>
  </si>
  <si>
    <t>test_upgrade.py::test_ehsm_u007</t>
  </si>
  <si>
    <t>test_ehsm_u008</t>
  </si>
  <si>
    <t>在User模式下，测试SOC_HSMK裸镜像不支持校验的情况</t>
  </si>
  <si>
    <t>1、配置OTP生命周期User模式，其它OTP域使用默认值；
2、生成SOC_HSMK裸镜像（无加密无签名）；
3、发送校验指令，预期校验失败；</t>
  </si>
  <si>
    <t>test_upgrade.py::test_ehsm_u008</t>
  </si>
  <si>
    <t>test_ehsm_u009</t>
  </si>
  <si>
    <t>在Debug模式下，测试SOC_HSMK裸镜像不支持校验的情况</t>
  </si>
  <si>
    <t>1、配置OTP生命周期Debug模式，其它OTP域使用默认值；
2、生成SOC_HSMK裸镜像（无加密无签名）；
3、发送校验指令，预期校验失败；</t>
  </si>
  <si>
    <t>test_upgrade.py::test_ehsm_u009</t>
  </si>
  <si>
    <t>EHSM-U010</t>
  </si>
  <si>
    <t>在Test模式下，测试fw裸镜像的在OTP数据为空的场景下的校验启动后，DMA恢复初始状态</t>
  </si>
  <si>
    <t>1、配置OTP生命周期Test模式，其它OTP域使用默认值；
2、生成eHSM裸镜像（无加密无签名）并加载到启动镜像地址；
3、发送校验指令进入校验流程，检查返回状态；
4、检查FW启动成功状态寄存器；
5、检查DMA控制寄存器恢复初始状态；</t>
  </si>
  <si>
    <t>1、配置成功；
2、计算成功；
3、发送成功；
4、检查通过；
5、检查通过；</t>
  </si>
  <si>
    <t>test_upgrade.py::test_ehsm_u010</t>
  </si>
  <si>
    <t>EHSM_u011</t>
  </si>
  <si>
    <t>在Test模式下，测试upgrade_fw_image接口image地址为NULL的异常处理</t>
  </si>
  <si>
    <t>1、配置OTP生命周期Test模式，使用升级算法AES128_SM2；并重启生效；
2、生成有效的升级镜像；
3、调用底层hostapi接口，传入image地址为NULL(0x0)；</t>
  </si>
  <si>
    <t>1、生命周期配置成功；
2、镜像生成成功；
3、报无效地址错误；</t>
  </si>
  <si>
    <t>test_upgrade.py::test_ehsm_u011</t>
  </si>
  <si>
    <t>EHSM_u012</t>
  </si>
  <si>
    <t>在Test模式下，测试upgrade_fw_image接口image_size为0的异常处理</t>
  </si>
  <si>
    <t>1、配置OTP生命周期Test模式，使用升级算法AES128_SM2；并重启生效；
2、生成有效的升级镜像；
3、调用底层hostapi接口，传入image_size为0；</t>
  </si>
  <si>
    <t>1、生命周期配置成功；
2、镜像生成成功；
3、报无效镜像大小错误；</t>
  </si>
  <si>
    <t>test_upgrade.py::test_ehsm_u012</t>
  </si>
  <si>
    <t>EHSM_u013</t>
  </si>
  <si>
    <t>在Test模式下，测试upgrade_fw_image接口image_out地址为NULL的异常处理</t>
  </si>
  <si>
    <t>1、配置OTP生命周期Test模式，使用升级算法AES128_SM2；并重启生效；
2、生成有效的升级镜像；
3、调用底层hostapi接口，传入image_out地址为NULL(0x0)；</t>
  </si>
  <si>
    <t>test_upgrade.py::test_ehsm_u013</t>
  </si>
  <si>
    <t>EHSM_u014</t>
  </si>
  <si>
    <t>在Test模式下，测试verify_image接口ctx地址为无效地址的异常处理</t>
  </si>
  <si>
    <t>1、配置OTP生命周期Test模式，使用校验算法AES128_CMAC；并重启生效；
2、生成有效的启动镜像；
3、调用底层hostapi接口，传入ctx地址为无效地址(0x12345678)；</t>
  </si>
  <si>
    <t>1、生命周期配置成功；
2、镜像生成成功；
3、报队列为空错误；</t>
  </si>
  <si>
    <t>test_upgrade.py::test_ehsm_u014</t>
  </si>
  <si>
    <t>EHSM_u015</t>
  </si>
  <si>
    <t>在Test模式下，测试verify_image接口image地址为NULL的异常处理</t>
  </si>
  <si>
    <t>1、配置OTP生命周期Test模式，使用校验算法AES128_CMAC；并重启生效；
2、生成有效的启动镜像；
3、调用底层hostapi接口，传入image地址为NULL(0x0)；</t>
  </si>
  <si>
    <t>test_upgrade.py::test_ehsm_u015</t>
  </si>
  <si>
    <t>EHSM_u016</t>
  </si>
  <si>
    <t>在Test模式下，测试verify_image接口image_size为0的异常处理</t>
  </si>
  <si>
    <t>1、配置OTP生命周期Test模式，使用校验算法AES128_CMAC；并重启生效；
2、生成有效的启动镜像；
3、调用底层hostapi接口，传入image_size为0；</t>
  </si>
  <si>
    <t>test_upgrade.py::test_ehsm_u016</t>
  </si>
  <si>
    <t>EHSM_u0187</t>
  </si>
  <si>
    <t>在Test模式下，测试verify_image_discrete接口code地址为NULL的异常处理</t>
  </si>
  <si>
    <t>1、配置OTP生命周期Test模式，使用校验算法AES128_CMAC；并重启生效；
2、生成有效的启动镜像并分离镜像头和代码；
3、调用底层hostapi接口，传入code地址为无效地址(0x12345678)；</t>
  </si>
  <si>
    <t>test_upgrade.py::test_ehsm_u017</t>
  </si>
  <si>
    <t>secboot</t>
  </si>
  <si>
    <t>EHSM_U018</t>
  </si>
  <si>
    <t>BUG-16 EHSM版本升级：BL verify 高版本EHSM镜像（VC3，OTP初始VC0），EHSM启动后 secboot_update_ver_cnt 将EHSM版本写入OTP，验证VC0→VC3</t>
  </si>
  <si>
    <t>1、配置 OTP：Test模式，EHSM版本 VC0，写入 SOC 和 EHSM 的校验/加密密钥；
2、读取 EHSM/SOC OTP 版本号基准值，校验 EHSM 初始为 VC0；
4、分块写入 EHSM 镜像，BL 校验（boot=True）跳转到 EHSM FW；
5、等待 EHSM FW secboot_update_ver_cnt 执行完成；
6、读取 EHSM OTP 版本号，验证已从 VC0 更新为 VC3；
7、验证 SOC OTP 版本未受 EHSM 版本更新影响；</t>
  </si>
  <si>
    <t>1、OTP写入成功，BL启动成功；
2、读取成功，EHSM 初始值符合 VC0 编码；
4、BL verify 通过，跳转成功；
5、FW 启动成功；
6、EHSM OTP 版本号已更新；
7、SOC OTP 版本号保持不变；</t>
  </si>
  <si>
    <t>test_upgrade.py::test_ehsm_u018</t>
  </si>
  <si>
    <t>EHSM_U019</t>
  </si>
  <si>
    <t>BUG-16 EHSM版本平刷：BL verify 同版本EHSM镜像（VC1，OTP初始VC1），EHSM启动后 secboot_update_ver_cnt 不写OTP，验证版本不变</t>
  </si>
  <si>
    <t>1、配置 OTP：Test模式，EHSM版本 VC1，写入 SOC 和 EHSM 的校验/加密密钥；
2、读取 EHSM/SOC OTP 版本号基准值，校验 EHSM 初始为 VC1（非 blank）；
3、生成版本 VC1 的 EHSM 启动镜像（与 OTP 相同版本，真实 FW binary）；
4、分块写入 EHSM 镜像，BL 校验（boot=True）跳转到 EHSM FW；
5、等待 EHSM FW secboot_update_ver_cnt 执行完成；
6、读取 EHSM OTP 版本号，验证版本未变化（平刷不写 OTP）；
7、验证 SOC OTP 版本未受 EHSM 版本平刷影响；</t>
  </si>
  <si>
    <t>1、OTP写入成功，BL启动成功；
2、读取成功，初始值符合 VC1；
3、镜像生成成功；
4、BL verify 通过，跳转成功；
5、FW 启动成功；
6、EHSM OTP 版本号保持 VC1 不变；
7、SOC OTP 版本号保持不变；</t>
  </si>
  <si>
    <t>test_upgrade.py::test_ehsm_u019</t>
  </si>
  <si>
    <t>EHSM_U020</t>
  </si>
  <si>
    <t>BUG-16 EHSM版本回退拒绝：BL verify 低版本EHSM镜像（VC0，OTP初始VC2），版本检查失败，OTP不更新</t>
  </si>
  <si>
    <t>1、配置 OTP：Test模式，EHSM版本 VC2（高版本），写入 SOC 和 EHSM 的校验/加密密钥；
2、读取 EHSM/SOC OTP 版本号基准值，校验 EHSM 初始为 VC2（非 blank）；
3、生成版本 VC0 的 EHSM 启动镜像（低于 OTP VC2，模拟回退）；
4、BL 校验 EHSM 镜像 VC0（boot=True），预期版本检查失败；
5、reset 固件，等待 BL 启动；
6、读取 EHSM OTP 版本号，验证版本未变化（回退被拒绝）；
7、验证 SOC OTP 版本未受 EHSM 版本回退尝试影响；</t>
  </si>
  <si>
    <t>1、OTP写入成功，BL启动成功；
2、读取成功，初始值符合 VC2；
3、镜像生成成功；
4、BL verify 因版本回退被拒绝；
5、BL 启动成功；
6、EHSM OTP 版本号保持 VC2 不变；
7、SOC OTP 版本号保持不变；</t>
  </si>
  <si>
    <t>test_upgrade.py::test_ehsm_u020</t>
  </si>
  <si>
    <t>EHSM_U021</t>
  </si>
  <si>
    <t>BUG-16 SOC版本升级：BL verify 高版本SOC镜像（VC3，OTP初始VC0），EHSM启动后 secboot_update_ver_cnt 将SOC版本写入OTP，验证VC0→VC3</t>
  </si>
  <si>
    <t>1、配置 OTP：Test模式，SOC版本 VC0，同时写入 SOC 和 EHSM 的校验/加密密钥；
2、读取 SOC/EHSM OTP 版本号基准值，校验 SOC 初始为 VC0；
3、生成版本 VC3 的 SOC 启动镜像（高版本，body 任意）；
4、【阶段一】BL 校验 SOC 镜像（boot=False），DRAM 写入 SOC VC3 版本标记；
5、生成平版本 VC0 的 EHSM 启动镜像（payload 使用真实 EHSM FW binary，含 secboot_update_ver_cnt 逻辑）；
6、【阶段二】分块写入 EHSM 镜像到内存，BL 校验（boot=True）跳转到 EHSM FW；
7、等待 EHSM FW secboot_update_ver_cnt 执行完成；
8、读取 OTP SOC 版本号，验证已从 VC0 更新为 VC3；
9、验证 EHSM OTP 版本未受 SOC 版本更新影响；</t>
  </si>
  <si>
    <t>1、OTP写入成功，BL启动成功；
2、读取成功，初始值符合 VC0 编码；
3、镜像生成成功；
4、BL verify 成功，DRAM 写入 VC3；
5、镜像生成成功；
6、写入成功，BL verify 通过，跳转到 EHSM FW；
7、FW 启动成功，OTP SOC 版本写入完成；
8、OTP SOC 版本号已更新，两阶段流程完整有效；
9、EHSM OTP 版本号保持不变；</t>
  </si>
  <si>
    <t>test_upgrade.py::test_ehsm_u021</t>
  </si>
  <si>
    <t>EHSM_U022</t>
  </si>
  <si>
    <t>BUG-16 SOC版本平刷：BL verify 同版本SOC镜像（VC1，OTP初始VC1），EHSM启动后 secboot_update_ver_cnt 不写OTP，验证版本不变</t>
  </si>
  <si>
    <t>1、配置 OTP：Test模式，SOC版本 VC1（平刷目标版本），写入 SOC 和 EHSM 的校验/加密密钥；
2、读取 SOC/EHSM OTP 版本号基准值，校验 SOC 初始为 VC1（非 blank）；
3、生成版本 VC1 的 SOC 启动镜像（与 OTP 相同版本）；
4、【阶段一】BL 校验 SOC 镜像（boot=False），DRAM 写入 SOC VC1 版本标记；
5、生成 EHSM 启动镜像（真实 FW binary）；
6、【阶段二】分块写入 EHSM 镜像，BL 校验（boot=True）跳转到 EHSM FW；
7、等待 EHSM FW secboot_update_ver_cnt 执行完成；
8、读取 OTP SOC 版本号，验证版本未变化（平刷不写 OTP）；
9、验证 EHSM OTP 版本未受 SOC 版本平刷影响；</t>
  </si>
  <si>
    <t>1、OTP写入成功，BL启动成功；
2、读取成功，初始值符合 VC1；
3、镜像生成成功；
4、BL verify 成功，DRAM 写入 VC1；
5、镜像生成成功；
6、BL verify 通过，跳转成功；
7、FW 启动成功；
8、OTP SOC 版本号保持 VC1 不变；
9、EHSM OTP 版本号保持不变；</t>
  </si>
  <si>
    <t>test_upgrade.py::test_ehsm_u022</t>
  </si>
  <si>
    <t>EHSM_U023</t>
  </si>
  <si>
    <t>BUG-16 SOC版本回退拒绝：BL verify 低版本SOC镜像（VC0，OTP初始VC2），版本检查失败，OTP不更新</t>
  </si>
  <si>
    <t>1、配置 OTP：Test模式，SOC版本 VC2（高版本），写入 SOC 和 EHSM 的校验/加密密钥；
2、读取 SOC/EHSM OTP 版本号基准值，校验 SOC 初始为 VC2（非 blank）；
3、生成版本 VC0 的 SOC 启动镜像（低于 OTP VC2，模拟回退）；
4、【阶段一】BL 校验 SOC 镜像（boot=False），预期版本检查失败；
5、reset 固件，等待 BL 启动；
6、读取 OTP SOC 版本号，验证版本未变化（回退被拒绝）；
7、验证 EHSM OTP 版本未受 SOC 版本回退尝试影响；</t>
  </si>
  <si>
    <t>1、OTP写入成功，BL启动成功；
2、读取成功，初始值符合 VC2；
3、镜像生成成功；
4、BL verify 因版本回退被拒绝；
5、BL 启动成功；
6、OTP SOC 版本号保持 VC2 不变；
7、EHSM OTP 版本号保持不变；</t>
  </si>
  <si>
    <t>test_upgrade.py::test_ehsm_u023</t>
  </si>
  <si>
    <t>version</t>
  </si>
  <si>
    <t>EHSM-1005</t>
  </si>
  <si>
    <t>在DEV模式下，获取版本信息</t>
  </si>
  <si>
    <t>1、配置OTP 生命周期DEV模式，默认OTP密钥配置；
2、重启eHSM，并检查启动状态；
3、将version数据传入获取版本信息接口，并发送；
4、打印version信息；</t>
  </si>
  <si>
    <t>1、配置成功；
2、重启成功，状态正常；
3、读取成功，数据正确；
4、打印成功，版本信息如下：；</t>
  </si>
  <si>
    <t>test_version.py::test_ehsm_1005</t>
  </si>
  <si>
    <t>EHSM-1006</t>
  </si>
  <si>
    <t>在MANU模式下，获取版本信息</t>
  </si>
  <si>
    <t>1、配置OTP 生命周期MANU模式，默认OTP密钥配置；
2、重启eHSM，并检查启动状态；
3、将version数据传入获取版本信息接口，并发送；
4、打印version信息；</t>
  </si>
  <si>
    <t>test_version.py::test_ehsm_1006</t>
  </si>
  <si>
    <t>EHSM-1007</t>
  </si>
  <si>
    <t>在DEBUG模式下，获取版本信息</t>
  </si>
  <si>
    <t>1、配置OTP 生命周期DEBUG模式，默认OTP密钥配置；
2、重启eHSM，并检查启动状态；
3、将version数据传入获取版本信息接口，并发送；
4、打印version信息；</t>
  </si>
  <si>
    <t>test_version.py::test_ehsm_1007</t>
  </si>
  <si>
    <t>EHSM-1305</t>
  </si>
  <si>
    <t>验证在 TEST 模式，UID CRC 错误的情况下，检查bl能够正常启动，没有报错信息，且响应指令</t>
  </si>
  <si>
    <t>1、配置OTP生命周期，和UID及CRC错误；
2、重启eHSM，并检查生命周期；
3、检查报错信息；
4、获取version信息，并打印；</t>
  </si>
  <si>
    <t>1、配置成功；
2、重启成功，状态正常；
3、检查通过；
4、读取成功，数据正确；</t>
  </si>
  <si>
    <t>test_version.py::test_ehsm_1305</t>
  </si>
  <si>
    <t>EHSM-1306</t>
  </si>
  <si>
    <t>验证在 DEV 模式，UID CRC 错误的情况下，检查bl能够正常启动，发出告警信息，正常响应指令</t>
  </si>
  <si>
    <t>test_version.py::test_ehsm_1306</t>
  </si>
  <si>
    <t>EHSM-1307</t>
  </si>
  <si>
    <t>验证在 MANU 模式，UID CRC 错误的情况下，检查bl能够正常启动，发出告警信息，正常响应指令</t>
  </si>
  <si>
    <t>test_version.py::test_ehsm_1307</t>
  </si>
  <si>
    <t>EHSM-1308</t>
  </si>
  <si>
    <t>验证在 USER 模式，UID CRC 错误的情况下，检查bl能够正常启动，发出告警信息，正常响应指令</t>
  </si>
  <si>
    <t>test_version.py::test_ehsm_1308</t>
  </si>
  <si>
    <t>EHSM-1309</t>
  </si>
  <si>
    <t>验证在 DEBUG 模式，UID CRC 错误的情况下，检查bl能够正常启动，发出告警信息，正常响应指令</t>
  </si>
  <si>
    <t>test_version.py::test_ehsm_1309</t>
  </si>
  <si>
    <t>EHSM-1310</t>
  </si>
  <si>
    <t>验证在 USER 模式，UID CRC 正确的情况下，检查bl能够正常启动，没有告警信息，正常响应指令</t>
  </si>
  <si>
    <t>1、配置OTP生命周期，和UID及CRC正确；
2、重启eHSM，并检查生命周期；
3、检查报错信息；
4、获取version信息，并打印；</t>
  </si>
  <si>
    <t>test_version.py::test_ehsm_1310</t>
  </si>
  <si>
    <t>EHSM-147</t>
  </si>
  <si>
    <t>在Test模式下，获取版本信息</t>
  </si>
  <si>
    <t>1、配置OTP 生命周期Test模式，默认OTP密钥配置；
2、重启eHSM，并检查启动状态；
3、将version数据传入获取版本信息接口，并发送；
4、打印version信息；</t>
  </si>
  <si>
    <t>test_version.py::test_ehsm_147</t>
  </si>
  <si>
    <t>EHSM-148</t>
  </si>
  <si>
    <t>在User模式下，获取版本信息</t>
  </si>
  <si>
    <t>1、配置OTP 生命周期User模式，默认OTP密钥配置；
2、重启eHSM，并检查启动状态；
3、将version数据传入获取版本信息接口，并发送；
4、打印version信息；</t>
  </si>
  <si>
    <t>test_version.py::test_ehsm_148</t>
  </si>
  <si>
    <t>EHSM-962</t>
  </si>
  <si>
    <t>验证在空片情况上电运行能力，可以获取版本信息（仅配置生命周期）</t>
  </si>
  <si>
    <t>1、配置OTP生命周期为TEST，其它位为默认状态，根据默认配置可为0或1；
2、重启eHSM，并检查启动状态；
3、将version数据传入获取版本信息接口，并发送；
4、打印version信息；</t>
  </si>
  <si>
    <t>test_version.py::test_ehsm_962</t>
  </si>
  <si>
    <t>EHSM-963</t>
  </si>
  <si>
    <t>验证Bootloader对硬件版本号的检查，Bootloader软件与硬件版本不一致时会报错误</t>
  </si>
  <si>
    <t>1、配置OTP为默认状态，根据默认配置可为0或1；
2、重启eHSM，并检查启动状态；
3、将version数据传入获取版本信息接口，并发送；
4、打印version信息；
5、读取soc报警信号；</t>
  </si>
  <si>
    <t>1、配置成功；
2、重启成功，状态正常；
3、读取成功，数据正确；
4、打印成功；
5、读取成功，数据正确；</t>
  </si>
  <si>
    <t>test_version.py::test_ehsm_963</t>
  </si>
  <si>
    <t>EHSM_v001</t>
  </si>
  <si>
    <t>在Test模式下，测试get_version接口ver_addr参数为NULL地址的异常处理</t>
  </si>
  <si>
    <t>1、配置OTP生命周期Test模式；并重启生效；
2、调用get_version接口，传入ver_addr=NULL(0x0)；</t>
  </si>
  <si>
    <t>test_version.py::test_ehsm_v001</t>
  </si>
  <si>
    <t>1、清除共享地址内存0x60019000内容；
2、配置 IPatch 全局总使能为 `disable`（0b00），patch_eh_cfg配置为全0，patch地址配置为无效地址;
3、复位启动并等待运行结束，读取共享内存值;</t>
  </si>
  <si>
    <t>1、清除成功；
2、配置成功；
3、配置成功，共享内存值符合预期；</t>
  </si>
  <si>
    <t>1、清除共享地址内存0x60019000内容；
2、配置 IPatch 全局总使能为 `disable1`（0b01），patch_eh_cfg配置为全5，patch地址配置为有效地址;
3、复位启动并等待运行结束，读取共享内存值;</t>
  </si>
  <si>
    <t>配置patch总使能开关开启，patch行不生效时，无法进行patch</t>
  </si>
  <si>
    <t>1、清除共享地址内存0x60019000内容；
2、配置 IPatch 全局总使能为 `enable`（0b01），patch_eh_cfg配置为全F，patch地址配置为无效地址;
3、复位启动并等待运行结束，读取共享内存值;</t>
  </si>
  <si>
    <t>EHSM-RP004</t>
  </si>
  <si>
    <t>1、清除共享地址内存0x60019000内容；
2、配置 IPatch 全局总使能为 `enable1`（0b10），patch_eh_cfg配置为全5，patch地址配置为有效地址;
3、复位启动并等待运行结束，读取共享内存值;</t>
  </si>
  <si>
    <t>test_rompatch.py::test_ehsm_rp004</t>
  </si>
  <si>
    <t>EHSM-RP005</t>
  </si>
  <si>
    <t>1、清除共享地址内存0x60019000内容；
2、配置OTP32行patch使能，配置值0b00，其他默认，重启bootloader，等待patch替换;
3、上位机读取共享地址内存0x60019000的值;
4、清除共享地址内存0x60019000内容;
5、配置OTP32行patch使能关闭，配置值0b01，其他默认，重启bootloader，等待patch替换;
6、上位机重新读取共享地址内存0x60019000的值，与3中读取的值作比较;</t>
  </si>
  <si>
    <t>1、清除成功；
2、配置成功；
3、配置成功，共享内存值符合预期；
4、清除成功；
5、清除成功；
6、两次读的值不相同；</t>
  </si>
  <si>
    <t>test_rompatch.py::test_ehsm_rp005</t>
  </si>
  <si>
    <t>EHSM-RP006</t>
  </si>
  <si>
    <t>1、读取共享内存0x60019000的内容;
2、配置OTP第一行patch命中，配置使使能开关0b01，重启bootloader，等待patch替换;
3、读取共享内存0x60019000的内容;</t>
  </si>
  <si>
    <t>test_rompatch.py::test_ehsm_rp006</t>
  </si>
  <si>
    <t>EHSM-RP007</t>
  </si>
  <si>
    <t>验证多行连续指令替换验证;</t>
  </si>
  <si>
    <t>1、读取共享内存0x60019000的内容;
2、配置OTP前三行patch命中，配置使能开关0b01，重启bootloader，等待patch替换;
3、读取共享内存0x60019000的内容;</t>
  </si>
  <si>
    <t>1、结果为0xA5332211;
2、重启成功;
2、结果为0xA533CCCC;</t>
  </si>
  <si>
    <t>test_rompatch.py::test_ehsm_rp007</t>
  </si>
  <si>
    <t>EHSM-RP009</t>
  </si>
  <si>
    <t>多行不连续指令替换验证;</t>
  </si>
  <si>
    <t>1、读取共享内存0x60019000的内容;
2、配置OTP第1-5行patch命中，8-12行patch命中，16-18行命中，其他不命中，配置使能开关0b01，重启bootloader，等待patch替换;
3、读取共享内存0x60019000的内容;</t>
  </si>
  <si>
    <t>1、结果为0xA5332211;
2、重启成功;
3、结果为0xA5CC22AA;</t>
  </si>
  <si>
    <t>test_rompatch.py::test_ehsm_rp009</t>
  </si>
  <si>
    <t>EHSM-RP010</t>
  </si>
  <si>
    <t>多个单行patch指令替换验证，替换后返回值满足0xA5CCBBAA;</t>
  </si>
  <si>
    <t>1、读取共享内存0x60019000的内容;
2、配置OTP第1、3、5行patch命中，配置使能开关0b01，重启bootloader，等待patch替换;
3、读取共享内存0x60019000的内容;</t>
  </si>
  <si>
    <t>1、结果为0xA5332211;
2、重启成功;
3、结果为0xA5CCBBAA;</t>
  </si>
  <si>
    <t>test_rompatch.py::test_ehsm_rp010</t>
  </si>
  <si>
    <t>EHSM-RP008</t>
  </si>
  <si>
    <t>配置patch有效时，其他功能可以正常进行;</t>
  </si>
  <si>
    <t>1、读取共享内存0x60019000的内容;
2、配置OTP第1、5行patch命中，配置使能开关0b01，重启bootloader，等待patch替换;
3、读取共享内存0x60019000的内容，确认patch替换完成;
4、执行 api.ehsm_bl_get_version() 读取版本号，确认业务未受阻;</t>
  </si>
  <si>
    <t>1、结果为0xA5332211;
2、重启成功;
3、结果为0xA5CC22AA;
4、版本号读取成功;</t>
  </si>
  <si>
    <t>test_rompatch.py::test_ehsm_rp008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</si>
</sst>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b/>
      <sz val="18"/>
      <name val="Arial"/>
    </font>
    <font>
      <b/>
      <sz val="10"/>
      <name val="Arial"/>
    </font>
    <font>
      <sz val="10"/>
      <name val="Arial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3" fillId="2" borderId="1" xfId="0" applyFont="1" applyFill="1" applyBorder="1"/>
    <xf numFmtId="0" fontId="1" fillId="2" borderId="1" xfId="0" applyFont="1" applyFill="1" applyBorder="1"/>
  </cellXfs>
  <cellStyles count="1">
    <cellStyle name="常规" xfId="0" builtinId="0"/>
  </cellStyles>
  <dxfs count="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B27" sqref="B27"/>
    </sheetView>
  </sheetViews>
  <sheetFormatPr defaultRowHeight="13.5"/>
  <cols>
    <col min="1" max="1" width="22" customWidth="1"/>
    <col min="2" max="2" width="42" customWidth="1"/>
    <col min="3" max="10" width="12" customWidth="1"/>
  </cols>
  <sheetData>
    <row r="1" spans="1:10" ht="24" customHeight="1">
      <c r="A1" s="10" t="s">
        <v>0</v>
      </c>
      <c r="B1" s="8"/>
    </row>
    <row r="2" spans="1:10" ht="14.25">
      <c r="A2" s="2" t="s">
        <v>1</v>
      </c>
      <c r="B2" s="1" t="s">
        <v>2</v>
      </c>
    </row>
    <row r="3" spans="1:10" ht="14.25">
      <c r="A3" s="2" t="s">
        <v>3</v>
      </c>
      <c r="B3" s="1" t="s">
        <v>4</v>
      </c>
    </row>
    <row r="4" spans="1:10" ht="14.25">
      <c r="A4" s="2" t="s">
        <v>5</v>
      </c>
      <c r="B4" s="1"/>
    </row>
    <row r="5" spans="1:10" ht="14.25">
      <c r="A5" s="2" t="s">
        <v>6</v>
      </c>
      <c r="B5" s="1"/>
    </row>
    <row r="6" spans="1:10" ht="14.25">
      <c r="A6" s="2" t="s">
        <v>7</v>
      </c>
      <c r="B6" s="1"/>
    </row>
    <row r="9" spans="1:10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</row>
    <row r="10" spans="1:10">
      <c r="A10" s="5" t="s">
        <v>18</v>
      </c>
      <c r="B10" s="5" t="s">
        <v>19</v>
      </c>
      <c r="C10" s="5"/>
      <c r="D10" s="5" t="s">
        <v>20</v>
      </c>
      <c r="E10" s="5">
        <f>COUNTIF(TestCases!H2:H995,"PASS")</f>
        <v>404</v>
      </c>
      <c r="F10" s="5">
        <f>COUNTIF(TestCases!H2:H995,"FAIL")</f>
        <v>0</v>
      </c>
      <c r="G10" s="5">
        <f>COUNTIFS(TestCases!H2:H995,"UNTEST")+COUNTIFS(TestCases!H2:H995,"NA")</f>
        <v>0</v>
      </c>
      <c r="H10" s="5">
        <f>COUNTIF(TestCases!H2:H995,"SKIP")</f>
        <v>0</v>
      </c>
      <c r="I10" s="5">
        <f>COUNTA(TestCases!B2:B995)</f>
        <v>404</v>
      </c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5" spans="1:10" ht="14.25">
      <c r="A15" s="9" t="s">
        <v>21</v>
      </c>
      <c r="B15" s="8"/>
    </row>
    <row r="16" spans="1:10">
      <c r="A16" s="7"/>
      <c r="B16" s="8"/>
    </row>
    <row r="17" spans="1:2">
      <c r="A17" s="7"/>
      <c r="B17" s="8"/>
    </row>
    <row r="18" spans="1:2">
      <c r="A18" s="7"/>
      <c r="B18" s="8"/>
    </row>
    <row r="19" spans="1:2">
      <c r="A19" s="7"/>
      <c r="B19" s="8"/>
    </row>
  </sheetData>
  <mergeCells count="6">
    <mergeCell ref="A16:B16"/>
    <mergeCell ref="A15:B15"/>
    <mergeCell ref="A19:B19"/>
    <mergeCell ref="A1:B1"/>
    <mergeCell ref="A17:B17"/>
    <mergeCell ref="A18:B18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5"/>
  <sheetViews>
    <sheetView tabSelected="1" topLeftCell="A389" workbookViewId="0">
      <selection activeCell="F415" sqref="F415"/>
    </sheetView>
  </sheetViews>
  <sheetFormatPr defaultRowHeight="13.5"/>
  <cols>
    <col min="1" max="3" width="10" customWidth="1"/>
    <col min="4" max="7" width="34" customWidth="1"/>
    <col min="8" max="11" width="10" customWidth="1"/>
  </cols>
  <sheetData>
    <row r="1" spans="1:11" ht="15" customHeigh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</row>
    <row r="2" spans="1:11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12</v>
      </c>
      <c r="I2" s="5" t="s">
        <v>40</v>
      </c>
      <c r="J2" s="5" t="s">
        <v>41</v>
      </c>
      <c r="K2" s="5"/>
    </row>
    <row r="3" spans="1:11">
      <c r="A3" s="5" t="s">
        <v>33</v>
      </c>
      <c r="B3" s="5" t="s">
        <v>42</v>
      </c>
      <c r="C3" s="5" t="s">
        <v>35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12</v>
      </c>
      <c r="I3" s="5" t="s">
        <v>40</v>
      </c>
      <c r="J3" s="5" t="s">
        <v>41</v>
      </c>
      <c r="K3" s="5"/>
    </row>
    <row r="4" spans="1:11">
      <c r="A4" s="5" t="s">
        <v>33</v>
      </c>
      <c r="B4" s="5" t="s">
        <v>47</v>
      </c>
      <c r="C4" s="5" t="s">
        <v>35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12</v>
      </c>
      <c r="I4" s="5" t="s">
        <v>40</v>
      </c>
      <c r="J4" s="5" t="s">
        <v>41</v>
      </c>
      <c r="K4" s="5"/>
    </row>
    <row r="5" spans="1:11">
      <c r="A5" s="5" t="s">
        <v>33</v>
      </c>
      <c r="B5" s="5" t="s">
        <v>52</v>
      </c>
      <c r="C5" s="5" t="s">
        <v>35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12</v>
      </c>
      <c r="I5" s="5" t="s">
        <v>40</v>
      </c>
      <c r="J5" s="5" t="s">
        <v>41</v>
      </c>
      <c r="K5" s="5"/>
    </row>
    <row r="6" spans="1:11">
      <c r="A6" s="5" t="s">
        <v>33</v>
      </c>
      <c r="B6" s="5" t="s">
        <v>57</v>
      </c>
      <c r="C6" s="5" t="s">
        <v>35</v>
      </c>
      <c r="D6" s="5" t="s">
        <v>58</v>
      </c>
      <c r="E6" s="5" t="s">
        <v>59</v>
      </c>
      <c r="F6" s="5" t="s">
        <v>60</v>
      </c>
      <c r="G6" s="5" t="s">
        <v>61</v>
      </c>
      <c r="H6" s="5" t="s">
        <v>12</v>
      </c>
      <c r="I6" s="5" t="s">
        <v>40</v>
      </c>
      <c r="J6" s="5" t="s">
        <v>41</v>
      </c>
      <c r="K6" s="5"/>
    </row>
    <row r="7" spans="1:11">
      <c r="A7" s="5" t="s">
        <v>33</v>
      </c>
      <c r="B7" s="5" t="s">
        <v>62</v>
      </c>
      <c r="C7" s="5" t="s">
        <v>35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12</v>
      </c>
      <c r="I7" s="5" t="s">
        <v>40</v>
      </c>
      <c r="J7" s="5" t="s">
        <v>41</v>
      </c>
      <c r="K7" s="5"/>
    </row>
    <row r="8" spans="1:11">
      <c r="A8" s="5" t="s">
        <v>33</v>
      </c>
      <c r="B8" s="5" t="s">
        <v>67</v>
      </c>
      <c r="C8" s="5" t="s">
        <v>35</v>
      </c>
      <c r="D8" s="5" t="s">
        <v>68</v>
      </c>
      <c r="E8" s="5" t="s">
        <v>69</v>
      </c>
      <c r="F8" s="5" t="s">
        <v>65</v>
      </c>
      <c r="G8" s="5" t="s">
        <v>70</v>
      </c>
      <c r="H8" s="5" t="s">
        <v>12</v>
      </c>
      <c r="I8" s="5" t="s">
        <v>40</v>
      </c>
      <c r="J8" s="5" t="s">
        <v>41</v>
      </c>
      <c r="K8" s="5"/>
    </row>
    <row r="9" spans="1:11">
      <c r="A9" s="5" t="s">
        <v>33</v>
      </c>
      <c r="B9" s="5" t="s">
        <v>71</v>
      </c>
      <c r="C9" s="5" t="s">
        <v>35</v>
      </c>
      <c r="D9" s="5" t="s">
        <v>72</v>
      </c>
      <c r="E9" s="5" t="s">
        <v>73</v>
      </c>
      <c r="F9" s="5" t="s">
        <v>65</v>
      </c>
      <c r="G9" s="5" t="s">
        <v>74</v>
      </c>
      <c r="H9" s="5" t="s">
        <v>12</v>
      </c>
      <c r="I9" s="5" t="s">
        <v>40</v>
      </c>
      <c r="J9" s="5" t="s">
        <v>41</v>
      </c>
      <c r="K9" s="5"/>
    </row>
    <row r="10" spans="1:11">
      <c r="A10" s="5" t="s">
        <v>33</v>
      </c>
      <c r="B10" s="5" t="s">
        <v>75</v>
      </c>
      <c r="C10" s="5" t="s">
        <v>35</v>
      </c>
      <c r="D10" s="5" t="s">
        <v>76</v>
      </c>
      <c r="E10" s="5" t="s">
        <v>77</v>
      </c>
      <c r="F10" s="5" t="s">
        <v>65</v>
      </c>
      <c r="G10" s="5" t="s">
        <v>78</v>
      </c>
      <c r="H10" s="5" t="s">
        <v>12</v>
      </c>
      <c r="I10" s="5" t="s">
        <v>40</v>
      </c>
      <c r="J10" s="5" t="s">
        <v>41</v>
      </c>
      <c r="K10" s="5"/>
    </row>
    <row r="11" spans="1:11">
      <c r="A11" s="5" t="s">
        <v>33</v>
      </c>
      <c r="B11" s="5" t="s">
        <v>79</v>
      </c>
      <c r="C11" s="5" t="s">
        <v>35</v>
      </c>
      <c r="D11" s="5" t="s">
        <v>80</v>
      </c>
      <c r="E11" s="5" t="s">
        <v>81</v>
      </c>
      <c r="F11" s="5" t="s">
        <v>82</v>
      </c>
      <c r="G11" s="5" t="s">
        <v>83</v>
      </c>
      <c r="H11" s="5" t="s">
        <v>12</v>
      </c>
      <c r="I11" s="5" t="s">
        <v>40</v>
      </c>
      <c r="J11" s="5" t="s">
        <v>41</v>
      </c>
      <c r="K11" s="5"/>
    </row>
    <row r="12" spans="1:11">
      <c r="A12" s="5" t="s">
        <v>33</v>
      </c>
      <c r="B12" s="5" t="s">
        <v>84</v>
      </c>
      <c r="C12" s="5" t="s">
        <v>35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12</v>
      </c>
      <c r="I12" s="5" t="s">
        <v>40</v>
      </c>
      <c r="J12" s="5" t="s">
        <v>41</v>
      </c>
      <c r="K12" s="5"/>
    </row>
    <row r="13" spans="1:11">
      <c r="A13" s="5" t="s">
        <v>89</v>
      </c>
      <c r="B13" s="5" t="s">
        <v>90</v>
      </c>
      <c r="C13" s="5" t="s">
        <v>35</v>
      </c>
      <c r="D13" s="5" t="s">
        <v>91</v>
      </c>
      <c r="E13" s="5" t="s">
        <v>92</v>
      </c>
      <c r="F13" s="5" t="s">
        <v>93</v>
      </c>
      <c r="G13" s="5" t="s">
        <v>94</v>
      </c>
      <c r="H13" s="5" t="s">
        <v>12</v>
      </c>
      <c r="I13" s="5" t="s">
        <v>40</v>
      </c>
      <c r="J13" s="5" t="s">
        <v>41</v>
      </c>
      <c r="K13" s="5"/>
    </row>
    <row r="14" spans="1:11">
      <c r="A14" s="5" t="s">
        <v>89</v>
      </c>
      <c r="B14" s="5" t="s">
        <v>95</v>
      </c>
      <c r="C14" s="5" t="s">
        <v>35</v>
      </c>
      <c r="D14" s="5" t="s">
        <v>96</v>
      </c>
      <c r="E14" s="5" t="s">
        <v>97</v>
      </c>
      <c r="F14" s="5" t="s">
        <v>98</v>
      </c>
      <c r="G14" s="5" t="s">
        <v>99</v>
      </c>
      <c r="H14" s="5" t="s">
        <v>12</v>
      </c>
      <c r="I14" s="5" t="s">
        <v>40</v>
      </c>
      <c r="J14" s="5" t="s">
        <v>41</v>
      </c>
      <c r="K14" s="5"/>
    </row>
    <row r="15" spans="1:11">
      <c r="A15" s="5" t="s">
        <v>89</v>
      </c>
      <c r="B15" s="5" t="s">
        <v>100</v>
      </c>
      <c r="C15" s="5" t="s">
        <v>35</v>
      </c>
      <c r="D15" s="5" t="s">
        <v>101</v>
      </c>
      <c r="E15" s="5" t="s">
        <v>102</v>
      </c>
      <c r="F15" s="5" t="s">
        <v>103</v>
      </c>
      <c r="G15" s="5" t="s">
        <v>104</v>
      </c>
      <c r="H15" s="5" t="s">
        <v>12</v>
      </c>
      <c r="I15" s="5" t="s">
        <v>40</v>
      </c>
      <c r="J15" s="5" t="s">
        <v>41</v>
      </c>
      <c r="K15" s="5"/>
    </row>
    <row r="16" spans="1:11">
      <c r="A16" s="5" t="s">
        <v>89</v>
      </c>
      <c r="B16" s="5" t="s">
        <v>105</v>
      </c>
      <c r="C16" s="5" t="s">
        <v>35</v>
      </c>
      <c r="D16" s="5" t="s">
        <v>106</v>
      </c>
      <c r="E16" s="5" t="s">
        <v>107</v>
      </c>
      <c r="F16" s="5" t="s">
        <v>103</v>
      </c>
      <c r="G16" s="5" t="s">
        <v>108</v>
      </c>
      <c r="H16" s="5" t="s">
        <v>12</v>
      </c>
      <c r="I16" s="5" t="s">
        <v>40</v>
      </c>
      <c r="J16" s="5" t="s">
        <v>41</v>
      </c>
      <c r="K16" s="5"/>
    </row>
    <row r="17" spans="1:11">
      <c r="A17" s="5" t="s">
        <v>89</v>
      </c>
      <c r="B17" s="5" t="s">
        <v>109</v>
      </c>
      <c r="C17" s="5" t="s">
        <v>35</v>
      </c>
      <c r="D17" s="5" t="s">
        <v>110</v>
      </c>
      <c r="E17" s="5" t="s">
        <v>111</v>
      </c>
      <c r="F17" s="5" t="s">
        <v>112</v>
      </c>
      <c r="G17" s="5" t="s">
        <v>113</v>
      </c>
      <c r="H17" s="5" t="s">
        <v>12</v>
      </c>
      <c r="I17" s="5" t="s">
        <v>40</v>
      </c>
      <c r="J17" s="5" t="s">
        <v>41</v>
      </c>
      <c r="K17" s="5"/>
    </row>
    <row r="18" spans="1:11">
      <c r="A18" s="5" t="s">
        <v>89</v>
      </c>
      <c r="B18" s="5" t="s">
        <v>114</v>
      </c>
      <c r="C18" s="5" t="s">
        <v>35</v>
      </c>
      <c r="D18" s="5" t="s">
        <v>115</v>
      </c>
      <c r="E18" s="5" t="s">
        <v>116</v>
      </c>
      <c r="F18" s="5" t="s">
        <v>117</v>
      </c>
      <c r="G18" s="5" t="s">
        <v>118</v>
      </c>
      <c r="H18" s="5" t="s">
        <v>12</v>
      </c>
      <c r="I18" s="5" t="s">
        <v>40</v>
      </c>
      <c r="J18" s="5" t="s">
        <v>41</v>
      </c>
      <c r="K18" s="5"/>
    </row>
    <row r="19" spans="1:11">
      <c r="A19" s="5" t="s">
        <v>89</v>
      </c>
      <c r="B19" s="5" t="s">
        <v>119</v>
      </c>
      <c r="C19" s="5" t="s">
        <v>35</v>
      </c>
      <c r="D19" s="5" t="s">
        <v>120</v>
      </c>
      <c r="E19" s="5" t="s">
        <v>121</v>
      </c>
      <c r="F19" s="5" t="s">
        <v>122</v>
      </c>
      <c r="G19" s="5" t="s">
        <v>123</v>
      </c>
      <c r="H19" s="5" t="s">
        <v>12</v>
      </c>
      <c r="I19" s="5" t="s">
        <v>40</v>
      </c>
      <c r="J19" s="5" t="s">
        <v>41</v>
      </c>
      <c r="K19" s="5"/>
    </row>
    <row r="20" spans="1:11">
      <c r="A20" s="5" t="s">
        <v>89</v>
      </c>
      <c r="B20" s="5" t="s">
        <v>124</v>
      </c>
      <c r="C20" s="5" t="s">
        <v>35</v>
      </c>
      <c r="D20" s="5" t="s">
        <v>125</v>
      </c>
      <c r="E20" s="5" t="s">
        <v>126</v>
      </c>
      <c r="F20" s="5" t="s">
        <v>127</v>
      </c>
      <c r="G20" s="5" t="s">
        <v>128</v>
      </c>
      <c r="H20" s="5" t="s">
        <v>12</v>
      </c>
      <c r="I20" s="5" t="s">
        <v>40</v>
      </c>
      <c r="J20" s="5" t="s">
        <v>41</v>
      </c>
      <c r="K20" s="5"/>
    </row>
    <row r="21" spans="1:11">
      <c r="A21" s="5" t="s">
        <v>89</v>
      </c>
      <c r="B21" s="5" t="s">
        <v>129</v>
      </c>
      <c r="C21" s="5" t="s">
        <v>35</v>
      </c>
      <c r="D21" s="5" t="s">
        <v>130</v>
      </c>
      <c r="E21" s="5" t="s">
        <v>131</v>
      </c>
      <c r="F21" s="5" t="s">
        <v>127</v>
      </c>
      <c r="G21" s="5" t="s">
        <v>132</v>
      </c>
      <c r="H21" s="5" t="s">
        <v>12</v>
      </c>
      <c r="I21" s="5" t="s">
        <v>40</v>
      </c>
      <c r="J21" s="5" t="s">
        <v>41</v>
      </c>
      <c r="K21" s="5"/>
    </row>
    <row r="22" spans="1:11">
      <c r="A22" s="5" t="s">
        <v>89</v>
      </c>
      <c r="B22" s="5" t="s">
        <v>133</v>
      </c>
      <c r="C22" s="5" t="s">
        <v>35</v>
      </c>
      <c r="D22" s="5" t="s">
        <v>134</v>
      </c>
      <c r="E22" s="5" t="s">
        <v>135</v>
      </c>
      <c r="F22" s="5" t="s">
        <v>103</v>
      </c>
      <c r="G22" s="5" t="s">
        <v>136</v>
      </c>
      <c r="H22" s="5" t="s">
        <v>12</v>
      </c>
      <c r="I22" s="5" t="s">
        <v>40</v>
      </c>
      <c r="J22" s="5" t="s">
        <v>41</v>
      </c>
      <c r="K22" s="5"/>
    </row>
    <row r="23" spans="1:11">
      <c r="A23" s="5" t="s">
        <v>89</v>
      </c>
      <c r="B23" s="5" t="s">
        <v>133</v>
      </c>
      <c r="C23" s="5" t="s">
        <v>35</v>
      </c>
      <c r="D23" s="5" t="s">
        <v>137</v>
      </c>
      <c r="E23" s="5" t="s">
        <v>138</v>
      </c>
      <c r="F23" s="5" t="s">
        <v>103</v>
      </c>
      <c r="G23" s="5" t="s">
        <v>139</v>
      </c>
      <c r="H23" s="5" t="s">
        <v>12</v>
      </c>
      <c r="I23" s="5" t="s">
        <v>40</v>
      </c>
      <c r="J23" s="5" t="s">
        <v>41</v>
      </c>
      <c r="K23" s="5"/>
    </row>
    <row r="24" spans="1:11">
      <c r="A24" s="5" t="s">
        <v>89</v>
      </c>
      <c r="B24" s="5" t="s">
        <v>140</v>
      </c>
      <c r="C24" s="5" t="s">
        <v>35</v>
      </c>
      <c r="D24" s="5" t="s">
        <v>141</v>
      </c>
      <c r="E24" s="5" t="s">
        <v>142</v>
      </c>
      <c r="F24" s="5" t="s">
        <v>143</v>
      </c>
      <c r="G24" s="5" t="s">
        <v>144</v>
      </c>
      <c r="H24" s="5" t="s">
        <v>12</v>
      </c>
      <c r="I24" s="5" t="s">
        <v>40</v>
      </c>
      <c r="J24" s="5" t="s">
        <v>41</v>
      </c>
      <c r="K24" s="5"/>
    </row>
    <row r="25" spans="1:11">
      <c r="A25" s="5" t="s">
        <v>89</v>
      </c>
      <c r="B25" s="5" t="s">
        <v>145</v>
      </c>
      <c r="C25" s="5" t="s">
        <v>35</v>
      </c>
      <c r="D25" s="5" t="s">
        <v>146</v>
      </c>
      <c r="E25" s="5" t="s">
        <v>147</v>
      </c>
      <c r="F25" s="5" t="s">
        <v>148</v>
      </c>
      <c r="G25" s="5" t="s">
        <v>149</v>
      </c>
      <c r="H25" s="5" t="s">
        <v>12</v>
      </c>
      <c r="I25" s="5" t="s">
        <v>40</v>
      </c>
      <c r="J25" s="5" t="s">
        <v>41</v>
      </c>
      <c r="K25" s="5"/>
    </row>
    <row r="26" spans="1:11">
      <c r="A26" s="5" t="s">
        <v>89</v>
      </c>
      <c r="B26" s="5" t="s">
        <v>150</v>
      </c>
      <c r="C26" s="5" t="s">
        <v>35</v>
      </c>
      <c r="D26" s="5" t="s">
        <v>151</v>
      </c>
      <c r="E26" s="5" t="s">
        <v>152</v>
      </c>
      <c r="F26" s="5" t="s">
        <v>153</v>
      </c>
      <c r="G26" s="5" t="s">
        <v>154</v>
      </c>
      <c r="H26" s="5" t="s">
        <v>12</v>
      </c>
      <c r="I26" s="5" t="s">
        <v>40</v>
      </c>
      <c r="J26" s="5" t="s">
        <v>41</v>
      </c>
      <c r="K26" s="5"/>
    </row>
    <row r="27" spans="1:11">
      <c r="A27" s="5" t="s">
        <v>89</v>
      </c>
      <c r="B27" s="5" t="s">
        <v>155</v>
      </c>
      <c r="C27" s="5" t="s">
        <v>35</v>
      </c>
      <c r="D27" s="5" t="s">
        <v>156</v>
      </c>
      <c r="E27" s="5" t="s">
        <v>157</v>
      </c>
      <c r="F27" s="5" t="s">
        <v>153</v>
      </c>
      <c r="G27" s="5" t="s">
        <v>158</v>
      </c>
      <c r="H27" s="5" t="s">
        <v>12</v>
      </c>
      <c r="I27" s="5" t="s">
        <v>40</v>
      </c>
      <c r="J27" s="5" t="s">
        <v>41</v>
      </c>
      <c r="K27" s="5"/>
    </row>
    <row r="28" spans="1:11">
      <c r="A28" s="5" t="s">
        <v>89</v>
      </c>
      <c r="B28" s="5" t="s">
        <v>159</v>
      </c>
      <c r="C28" s="5" t="s">
        <v>35</v>
      </c>
      <c r="D28" s="5" t="s">
        <v>160</v>
      </c>
      <c r="E28" s="5" t="s">
        <v>161</v>
      </c>
      <c r="F28" s="5" t="s">
        <v>153</v>
      </c>
      <c r="G28" s="5" t="s">
        <v>162</v>
      </c>
      <c r="H28" s="5" t="s">
        <v>12</v>
      </c>
      <c r="I28" s="5" t="s">
        <v>40</v>
      </c>
      <c r="J28" s="5" t="s">
        <v>41</v>
      </c>
      <c r="K28" s="5"/>
    </row>
    <row r="29" spans="1:11">
      <c r="A29" s="5" t="s">
        <v>89</v>
      </c>
      <c r="B29" s="5" t="s">
        <v>163</v>
      </c>
      <c r="C29" s="5" t="s">
        <v>35</v>
      </c>
      <c r="D29" s="5" t="s">
        <v>164</v>
      </c>
      <c r="E29" s="5" t="s">
        <v>165</v>
      </c>
      <c r="F29" s="5" t="s">
        <v>166</v>
      </c>
      <c r="G29" s="5" t="s">
        <v>167</v>
      </c>
      <c r="H29" s="5" t="s">
        <v>12</v>
      </c>
      <c r="I29" s="5" t="s">
        <v>40</v>
      </c>
      <c r="J29" s="5" t="s">
        <v>41</v>
      </c>
      <c r="K29" s="5"/>
    </row>
    <row r="30" spans="1:11">
      <c r="A30" s="5" t="s">
        <v>89</v>
      </c>
      <c r="B30" s="5" t="s">
        <v>168</v>
      </c>
      <c r="C30" s="5" t="s">
        <v>35</v>
      </c>
      <c r="D30" s="5" t="s">
        <v>169</v>
      </c>
      <c r="E30" s="5" t="s">
        <v>170</v>
      </c>
      <c r="F30" s="5" t="s">
        <v>171</v>
      </c>
      <c r="G30" s="5" t="s">
        <v>172</v>
      </c>
      <c r="H30" s="5" t="s">
        <v>12</v>
      </c>
      <c r="I30" s="5" t="s">
        <v>40</v>
      </c>
      <c r="J30" s="5" t="s">
        <v>41</v>
      </c>
      <c r="K30" s="5"/>
    </row>
    <row r="31" spans="1:11">
      <c r="A31" s="5" t="s">
        <v>89</v>
      </c>
      <c r="B31" s="5" t="s">
        <v>173</v>
      </c>
      <c r="C31" s="5" t="s">
        <v>35</v>
      </c>
      <c r="D31" s="5" t="s">
        <v>110</v>
      </c>
      <c r="E31" s="5" t="s">
        <v>174</v>
      </c>
      <c r="F31" s="5" t="s">
        <v>112</v>
      </c>
      <c r="G31" s="5" t="s">
        <v>175</v>
      </c>
      <c r="H31" s="5" t="s">
        <v>12</v>
      </c>
      <c r="I31" s="5" t="s">
        <v>40</v>
      </c>
      <c r="J31" s="5" t="s">
        <v>41</v>
      </c>
      <c r="K31" s="5"/>
    </row>
    <row r="32" spans="1:11">
      <c r="A32" s="5" t="s">
        <v>89</v>
      </c>
      <c r="B32" s="5" t="s">
        <v>176</v>
      </c>
      <c r="C32" s="5" t="s">
        <v>35</v>
      </c>
      <c r="D32" s="5" t="s">
        <v>115</v>
      </c>
      <c r="E32" s="5" t="s">
        <v>177</v>
      </c>
      <c r="F32" s="5" t="s">
        <v>178</v>
      </c>
      <c r="G32" s="5" t="s">
        <v>179</v>
      </c>
      <c r="H32" s="5" t="s">
        <v>12</v>
      </c>
      <c r="I32" s="5" t="s">
        <v>40</v>
      </c>
      <c r="J32" s="5" t="s">
        <v>41</v>
      </c>
      <c r="K32" s="5"/>
    </row>
    <row r="33" spans="1:11">
      <c r="A33" s="5" t="s">
        <v>89</v>
      </c>
      <c r="B33" s="5" t="s">
        <v>180</v>
      </c>
      <c r="C33" s="5" t="s">
        <v>35</v>
      </c>
      <c r="D33" s="5" t="s">
        <v>181</v>
      </c>
      <c r="E33" s="5" t="s">
        <v>182</v>
      </c>
      <c r="F33" s="5" t="s">
        <v>183</v>
      </c>
      <c r="G33" s="5" t="s">
        <v>184</v>
      </c>
      <c r="H33" s="5" t="s">
        <v>12</v>
      </c>
      <c r="I33" s="5" t="s">
        <v>40</v>
      </c>
      <c r="J33" s="5" t="s">
        <v>41</v>
      </c>
      <c r="K33" s="5"/>
    </row>
    <row r="34" spans="1:11">
      <c r="A34" s="5" t="s">
        <v>89</v>
      </c>
      <c r="B34" s="5" t="s">
        <v>185</v>
      </c>
      <c r="C34" s="5" t="s">
        <v>35</v>
      </c>
      <c r="D34" s="5" t="s">
        <v>186</v>
      </c>
      <c r="E34" s="5" t="s">
        <v>187</v>
      </c>
      <c r="F34" s="5" t="s">
        <v>188</v>
      </c>
      <c r="G34" s="5" t="s">
        <v>189</v>
      </c>
      <c r="H34" s="5" t="s">
        <v>12</v>
      </c>
      <c r="I34" s="5" t="s">
        <v>40</v>
      </c>
      <c r="J34" s="5" t="s">
        <v>41</v>
      </c>
      <c r="K34" s="5"/>
    </row>
    <row r="35" spans="1:11">
      <c r="A35" s="5" t="s">
        <v>89</v>
      </c>
      <c r="B35" s="5" t="s">
        <v>190</v>
      </c>
      <c r="C35" s="5" t="s">
        <v>35</v>
      </c>
      <c r="D35" s="5" t="s">
        <v>191</v>
      </c>
      <c r="E35" s="5" t="s">
        <v>192</v>
      </c>
      <c r="F35" s="5" t="s">
        <v>193</v>
      </c>
      <c r="G35" s="5" t="s">
        <v>194</v>
      </c>
      <c r="H35" s="5" t="s">
        <v>12</v>
      </c>
      <c r="I35" s="5" t="s">
        <v>40</v>
      </c>
      <c r="J35" s="5" t="s">
        <v>41</v>
      </c>
      <c r="K35" s="5"/>
    </row>
    <row r="36" spans="1:11">
      <c r="A36" s="5" t="s">
        <v>89</v>
      </c>
      <c r="B36" s="5" t="s">
        <v>195</v>
      </c>
      <c r="C36" s="5" t="s">
        <v>35</v>
      </c>
      <c r="D36" s="5" t="s">
        <v>196</v>
      </c>
      <c r="E36" s="5" t="s">
        <v>197</v>
      </c>
      <c r="F36" s="5" t="s">
        <v>148</v>
      </c>
      <c r="G36" s="5" t="s">
        <v>198</v>
      </c>
      <c r="H36" s="5" t="s">
        <v>12</v>
      </c>
      <c r="I36" s="5" t="s">
        <v>40</v>
      </c>
      <c r="J36" s="5" t="s">
        <v>41</v>
      </c>
      <c r="K36" s="5"/>
    </row>
    <row r="37" spans="1:11">
      <c r="A37" s="5" t="s">
        <v>89</v>
      </c>
      <c r="B37" s="5" t="s">
        <v>199</v>
      </c>
      <c r="C37" s="5" t="s">
        <v>35</v>
      </c>
      <c r="D37" s="5" t="s">
        <v>200</v>
      </c>
      <c r="E37" s="5" t="s">
        <v>201</v>
      </c>
      <c r="F37" s="5" t="s">
        <v>202</v>
      </c>
      <c r="G37" s="5" t="s">
        <v>203</v>
      </c>
      <c r="H37" s="5" t="s">
        <v>12</v>
      </c>
      <c r="I37" s="5" t="s">
        <v>40</v>
      </c>
      <c r="J37" s="5" t="s">
        <v>41</v>
      </c>
      <c r="K37" s="5"/>
    </row>
    <row r="38" spans="1:11">
      <c r="A38" s="5" t="s">
        <v>89</v>
      </c>
      <c r="B38" s="5" t="s">
        <v>204</v>
      </c>
      <c r="C38" s="5" t="s">
        <v>35</v>
      </c>
      <c r="D38" s="5" t="s">
        <v>205</v>
      </c>
      <c r="E38" s="5" t="s">
        <v>206</v>
      </c>
      <c r="F38" s="5" t="s">
        <v>207</v>
      </c>
      <c r="G38" s="5" t="s">
        <v>208</v>
      </c>
      <c r="H38" s="5" t="s">
        <v>12</v>
      </c>
      <c r="I38" s="5" t="s">
        <v>40</v>
      </c>
      <c r="J38" s="5" t="s">
        <v>41</v>
      </c>
      <c r="K38" s="5"/>
    </row>
    <row r="39" spans="1:11">
      <c r="A39" s="5" t="s">
        <v>89</v>
      </c>
      <c r="B39" s="5" t="s">
        <v>209</v>
      </c>
      <c r="C39" s="5" t="s">
        <v>35</v>
      </c>
      <c r="D39" s="5" t="s">
        <v>210</v>
      </c>
      <c r="E39" s="5" t="s">
        <v>211</v>
      </c>
      <c r="F39" s="5" t="s">
        <v>207</v>
      </c>
      <c r="G39" s="5" t="s">
        <v>212</v>
      </c>
      <c r="H39" s="5" t="s">
        <v>12</v>
      </c>
      <c r="I39" s="5" t="s">
        <v>40</v>
      </c>
      <c r="J39" s="5" t="s">
        <v>41</v>
      </c>
      <c r="K39" s="5"/>
    </row>
    <row r="40" spans="1:11">
      <c r="A40" s="5" t="s">
        <v>89</v>
      </c>
      <c r="B40" s="5" t="s">
        <v>213</v>
      </c>
      <c r="C40" s="5" t="s">
        <v>35</v>
      </c>
      <c r="D40" s="5" t="s">
        <v>214</v>
      </c>
      <c r="E40" s="5" t="s">
        <v>215</v>
      </c>
      <c r="F40" s="5" t="s">
        <v>216</v>
      </c>
      <c r="G40" s="5" t="s">
        <v>217</v>
      </c>
      <c r="H40" s="5" t="s">
        <v>12</v>
      </c>
      <c r="I40" s="5" t="s">
        <v>40</v>
      </c>
      <c r="J40" s="5" t="s">
        <v>41</v>
      </c>
      <c r="K40" s="5"/>
    </row>
    <row r="41" spans="1:11">
      <c r="A41" s="5" t="s">
        <v>89</v>
      </c>
      <c r="B41" s="5" t="s">
        <v>218</v>
      </c>
      <c r="C41" s="5" t="s">
        <v>35</v>
      </c>
      <c r="D41" s="5" t="s">
        <v>219</v>
      </c>
      <c r="E41" s="5" t="s">
        <v>220</v>
      </c>
      <c r="F41" s="5" t="s">
        <v>221</v>
      </c>
      <c r="G41" s="5" t="s">
        <v>222</v>
      </c>
      <c r="H41" s="5" t="s">
        <v>12</v>
      </c>
      <c r="I41" s="5" t="s">
        <v>40</v>
      </c>
      <c r="J41" s="5" t="s">
        <v>41</v>
      </c>
      <c r="K41" s="5"/>
    </row>
    <row r="42" spans="1:11">
      <c r="A42" s="5" t="s">
        <v>89</v>
      </c>
      <c r="B42" s="5" t="s">
        <v>223</v>
      </c>
      <c r="C42" s="5" t="s">
        <v>35</v>
      </c>
      <c r="D42" s="5" t="s">
        <v>224</v>
      </c>
      <c r="E42" s="5" t="s">
        <v>225</v>
      </c>
      <c r="F42" s="5" t="s">
        <v>127</v>
      </c>
      <c r="G42" s="5" t="s">
        <v>226</v>
      </c>
      <c r="H42" s="5" t="s">
        <v>12</v>
      </c>
      <c r="I42" s="5" t="s">
        <v>40</v>
      </c>
      <c r="J42" s="5" t="s">
        <v>41</v>
      </c>
      <c r="K42" s="5"/>
    </row>
    <row r="43" spans="1:11">
      <c r="A43" s="5" t="s">
        <v>89</v>
      </c>
      <c r="B43" s="5" t="s">
        <v>227</v>
      </c>
      <c r="C43" s="5" t="s">
        <v>35</v>
      </c>
      <c r="D43" s="5" t="s">
        <v>228</v>
      </c>
      <c r="E43" s="5" t="s">
        <v>229</v>
      </c>
      <c r="F43" s="5" t="s">
        <v>112</v>
      </c>
      <c r="G43" s="5" t="s">
        <v>230</v>
      </c>
      <c r="H43" s="5" t="s">
        <v>12</v>
      </c>
      <c r="I43" s="5" t="s">
        <v>40</v>
      </c>
      <c r="J43" s="5" t="s">
        <v>41</v>
      </c>
      <c r="K43" s="5"/>
    </row>
    <row r="44" spans="1:11">
      <c r="A44" s="5" t="s">
        <v>89</v>
      </c>
      <c r="B44" s="5" t="s">
        <v>231</v>
      </c>
      <c r="C44" s="5" t="s">
        <v>35</v>
      </c>
      <c r="D44" s="5" t="s">
        <v>232</v>
      </c>
      <c r="E44" s="5" t="s">
        <v>233</v>
      </c>
      <c r="F44" s="5" t="s">
        <v>112</v>
      </c>
      <c r="G44" s="5" t="s">
        <v>234</v>
      </c>
      <c r="H44" s="5" t="s">
        <v>12</v>
      </c>
      <c r="I44" s="5" t="s">
        <v>40</v>
      </c>
      <c r="J44" s="5" t="s">
        <v>41</v>
      </c>
      <c r="K44" s="5"/>
    </row>
    <row r="45" spans="1:11">
      <c r="A45" s="5" t="s">
        <v>89</v>
      </c>
      <c r="B45" s="5" t="s">
        <v>235</v>
      </c>
      <c r="C45" s="5" t="s">
        <v>35</v>
      </c>
      <c r="D45" s="5" t="s">
        <v>236</v>
      </c>
      <c r="E45" s="5" t="s">
        <v>237</v>
      </c>
      <c r="F45" s="5" t="s">
        <v>112</v>
      </c>
      <c r="G45" s="5" t="s">
        <v>238</v>
      </c>
      <c r="H45" s="5" t="s">
        <v>12</v>
      </c>
      <c r="I45" s="5" t="s">
        <v>40</v>
      </c>
      <c r="J45" s="5" t="s">
        <v>41</v>
      </c>
      <c r="K45" s="5"/>
    </row>
    <row r="46" spans="1:11">
      <c r="A46" s="5" t="s">
        <v>89</v>
      </c>
      <c r="B46" s="5" t="s">
        <v>239</v>
      </c>
      <c r="C46" s="5" t="s">
        <v>35</v>
      </c>
      <c r="D46" s="5" t="s">
        <v>240</v>
      </c>
      <c r="E46" s="5" t="s">
        <v>241</v>
      </c>
      <c r="F46" s="5" t="s">
        <v>112</v>
      </c>
      <c r="G46" s="5" t="s">
        <v>242</v>
      </c>
      <c r="H46" s="5" t="s">
        <v>12</v>
      </c>
      <c r="I46" s="5" t="s">
        <v>40</v>
      </c>
      <c r="J46" s="5" t="s">
        <v>41</v>
      </c>
      <c r="K46" s="5"/>
    </row>
    <row r="47" spans="1:11">
      <c r="A47" s="5" t="s">
        <v>89</v>
      </c>
      <c r="B47" s="5" t="s">
        <v>243</v>
      </c>
      <c r="C47" s="5" t="s">
        <v>35</v>
      </c>
      <c r="D47" s="5" t="s">
        <v>244</v>
      </c>
      <c r="E47" s="5" t="s">
        <v>245</v>
      </c>
      <c r="F47" s="5" t="s">
        <v>112</v>
      </c>
      <c r="G47" s="5" t="s">
        <v>246</v>
      </c>
      <c r="H47" s="5" t="s">
        <v>12</v>
      </c>
      <c r="I47" s="5" t="s">
        <v>40</v>
      </c>
      <c r="J47" s="5" t="s">
        <v>41</v>
      </c>
      <c r="K47" s="5"/>
    </row>
    <row r="48" spans="1:11">
      <c r="A48" s="5" t="s">
        <v>89</v>
      </c>
      <c r="B48" s="5" t="s">
        <v>247</v>
      </c>
      <c r="C48" s="5" t="s">
        <v>35</v>
      </c>
      <c r="D48" s="5" t="s">
        <v>248</v>
      </c>
      <c r="E48" s="5" t="s">
        <v>249</v>
      </c>
      <c r="F48" s="5" t="s">
        <v>112</v>
      </c>
      <c r="G48" s="5" t="s">
        <v>250</v>
      </c>
      <c r="H48" s="5" t="s">
        <v>12</v>
      </c>
      <c r="I48" s="5" t="s">
        <v>40</v>
      </c>
      <c r="J48" s="5" t="s">
        <v>41</v>
      </c>
      <c r="K48" s="5"/>
    </row>
    <row r="49" spans="1:11">
      <c r="A49" s="5" t="s">
        <v>89</v>
      </c>
      <c r="B49" s="5" t="s">
        <v>251</v>
      </c>
      <c r="C49" s="5" t="s">
        <v>35</v>
      </c>
      <c r="D49" s="5" t="s">
        <v>252</v>
      </c>
      <c r="E49" s="5" t="s">
        <v>253</v>
      </c>
      <c r="F49" s="5" t="s">
        <v>112</v>
      </c>
      <c r="G49" s="5" t="s">
        <v>254</v>
      </c>
      <c r="H49" s="5" t="s">
        <v>12</v>
      </c>
      <c r="I49" s="5" t="s">
        <v>40</v>
      </c>
      <c r="J49" s="5" t="s">
        <v>41</v>
      </c>
      <c r="K49" s="5"/>
    </row>
    <row r="50" spans="1:11">
      <c r="A50" s="5" t="s">
        <v>89</v>
      </c>
      <c r="B50" s="5" t="s">
        <v>255</v>
      </c>
      <c r="C50" s="5" t="s">
        <v>35</v>
      </c>
      <c r="D50" s="5" t="s">
        <v>256</v>
      </c>
      <c r="E50" s="5" t="s">
        <v>257</v>
      </c>
      <c r="F50" s="5" t="s">
        <v>112</v>
      </c>
      <c r="G50" s="5" t="s">
        <v>258</v>
      </c>
      <c r="H50" s="5" t="s">
        <v>12</v>
      </c>
      <c r="I50" s="5" t="s">
        <v>40</v>
      </c>
      <c r="J50" s="5" t="s">
        <v>41</v>
      </c>
      <c r="K50" s="5"/>
    </row>
    <row r="51" spans="1:11">
      <c r="A51" s="5" t="s">
        <v>89</v>
      </c>
      <c r="B51" s="5" t="s">
        <v>259</v>
      </c>
      <c r="C51" s="5" t="s">
        <v>35</v>
      </c>
      <c r="D51" s="5" t="s">
        <v>260</v>
      </c>
      <c r="E51" s="5" t="s">
        <v>261</v>
      </c>
      <c r="F51" s="5" t="s">
        <v>262</v>
      </c>
      <c r="G51" s="5" t="s">
        <v>263</v>
      </c>
      <c r="H51" s="5" t="s">
        <v>12</v>
      </c>
      <c r="I51" s="5" t="s">
        <v>40</v>
      </c>
      <c r="J51" s="5" t="s">
        <v>41</v>
      </c>
      <c r="K51" s="5"/>
    </row>
    <row r="52" spans="1:11">
      <c r="A52" s="5" t="s">
        <v>89</v>
      </c>
      <c r="B52" s="5" t="s">
        <v>264</v>
      </c>
      <c r="C52" s="5" t="s">
        <v>35</v>
      </c>
      <c r="D52" s="5" t="s">
        <v>265</v>
      </c>
      <c r="E52" s="5" t="s">
        <v>266</v>
      </c>
      <c r="F52" s="5" t="s">
        <v>267</v>
      </c>
      <c r="G52" s="5" t="s">
        <v>268</v>
      </c>
      <c r="H52" s="5" t="s">
        <v>12</v>
      </c>
      <c r="I52" s="5" t="s">
        <v>40</v>
      </c>
      <c r="J52" s="5" t="s">
        <v>41</v>
      </c>
      <c r="K52" s="5"/>
    </row>
    <row r="53" spans="1:11">
      <c r="A53" s="5" t="s">
        <v>89</v>
      </c>
      <c r="B53" s="5" t="s">
        <v>269</v>
      </c>
      <c r="C53" s="5" t="s">
        <v>35</v>
      </c>
      <c r="D53" s="5" t="s">
        <v>270</v>
      </c>
      <c r="E53" s="5" t="s">
        <v>271</v>
      </c>
      <c r="F53" s="5" t="s">
        <v>272</v>
      </c>
      <c r="G53" s="5" t="s">
        <v>273</v>
      </c>
      <c r="H53" s="5" t="s">
        <v>12</v>
      </c>
      <c r="I53" s="5" t="s">
        <v>40</v>
      </c>
      <c r="J53" s="5" t="s">
        <v>41</v>
      </c>
      <c r="K53" s="5"/>
    </row>
    <row r="54" spans="1:11">
      <c r="A54" s="5" t="s">
        <v>89</v>
      </c>
      <c r="B54" s="5" t="s">
        <v>274</v>
      </c>
      <c r="C54" s="5" t="s">
        <v>35</v>
      </c>
      <c r="D54" s="5" t="s">
        <v>275</v>
      </c>
      <c r="E54" s="5" t="s">
        <v>276</v>
      </c>
      <c r="F54" s="5" t="s">
        <v>272</v>
      </c>
      <c r="G54" s="5" t="s">
        <v>277</v>
      </c>
      <c r="H54" s="5" t="s">
        <v>12</v>
      </c>
      <c r="I54" s="5" t="s">
        <v>40</v>
      </c>
      <c r="J54" s="5" t="s">
        <v>41</v>
      </c>
      <c r="K54" s="5"/>
    </row>
    <row r="55" spans="1:11">
      <c r="A55" s="5" t="s">
        <v>89</v>
      </c>
      <c r="B55" s="5" t="s">
        <v>278</v>
      </c>
      <c r="C55" s="5" t="s">
        <v>35</v>
      </c>
      <c r="D55" s="5" t="s">
        <v>279</v>
      </c>
      <c r="E55" s="5" t="s">
        <v>266</v>
      </c>
      <c r="F55" s="5" t="s">
        <v>267</v>
      </c>
      <c r="G55" s="5" t="s">
        <v>280</v>
      </c>
      <c r="H55" s="5" t="s">
        <v>12</v>
      </c>
      <c r="I55" s="5" t="s">
        <v>40</v>
      </c>
      <c r="J55" s="5" t="s">
        <v>41</v>
      </c>
      <c r="K55" s="5"/>
    </row>
    <row r="56" spans="1:11">
      <c r="A56" s="5" t="s">
        <v>89</v>
      </c>
      <c r="B56" s="5" t="s">
        <v>281</v>
      </c>
      <c r="C56" s="5" t="s">
        <v>35</v>
      </c>
      <c r="D56" s="5" t="s">
        <v>282</v>
      </c>
      <c r="E56" s="5" t="s">
        <v>283</v>
      </c>
      <c r="F56" s="5" t="s">
        <v>267</v>
      </c>
      <c r="G56" s="5" t="s">
        <v>284</v>
      </c>
      <c r="H56" s="5" t="s">
        <v>12</v>
      </c>
      <c r="I56" s="5" t="s">
        <v>40</v>
      </c>
      <c r="J56" s="5" t="s">
        <v>41</v>
      </c>
      <c r="K56" s="5"/>
    </row>
    <row r="57" spans="1:11">
      <c r="A57" s="5" t="s">
        <v>89</v>
      </c>
      <c r="B57" s="5" t="s">
        <v>285</v>
      </c>
      <c r="C57" s="5" t="s">
        <v>35</v>
      </c>
      <c r="D57" s="5" t="s">
        <v>286</v>
      </c>
      <c r="E57" s="5" t="s">
        <v>287</v>
      </c>
      <c r="F57" s="5" t="s">
        <v>267</v>
      </c>
      <c r="G57" s="5" t="s">
        <v>288</v>
      </c>
      <c r="H57" s="5" t="s">
        <v>12</v>
      </c>
      <c r="I57" s="5" t="s">
        <v>40</v>
      </c>
      <c r="J57" s="5" t="s">
        <v>41</v>
      </c>
      <c r="K57" s="5"/>
    </row>
    <row r="58" spans="1:11">
      <c r="A58" s="5" t="s">
        <v>89</v>
      </c>
      <c r="B58" s="5" t="s">
        <v>289</v>
      </c>
      <c r="C58" s="5" t="s">
        <v>35</v>
      </c>
      <c r="D58" s="5" t="s">
        <v>290</v>
      </c>
      <c r="E58" s="5" t="s">
        <v>266</v>
      </c>
      <c r="F58" s="5" t="s">
        <v>267</v>
      </c>
      <c r="G58" s="5" t="s">
        <v>291</v>
      </c>
      <c r="H58" s="5" t="s">
        <v>12</v>
      </c>
      <c r="I58" s="5" t="s">
        <v>40</v>
      </c>
      <c r="J58" s="5" t="s">
        <v>41</v>
      </c>
      <c r="K58" s="5"/>
    </row>
    <row r="59" spans="1:11">
      <c r="A59" s="5" t="s">
        <v>89</v>
      </c>
      <c r="B59" s="5" t="s">
        <v>292</v>
      </c>
      <c r="C59" s="5" t="s">
        <v>35</v>
      </c>
      <c r="D59" s="5" t="s">
        <v>293</v>
      </c>
      <c r="E59" s="5" t="s">
        <v>261</v>
      </c>
      <c r="F59" s="5" t="s">
        <v>262</v>
      </c>
      <c r="G59" s="5" t="s">
        <v>294</v>
      </c>
      <c r="H59" s="5" t="s">
        <v>12</v>
      </c>
      <c r="I59" s="5" t="s">
        <v>40</v>
      </c>
      <c r="J59" s="5" t="s">
        <v>41</v>
      </c>
      <c r="K59" s="5"/>
    </row>
    <row r="60" spans="1:11">
      <c r="A60" s="5" t="s">
        <v>89</v>
      </c>
      <c r="B60" s="5" t="s">
        <v>295</v>
      </c>
      <c r="C60" s="5" t="s">
        <v>35</v>
      </c>
      <c r="D60" s="5" t="s">
        <v>296</v>
      </c>
      <c r="E60" s="5" t="s">
        <v>297</v>
      </c>
      <c r="F60" s="5" t="s">
        <v>267</v>
      </c>
      <c r="G60" s="5" t="s">
        <v>298</v>
      </c>
      <c r="H60" s="5" t="s">
        <v>12</v>
      </c>
      <c r="I60" s="5" t="s">
        <v>40</v>
      </c>
      <c r="J60" s="5" t="s">
        <v>41</v>
      </c>
      <c r="K60" s="5"/>
    </row>
    <row r="61" spans="1:11">
      <c r="A61" s="5" t="s">
        <v>89</v>
      </c>
      <c r="B61" s="5" t="s">
        <v>299</v>
      </c>
      <c r="C61" s="5" t="s">
        <v>35</v>
      </c>
      <c r="D61" s="5" t="s">
        <v>300</v>
      </c>
      <c r="E61" s="5" t="s">
        <v>271</v>
      </c>
      <c r="F61" s="5" t="s">
        <v>272</v>
      </c>
      <c r="G61" s="5" t="s">
        <v>301</v>
      </c>
      <c r="H61" s="5" t="s">
        <v>12</v>
      </c>
      <c r="I61" s="5" t="s">
        <v>40</v>
      </c>
      <c r="J61" s="5" t="s">
        <v>41</v>
      </c>
      <c r="K61" s="5"/>
    </row>
    <row r="62" spans="1:11">
      <c r="A62" s="5" t="s">
        <v>89</v>
      </c>
      <c r="B62" s="5" t="s">
        <v>302</v>
      </c>
      <c r="C62" s="5" t="s">
        <v>35</v>
      </c>
      <c r="D62" s="5" t="s">
        <v>303</v>
      </c>
      <c r="E62" s="5" t="s">
        <v>276</v>
      </c>
      <c r="F62" s="5" t="s">
        <v>272</v>
      </c>
      <c r="G62" s="5" t="s">
        <v>304</v>
      </c>
      <c r="H62" s="5" t="s">
        <v>12</v>
      </c>
      <c r="I62" s="5" t="s">
        <v>40</v>
      </c>
      <c r="J62" s="5" t="s">
        <v>41</v>
      </c>
      <c r="K62" s="5"/>
    </row>
    <row r="63" spans="1:11">
      <c r="A63" s="5" t="s">
        <v>89</v>
      </c>
      <c r="B63" s="5" t="s">
        <v>305</v>
      </c>
      <c r="C63" s="5" t="s">
        <v>35</v>
      </c>
      <c r="D63" s="5" t="s">
        <v>306</v>
      </c>
      <c r="E63" s="5" t="s">
        <v>261</v>
      </c>
      <c r="F63" s="5" t="s">
        <v>262</v>
      </c>
      <c r="G63" s="5" t="s">
        <v>307</v>
      </c>
      <c r="H63" s="5" t="s">
        <v>12</v>
      </c>
      <c r="I63" s="5" t="s">
        <v>40</v>
      </c>
      <c r="J63" s="5" t="s">
        <v>41</v>
      </c>
      <c r="K63" s="5"/>
    </row>
    <row r="64" spans="1:11">
      <c r="A64" s="5" t="s">
        <v>89</v>
      </c>
      <c r="B64" s="5" t="s">
        <v>308</v>
      </c>
      <c r="C64" s="5" t="s">
        <v>35</v>
      </c>
      <c r="D64" s="5" t="s">
        <v>309</v>
      </c>
      <c r="E64" s="5" t="s">
        <v>297</v>
      </c>
      <c r="F64" s="5" t="s">
        <v>267</v>
      </c>
      <c r="G64" s="5" t="s">
        <v>310</v>
      </c>
      <c r="H64" s="5" t="s">
        <v>12</v>
      </c>
      <c r="I64" s="5" t="s">
        <v>40</v>
      </c>
      <c r="J64" s="5" t="s">
        <v>41</v>
      </c>
      <c r="K64" s="5"/>
    </row>
    <row r="65" spans="1:11">
      <c r="A65" s="5" t="s">
        <v>89</v>
      </c>
      <c r="B65" s="5" t="s">
        <v>311</v>
      </c>
      <c r="C65" s="5" t="s">
        <v>35</v>
      </c>
      <c r="D65" s="5" t="s">
        <v>312</v>
      </c>
      <c r="E65" s="5" t="s">
        <v>266</v>
      </c>
      <c r="F65" s="5" t="s">
        <v>267</v>
      </c>
      <c r="G65" s="5" t="s">
        <v>313</v>
      </c>
      <c r="H65" s="5" t="s">
        <v>12</v>
      </c>
      <c r="I65" s="5" t="s">
        <v>40</v>
      </c>
      <c r="J65" s="5" t="s">
        <v>41</v>
      </c>
      <c r="K65" s="5"/>
    </row>
    <row r="66" spans="1:11">
      <c r="A66" s="5" t="s">
        <v>89</v>
      </c>
      <c r="B66" s="5" t="s">
        <v>314</v>
      </c>
      <c r="C66" s="5" t="s">
        <v>35</v>
      </c>
      <c r="D66" s="5" t="s">
        <v>315</v>
      </c>
      <c r="E66" s="5" t="s">
        <v>276</v>
      </c>
      <c r="F66" s="5" t="s">
        <v>272</v>
      </c>
      <c r="G66" s="5" t="s">
        <v>316</v>
      </c>
      <c r="H66" s="5" t="s">
        <v>12</v>
      </c>
      <c r="I66" s="5" t="s">
        <v>40</v>
      </c>
      <c r="J66" s="5" t="s">
        <v>41</v>
      </c>
      <c r="K66" s="5"/>
    </row>
    <row r="67" spans="1:11">
      <c r="A67" s="5" t="s">
        <v>89</v>
      </c>
      <c r="B67" s="5" t="s">
        <v>317</v>
      </c>
      <c r="C67" s="5" t="s">
        <v>35</v>
      </c>
      <c r="D67" s="5" t="s">
        <v>318</v>
      </c>
      <c r="E67" s="5" t="s">
        <v>261</v>
      </c>
      <c r="F67" s="5" t="s">
        <v>262</v>
      </c>
      <c r="G67" s="5" t="s">
        <v>319</v>
      </c>
      <c r="H67" s="5" t="s">
        <v>12</v>
      </c>
      <c r="I67" s="5" t="s">
        <v>40</v>
      </c>
      <c r="J67" s="5" t="s">
        <v>41</v>
      </c>
      <c r="K67" s="5"/>
    </row>
    <row r="68" spans="1:11">
      <c r="A68" s="5" t="s">
        <v>89</v>
      </c>
      <c r="B68" s="5" t="s">
        <v>320</v>
      </c>
      <c r="C68" s="5" t="s">
        <v>35</v>
      </c>
      <c r="D68" s="5" t="s">
        <v>321</v>
      </c>
      <c r="E68" s="5" t="s">
        <v>297</v>
      </c>
      <c r="F68" s="5" t="s">
        <v>267</v>
      </c>
      <c r="G68" s="5" t="s">
        <v>322</v>
      </c>
      <c r="H68" s="5" t="s">
        <v>12</v>
      </c>
      <c r="I68" s="5" t="s">
        <v>40</v>
      </c>
      <c r="J68" s="5" t="s">
        <v>41</v>
      </c>
      <c r="K68" s="5"/>
    </row>
    <row r="69" spans="1:11">
      <c r="A69" s="5" t="s">
        <v>89</v>
      </c>
      <c r="B69" s="5" t="s">
        <v>323</v>
      </c>
      <c r="C69" s="5" t="s">
        <v>35</v>
      </c>
      <c r="D69" s="5" t="s">
        <v>324</v>
      </c>
      <c r="E69" s="5" t="s">
        <v>266</v>
      </c>
      <c r="F69" s="5" t="s">
        <v>267</v>
      </c>
      <c r="G69" s="5" t="s">
        <v>325</v>
      </c>
      <c r="H69" s="5" t="s">
        <v>12</v>
      </c>
      <c r="I69" s="5" t="s">
        <v>40</v>
      </c>
      <c r="J69" s="5" t="s">
        <v>41</v>
      </c>
      <c r="K69" s="5"/>
    </row>
    <row r="70" spans="1:11">
      <c r="A70" s="5" t="s">
        <v>89</v>
      </c>
      <c r="B70" s="5" t="s">
        <v>326</v>
      </c>
      <c r="C70" s="5" t="s">
        <v>35</v>
      </c>
      <c r="D70" s="5" t="s">
        <v>327</v>
      </c>
      <c r="E70" s="5" t="s">
        <v>271</v>
      </c>
      <c r="F70" s="5" t="s">
        <v>272</v>
      </c>
      <c r="G70" s="5" t="s">
        <v>328</v>
      </c>
      <c r="H70" s="5" t="s">
        <v>12</v>
      </c>
      <c r="I70" s="5" t="s">
        <v>40</v>
      </c>
      <c r="J70" s="5" t="s">
        <v>41</v>
      </c>
      <c r="K70" s="5"/>
    </row>
    <row r="71" spans="1:11">
      <c r="A71" s="5" t="s">
        <v>89</v>
      </c>
      <c r="B71" s="5" t="s">
        <v>329</v>
      </c>
      <c r="C71" s="5" t="s">
        <v>35</v>
      </c>
      <c r="D71" s="5" t="s">
        <v>330</v>
      </c>
      <c r="E71" s="5" t="s">
        <v>261</v>
      </c>
      <c r="F71" s="5" t="s">
        <v>262</v>
      </c>
      <c r="G71" s="5" t="s">
        <v>331</v>
      </c>
      <c r="H71" s="5" t="s">
        <v>12</v>
      </c>
      <c r="I71" s="5" t="s">
        <v>40</v>
      </c>
      <c r="J71" s="5" t="s">
        <v>41</v>
      </c>
      <c r="K71" s="5"/>
    </row>
    <row r="72" spans="1:11">
      <c r="A72" s="5" t="s">
        <v>89</v>
      </c>
      <c r="B72" s="5" t="s">
        <v>332</v>
      </c>
      <c r="C72" s="5" t="s">
        <v>35</v>
      </c>
      <c r="D72" s="5" t="s">
        <v>333</v>
      </c>
      <c r="E72" s="5" t="s">
        <v>297</v>
      </c>
      <c r="F72" s="5" t="s">
        <v>267</v>
      </c>
      <c r="G72" s="5" t="s">
        <v>334</v>
      </c>
      <c r="H72" s="5" t="s">
        <v>12</v>
      </c>
      <c r="I72" s="5" t="s">
        <v>40</v>
      </c>
      <c r="J72" s="5" t="s">
        <v>41</v>
      </c>
      <c r="K72" s="5"/>
    </row>
    <row r="73" spans="1:11">
      <c r="A73" s="5" t="s">
        <v>89</v>
      </c>
      <c r="B73" s="5" t="s">
        <v>335</v>
      </c>
      <c r="C73" s="5" t="s">
        <v>35</v>
      </c>
      <c r="D73" s="5" t="s">
        <v>336</v>
      </c>
      <c r="E73" s="5" t="s">
        <v>283</v>
      </c>
      <c r="F73" s="5" t="s">
        <v>267</v>
      </c>
      <c r="G73" s="5" t="s">
        <v>337</v>
      </c>
      <c r="H73" s="5" t="s">
        <v>12</v>
      </c>
      <c r="I73" s="5" t="s">
        <v>40</v>
      </c>
      <c r="J73" s="5" t="s">
        <v>41</v>
      </c>
      <c r="K73" s="5"/>
    </row>
    <row r="74" spans="1:11">
      <c r="A74" s="5" t="s">
        <v>89</v>
      </c>
      <c r="B74" s="5" t="s">
        <v>338</v>
      </c>
      <c r="C74" s="5" t="s">
        <v>35</v>
      </c>
      <c r="D74" s="5" t="s">
        <v>339</v>
      </c>
      <c r="E74" s="5" t="s">
        <v>287</v>
      </c>
      <c r="F74" s="5" t="s">
        <v>267</v>
      </c>
      <c r="G74" s="5" t="s">
        <v>340</v>
      </c>
      <c r="H74" s="5" t="s">
        <v>12</v>
      </c>
      <c r="I74" s="5" t="s">
        <v>40</v>
      </c>
      <c r="J74" s="5" t="s">
        <v>41</v>
      </c>
      <c r="K74" s="5"/>
    </row>
    <row r="75" spans="1:11">
      <c r="A75" s="5" t="s">
        <v>89</v>
      </c>
      <c r="B75" s="5" t="s">
        <v>341</v>
      </c>
      <c r="C75" s="5" t="s">
        <v>35</v>
      </c>
      <c r="D75" s="5" t="s">
        <v>342</v>
      </c>
      <c r="E75" s="5" t="s">
        <v>343</v>
      </c>
      <c r="F75" s="5" t="s">
        <v>127</v>
      </c>
      <c r="G75" s="5" t="s">
        <v>344</v>
      </c>
      <c r="H75" s="5" t="s">
        <v>12</v>
      </c>
      <c r="I75" s="5" t="s">
        <v>40</v>
      </c>
      <c r="J75" s="5" t="s">
        <v>41</v>
      </c>
      <c r="K75" s="5"/>
    </row>
    <row r="76" spans="1:11">
      <c r="A76" s="5" t="s">
        <v>89</v>
      </c>
      <c r="B76" s="5" t="s">
        <v>345</v>
      </c>
      <c r="C76" s="5" t="s">
        <v>35</v>
      </c>
      <c r="D76" s="5" t="s">
        <v>346</v>
      </c>
      <c r="E76" s="5" t="s">
        <v>347</v>
      </c>
      <c r="F76" s="5" t="s">
        <v>127</v>
      </c>
      <c r="G76" s="5" t="s">
        <v>348</v>
      </c>
      <c r="H76" s="5" t="s">
        <v>12</v>
      </c>
      <c r="I76" s="5" t="s">
        <v>40</v>
      </c>
      <c r="J76" s="5" t="s">
        <v>41</v>
      </c>
      <c r="K76" s="5"/>
    </row>
    <row r="77" spans="1:11">
      <c r="A77" s="5" t="s">
        <v>89</v>
      </c>
      <c r="B77" s="5" t="s">
        <v>349</v>
      </c>
      <c r="C77" s="5" t="s">
        <v>35</v>
      </c>
      <c r="D77" s="5" t="s">
        <v>350</v>
      </c>
      <c r="E77" s="5" t="s">
        <v>351</v>
      </c>
      <c r="F77" s="5" t="s">
        <v>103</v>
      </c>
      <c r="G77" s="5" t="s">
        <v>352</v>
      </c>
      <c r="H77" s="5" t="s">
        <v>12</v>
      </c>
      <c r="I77" s="5" t="s">
        <v>40</v>
      </c>
      <c r="J77" s="5" t="s">
        <v>41</v>
      </c>
      <c r="K77" s="5"/>
    </row>
    <row r="78" spans="1:11">
      <c r="A78" s="5" t="s">
        <v>89</v>
      </c>
      <c r="B78" s="5" t="s">
        <v>353</v>
      </c>
      <c r="C78" s="5" t="s">
        <v>35</v>
      </c>
      <c r="D78" s="5" t="s">
        <v>354</v>
      </c>
      <c r="E78" s="5" t="s">
        <v>355</v>
      </c>
      <c r="F78" s="5" t="s">
        <v>127</v>
      </c>
      <c r="G78" s="5" t="s">
        <v>356</v>
      </c>
      <c r="H78" s="5" t="s">
        <v>12</v>
      </c>
      <c r="I78" s="5" t="s">
        <v>40</v>
      </c>
      <c r="J78" s="5" t="s">
        <v>41</v>
      </c>
      <c r="K78" s="5"/>
    </row>
    <row r="79" spans="1:11">
      <c r="A79" s="5" t="s">
        <v>89</v>
      </c>
      <c r="B79" s="5" t="s">
        <v>357</v>
      </c>
      <c r="C79" s="5" t="s">
        <v>35</v>
      </c>
      <c r="D79" s="5" t="s">
        <v>358</v>
      </c>
      <c r="E79" s="5" t="s">
        <v>359</v>
      </c>
      <c r="F79" s="5" t="s">
        <v>127</v>
      </c>
      <c r="G79" s="5" t="s">
        <v>360</v>
      </c>
      <c r="H79" s="5" t="s">
        <v>12</v>
      </c>
      <c r="I79" s="5" t="s">
        <v>40</v>
      </c>
      <c r="J79" s="5" t="s">
        <v>41</v>
      </c>
      <c r="K79" s="5"/>
    </row>
    <row r="80" spans="1:11">
      <c r="A80" s="5" t="s">
        <v>89</v>
      </c>
      <c r="B80" s="5" t="s">
        <v>361</v>
      </c>
      <c r="C80" s="5" t="s">
        <v>35</v>
      </c>
      <c r="D80" s="5" t="s">
        <v>91</v>
      </c>
      <c r="E80" s="5" t="s">
        <v>92</v>
      </c>
      <c r="F80" s="5" t="s">
        <v>362</v>
      </c>
      <c r="G80" s="5" t="s">
        <v>363</v>
      </c>
      <c r="H80" s="5" t="s">
        <v>12</v>
      </c>
      <c r="I80" s="5" t="s">
        <v>40</v>
      </c>
      <c r="J80" s="5" t="s">
        <v>41</v>
      </c>
      <c r="K80" s="5"/>
    </row>
    <row r="81" spans="1:11">
      <c r="A81" s="5" t="s">
        <v>89</v>
      </c>
      <c r="B81" s="5" t="s">
        <v>364</v>
      </c>
      <c r="C81" s="5" t="s">
        <v>35</v>
      </c>
      <c r="D81" s="5" t="s">
        <v>365</v>
      </c>
      <c r="E81" s="5" t="s">
        <v>366</v>
      </c>
      <c r="F81" s="5" t="s">
        <v>367</v>
      </c>
      <c r="G81" s="5" t="s">
        <v>368</v>
      </c>
      <c r="H81" s="5" t="s">
        <v>12</v>
      </c>
      <c r="I81" s="5" t="s">
        <v>40</v>
      </c>
      <c r="J81" s="5" t="s">
        <v>41</v>
      </c>
      <c r="K81" s="5"/>
    </row>
    <row r="82" spans="1:11">
      <c r="A82" s="5" t="s">
        <v>89</v>
      </c>
      <c r="B82" s="5" t="s">
        <v>369</v>
      </c>
      <c r="C82" s="5" t="s">
        <v>35</v>
      </c>
      <c r="D82" s="5" t="s">
        <v>370</v>
      </c>
      <c r="E82" s="5" t="s">
        <v>371</v>
      </c>
      <c r="F82" s="5" t="s">
        <v>372</v>
      </c>
      <c r="G82" s="5" t="s">
        <v>373</v>
      </c>
      <c r="H82" s="5" t="s">
        <v>12</v>
      </c>
      <c r="I82" s="5" t="s">
        <v>40</v>
      </c>
      <c r="J82" s="5" t="s">
        <v>41</v>
      </c>
      <c r="K82" s="5"/>
    </row>
    <row r="83" spans="1:11">
      <c r="A83" s="5" t="s">
        <v>89</v>
      </c>
      <c r="B83" s="5" t="s">
        <v>374</v>
      </c>
      <c r="C83" s="5" t="s">
        <v>35</v>
      </c>
      <c r="D83" s="5" t="s">
        <v>375</v>
      </c>
      <c r="E83" s="5" t="s">
        <v>376</v>
      </c>
      <c r="F83" s="5" t="s">
        <v>377</v>
      </c>
      <c r="G83" s="5" t="s">
        <v>378</v>
      </c>
      <c r="H83" s="5" t="s">
        <v>12</v>
      </c>
      <c r="I83" s="5" t="s">
        <v>40</v>
      </c>
      <c r="J83" s="5" t="s">
        <v>41</v>
      </c>
      <c r="K83" s="5"/>
    </row>
    <row r="84" spans="1:11">
      <c r="A84" s="5" t="s">
        <v>89</v>
      </c>
      <c r="B84" s="5" t="s">
        <v>379</v>
      </c>
      <c r="C84" s="5" t="s">
        <v>35</v>
      </c>
      <c r="D84" s="5" t="s">
        <v>380</v>
      </c>
      <c r="E84" s="5" t="s">
        <v>381</v>
      </c>
      <c r="F84" s="5" t="s">
        <v>367</v>
      </c>
      <c r="G84" s="5" t="s">
        <v>382</v>
      </c>
      <c r="H84" s="5" t="s">
        <v>12</v>
      </c>
      <c r="I84" s="5" t="s">
        <v>40</v>
      </c>
      <c r="J84" s="5" t="s">
        <v>41</v>
      </c>
      <c r="K84" s="5"/>
    </row>
    <row r="85" spans="1:11">
      <c r="A85" s="5" t="s">
        <v>89</v>
      </c>
      <c r="B85" s="5" t="s">
        <v>383</v>
      </c>
      <c r="C85" s="5" t="s">
        <v>35</v>
      </c>
      <c r="D85" s="5" t="s">
        <v>384</v>
      </c>
      <c r="E85" s="5" t="s">
        <v>385</v>
      </c>
      <c r="F85" s="5" t="s">
        <v>386</v>
      </c>
      <c r="G85" s="5" t="s">
        <v>387</v>
      </c>
      <c r="H85" s="5" t="s">
        <v>12</v>
      </c>
      <c r="I85" s="5" t="s">
        <v>40</v>
      </c>
      <c r="J85" s="5" t="s">
        <v>41</v>
      </c>
      <c r="K85" s="5"/>
    </row>
    <row r="86" spans="1:11">
      <c r="A86" s="5" t="s">
        <v>89</v>
      </c>
      <c r="B86" s="5" t="s">
        <v>388</v>
      </c>
      <c r="C86" s="5" t="s">
        <v>35</v>
      </c>
      <c r="D86" s="5" t="s">
        <v>389</v>
      </c>
      <c r="E86" s="5" t="s">
        <v>390</v>
      </c>
      <c r="F86" s="5" t="s">
        <v>391</v>
      </c>
      <c r="G86" s="5" t="s">
        <v>392</v>
      </c>
      <c r="H86" s="5" t="s">
        <v>12</v>
      </c>
      <c r="I86" s="5" t="s">
        <v>40</v>
      </c>
      <c r="J86" s="5" t="s">
        <v>41</v>
      </c>
      <c r="K86" s="5"/>
    </row>
    <row r="87" spans="1:11">
      <c r="A87" s="5" t="s">
        <v>89</v>
      </c>
      <c r="B87" s="5" t="s">
        <v>393</v>
      </c>
      <c r="C87" s="5" t="s">
        <v>35</v>
      </c>
      <c r="D87" s="5" t="s">
        <v>394</v>
      </c>
      <c r="E87" s="5" t="s">
        <v>395</v>
      </c>
      <c r="F87" s="5" t="s">
        <v>396</v>
      </c>
      <c r="G87" s="5" t="s">
        <v>397</v>
      </c>
      <c r="H87" s="5" t="s">
        <v>12</v>
      </c>
      <c r="I87" s="5" t="s">
        <v>40</v>
      </c>
      <c r="J87" s="5" t="s">
        <v>41</v>
      </c>
      <c r="K87" s="5"/>
    </row>
    <row r="88" spans="1:11">
      <c r="A88" s="5" t="s">
        <v>89</v>
      </c>
      <c r="B88" s="5" t="s">
        <v>398</v>
      </c>
      <c r="C88" s="5" t="s">
        <v>35</v>
      </c>
      <c r="D88" s="5" t="s">
        <v>399</v>
      </c>
      <c r="E88" s="5" t="s">
        <v>400</v>
      </c>
      <c r="F88" s="5" t="s">
        <v>401</v>
      </c>
      <c r="G88" s="5" t="s">
        <v>402</v>
      </c>
      <c r="H88" s="5" t="s">
        <v>12</v>
      </c>
      <c r="I88" s="5" t="s">
        <v>40</v>
      </c>
      <c r="J88" s="5" t="s">
        <v>41</v>
      </c>
      <c r="K88" s="5"/>
    </row>
    <row r="89" spans="1:11">
      <c r="A89" s="5" t="s">
        <v>89</v>
      </c>
      <c r="B89" s="5" t="s">
        <v>403</v>
      </c>
      <c r="C89" s="5" t="s">
        <v>35</v>
      </c>
      <c r="D89" s="5" t="s">
        <v>404</v>
      </c>
      <c r="E89" s="5" t="s">
        <v>405</v>
      </c>
      <c r="F89" s="5" t="s">
        <v>406</v>
      </c>
      <c r="G89" s="5" t="s">
        <v>407</v>
      </c>
      <c r="H89" s="5" t="s">
        <v>12</v>
      </c>
      <c r="I89" s="5" t="s">
        <v>40</v>
      </c>
      <c r="J89" s="5" t="s">
        <v>41</v>
      </c>
      <c r="K89" s="5"/>
    </row>
    <row r="90" spans="1:11">
      <c r="A90" s="5" t="s">
        <v>89</v>
      </c>
      <c r="B90" s="5" t="s">
        <v>408</v>
      </c>
      <c r="C90" s="5" t="s">
        <v>35</v>
      </c>
      <c r="D90" s="5" t="s">
        <v>409</v>
      </c>
      <c r="E90" s="5" t="s">
        <v>410</v>
      </c>
      <c r="F90" s="5" t="s">
        <v>411</v>
      </c>
      <c r="G90" s="5" t="s">
        <v>412</v>
      </c>
      <c r="H90" s="5" t="s">
        <v>12</v>
      </c>
      <c r="I90" s="5" t="s">
        <v>40</v>
      </c>
      <c r="J90" s="5" t="s">
        <v>41</v>
      </c>
      <c r="K90" s="5"/>
    </row>
    <row r="91" spans="1:11">
      <c r="A91" s="5" t="s">
        <v>89</v>
      </c>
      <c r="B91" s="5" t="s">
        <v>413</v>
      </c>
      <c r="C91" s="5" t="s">
        <v>35</v>
      </c>
      <c r="D91" s="5" t="s">
        <v>414</v>
      </c>
      <c r="E91" s="5" t="s">
        <v>415</v>
      </c>
      <c r="F91" s="5" t="s">
        <v>391</v>
      </c>
      <c r="G91" s="5" t="s">
        <v>416</v>
      </c>
      <c r="H91" s="5" t="s">
        <v>12</v>
      </c>
      <c r="I91" s="5" t="s">
        <v>40</v>
      </c>
      <c r="J91" s="5" t="s">
        <v>41</v>
      </c>
      <c r="K91" s="5"/>
    </row>
    <row r="92" spans="1:11">
      <c r="A92" s="5" t="s">
        <v>89</v>
      </c>
      <c r="B92" s="5" t="s">
        <v>417</v>
      </c>
      <c r="C92" s="5" t="s">
        <v>35</v>
      </c>
      <c r="D92" s="5" t="s">
        <v>418</v>
      </c>
      <c r="E92" s="5" t="s">
        <v>419</v>
      </c>
      <c r="F92" s="5" t="s">
        <v>391</v>
      </c>
      <c r="G92" s="5" t="s">
        <v>420</v>
      </c>
      <c r="H92" s="5" t="s">
        <v>12</v>
      </c>
      <c r="I92" s="5" t="s">
        <v>40</v>
      </c>
      <c r="J92" s="5" t="s">
        <v>41</v>
      </c>
      <c r="K92" s="5"/>
    </row>
    <row r="93" spans="1:11">
      <c r="A93" s="5" t="s">
        <v>89</v>
      </c>
      <c r="B93" s="5" t="s">
        <v>421</v>
      </c>
      <c r="C93" s="5" t="s">
        <v>35</v>
      </c>
      <c r="D93" s="5" t="s">
        <v>422</v>
      </c>
      <c r="E93" s="5" t="s">
        <v>423</v>
      </c>
      <c r="F93" s="5" t="s">
        <v>424</v>
      </c>
      <c r="G93" s="5" t="s">
        <v>425</v>
      </c>
      <c r="H93" s="5" t="s">
        <v>12</v>
      </c>
      <c r="I93" s="5" t="s">
        <v>40</v>
      </c>
      <c r="J93" s="5" t="s">
        <v>41</v>
      </c>
      <c r="K93" s="5"/>
    </row>
    <row r="94" spans="1:11">
      <c r="A94" s="5" t="s">
        <v>89</v>
      </c>
      <c r="B94" s="5" t="s">
        <v>426</v>
      </c>
      <c r="C94" s="5" t="s">
        <v>35</v>
      </c>
      <c r="D94" s="5" t="s">
        <v>427</v>
      </c>
      <c r="E94" s="5" t="s">
        <v>428</v>
      </c>
      <c r="F94" s="5" t="s">
        <v>429</v>
      </c>
      <c r="G94" s="5" t="s">
        <v>430</v>
      </c>
      <c r="H94" s="5" t="s">
        <v>12</v>
      </c>
      <c r="I94" s="5" t="s">
        <v>40</v>
      </c>
      <c r="J94" s="5" t="s">
        <v>41</v>
      </c>
      <c r="K94" s="5"/>
    </row>
    <row r="95" spans="1:11">
      <c r="A95" s="5" t="s">
        <v>89</v>
      </c>
      <c r="B95" s="5" t="s">
        <v>431</v>
      </c>
      <c r="C95" s="5" t="s">
        <v>35</v>
      </c>
      <c r="D95" s="5" t="s">
        <v>432</v>
      </c>
      <c r="E95" s="5" t="s">
        <v>433</v>
      </c>
      <c r="F95" s="5" t="s">
        <v>429</v>
      </c>
      <c r="G95" s="5" t="s">
        <v>434</v>
      </c>
      <c r="H95" s="5" t="s">
        <v>12</v>
      </c>
      <c r="I95" s="5" t="s">
        <v>40</v>
      </c>
      <c r="J95" s="5" t="s">
        <v>41</v>
      </c>
      <c r="K95" s="5"/>
    </row>
    <row r="96" spans="1:11">
      <c r="A96" s="5" t="s">
        <v>89</v>
      </c>
      <c r="B96" s="5" t="s">
        <v>435</v>
      </c>
      <c r="C96" s="5" t="s">
        <v>35</v>
      </c>
      <c r="D96" s="5" t="s">
        <v>436</v>
      </c>
      <c r="E96" s="5" t="s">
        <v>437</v>
      </c>
      <c r="F96" s="5" t="s">
        <v>424</v>
      </c>
      <c r="G96" s="5" t="s">
        <v>438</v>
      </c>
      <c r="H96" s="5" t="s">
        <v>12</v>
      </c>
      <c r="I96" s="5" t="s">
        <v>40</v>
      </c>
      <c r="J96" s="5" t="s">
        <v>41</v>
      </c>
      <c r="K96" s="5"/>
    </row>
    <row r="97" spans="1:11">
      <c r="A97" s="5" t="s">
        <v>439</v>
      </c>
      <c r="B97" s="5" t="s">
        <v>440</v>
      </c>
      <c r="C97" s="5" t="s">
        <v>35</v>
      </c>
      <c r="D97" s="5" t="s">
        <v>441</v>
      </c>
      <c r="E97" s="5" t="s">
        <v>442</v>
      </c>
      <c r="F97" s="5" t="s">
        <v>443</v>
      </c>
      <c r="G97" s="5" t="s">
        <v>444</v>
      </c>
      <c r="H97" s="5" t="s">
        <v>12</v>
      </c>
      <c r="I97" s="5" t="s">
        <v>40</v>
      </c>
      <c r="J97" s="5" t="s">
        <v>41</v>
      </c>
      <c r="K97" s="5"/>
    </row>
    <row r="98" spans="1:11">
      <c r="A98" s="5" t="s">
        <v>439</v>
      </c>
      <c r="B98" s="5" t="s">
        <v>445</v>
      </c>
      <c r="C98" s="5" t="s">
        <v>35</v>
      </c>
      <c r="D98" s="5" t="s">
        <v>446</v>
      </c>
      <c r="E98" s="5" t="s">
        <v>447</v>
      </c>
      <c r="F98" s="5" t="s">
        <v>448</v>
      </c>
      <c r="G98" s="5" t="s">
        <v>449</v>
      </c>
      <c r="H98" s="5" t="s">
        <v>12</v>
      </c>
      <c r="I98" s="5" t="s">
        <v>40</v>
      </c>
      <c r="J98" s="5" t="s">
        <v>41</v>
      </c>
      <c r="K98" s="5"/>
    </row>
    <row r="99" spans="1:11">
      <c r="A99" s="5" t="s">
        <v>439</v>
      </c>
      <c r="B99" s="5" t="s">
        <v>450</v>
      </c>
      <c r="C99" s="5" t="s">
        <v>35</v>
      </c>
      <c r="D99" s="5" t="s">
        <v>451</v>
      </c>
      <c r="E99" s="5" t="s">
        <v>452</v>
      </c>
      <c r="F99" s="5" t="s">
        <v>453</v>
      </c>
      <c r="G99" s="5" t="s">
        <v>454</v>
      </c>
      <c r="H99" s="5" t="s">
        <v>12</v>
      </c>
      <c r="I99" s="5" t="s">
        <v>40</v>
      </c>
      <c r="J99" s="5" t="s">
        <v>41</v>
      </c>
      <c r="K99" s="5"/>
    </row>
    <row r="100" spans="1:11">
      <c r="A100" s="5" t="s">
        <v>439</v>
      </c>
      <c r="B100" s="5" t="s">
        <v>455</v>
      </c>
      <c r="C100" s="5" t="s">
        <v>35</v>
      </c>
      <c r="D100" s="5" t="s">
        <v>456</v>
      </c>
      <c r="E100" s="5" t="s">
        <v>457</v>
      </c>
      <c r="F100" s="5" t="s">
        <v>458</v>
      </c>
      <c r="G100" s="5" t="s">
        <v>459</v>
      </c>
      <c r="H100" s="5" t="s">
        <v>12</v>
      </c>
      <c r="I100" s="5" t="s">
        <v>40</v>
      </c>
      <c r="J100" s="5" t="s">
        <v>41</v>
      </c>
      <c r="K100" s="5"/>
    </row>
    <row r="101" spans="1:11">
      <c r="A101" s="5" t="s">
        <v>439</v>
      </c>
      <c r="B101" s="5" t="s">
        <v>460</v>
      </c>
      <c r="C101" s="5" t="s">
        <v>35</v>
      </c>
      <c r="D101" s="5" t="s">
        <v>461</v>
      </c>
      <c r="E101" s="5" t="s">
        <v>462</v>
      </c>
      <c r="F101" s="5" t="s">
        <v>443</v>
      </c>
      <c r="G101" s="5" t="s">
        <v>463</v>
      </c>
      <c r="H101" s="5" t="s">
        <v>12</v>
      </c>
      <c r="I101" s="5" t="s">
        <v>40</v>
      </c>
      <c r="J101" s="5" t="s">
        <v>41</v>
      </c>
      <c r="K101" s="5"/>
    </row>
    <row r="102" spans="1:11">
      <c r="A102" s="5" t="s">
        <v>439</v>
      </c>
      <c r="B102" s="5" t="s">
        <v>464</v>
      </c>
      <c r="C102" s="5" t="s">
        <v>35</v>
      </c>
      <c r="D102" s="5" t="s">
        <v>465</v>
      </c>
      <c r="E102" s="5" t="s">
        <v>466</v>
      </c>
      <c r="F102" s="5" t="s">
        <v>458</v>
      </c>
      <c r="G102" s="5" t="s">
        <v>467</v>
      </c>
      <c r="H102" s="5" t="s">
        <v>12</v>
      </c>
      <c r="I102" s="5" t="s">
        <v>40</v>
      </c>
      <c r="J102" s="5" t="s">
        <v>41</v>
      </c>
      <c r="K102" s="5"/>
    </row>
    <row r="103" spans="1:11">
      <c r="A103" s="5" t="s">
        <v>439</v>
      </c>
      <c r="B103" s="5" t="s">
        <v>468</v>
      </c>
      <c r="C103" s="5" t="s">
        <v>35</v>
      </c>
      <c r="D103" s="5" t="s">
        <v>469</v>
      </c>
      <c r="E103" s="5" t="s">
        <v>470</v>
      </c>
      <c r="F103" s="5" t="s">
        <v>443</v>
      </c>
      <c r="G103" s="5" t="s">
        <v>471</v>
      </c>
      <c r="H103" s="5" t="s">
        <v>12</v>
      </c>
      <c r="I103" s="5" t="s">
        <v>40</v>
      </c>
      <c r="J103" s="5" t="s">
        <v>41</v>
      </c>
      <c r="K103" s="5"/>
    </row>
    <row r="104" spans="1:11">
      <c r="A104" s="5" t="s">
        <v>439</v>
      </c>
      <c r="B104" s="5" t="s">
        <v>472</v>
      </c>
      <c r="C104" s="5" t="s">
        <v>35</v>
      </c>
      <c r="D104" s="5" t="s">
        <v>473</v>
      </c>
      <c r="E104" s="5" t="s">
        <v>474</v>
      </c>
      <c r="F104" s="5" t="s">
        <v>443</v>
      </c>
      <c r="G104" s="5" t="s">
        <v>475</v>
      </c>
      <c r="H104" s="5" t="s">
        <v>12</v>
      </c>
      <c r="I104" s="5" t="s">
        <v>40</v>
      </c>
      <c r="J104" s="5" t="s">
        <v>41</v>
      </c>
      <c r="K104" s="5"/>
    </row>
    <row r="105" spans="1:11">
      <c r="A105" s="5" t="s">
        <v>439</v>
      </c>
      <c r="B105" s="5" t="s">
        <v>476</v>
      </c>
      <c r="C105" s="5" t="s">
        <v>35</v>
      </c>
      <c r="D105" s="5" t="s">
        <v>477</v>
      </c>
      <c r="E105" s="5" t="s">
        <v>478</v>
      </c>
      <c r="F105" s="5" t="s">
        <v>479</v>
      </c>
      <c r="G105" s="5" t="s">
        <v>480</v>
      </c>
      <c r="H105" s="5" t="s">
        <v>12</v>
      </c>
      <c r="I105" s="5" t="s">
        <v>40</v>
      </c>
      <c r="J105" s="5" t="s">
        <v>41</v>
      </c>
      <c r="K105" s="5"/>
    </row>
    <row r="106" spans="1:11">
      <c r="A106" s="5" t="s">
        <v>439</v>
      </c>
      <c r="B106" s="5" t="s">
        <v>481</v>
      </c>
      <c r="C106" s="5" t="s">
        <v>35</v>
      </c>
      <c r="D106" s="5" t="s">
        <v>482</v>
      </c>
      <c r="E106" s="5" t="s">
        <v>483</v>
      </c>
      <c r="F106" s="5" t="s">
        <v>479</v>
      </c>
      <c r="G106" s="5" t="s">
        <v>484</v>
      </c>
      <c r="H106" s="5" t="s">
        <v>12</v>
      </c>
      <c r="I106" s="5" t="s">
        <v>40</v>
      </c>
      <c r="J106" s="5" t="s">
        <v>41</v>
      </c>
      <c r="K106" s="5"/>
    </row>
    <row r="107" spans="1:11">
      <c r="A107" s="5" t="s">
        <v>439</v>
      </c>
      <c r="B107" s="5" t="s">
        <v>485</v>
      </c>
      <c r="C107" s="5" t="s">
        <v>35</v>
      </c>
      <c r="D107" s="5" t="s">
        <v>486</v>
      </c>
      <c r="E107" s="5" t="s">
        <v>487</v>
      </c>
      <c r="F107" s="5" t="s">
        <v>479</v>
      </c>
      <c r="G107" s="5" t="s">
        <v>488</v>
      </c>
      <c r="H107" s="5" t="s">
        <v>12</v>
      </c>
      <c r="I107" s="5" t="s">
        <v>40</v>
      </c>
      <c r="J107" s="5" t="s">
        <v>41</v>
      </c>
      <c r="K107" s="5"/>
    </row>
    <row r="108" spans="1:11">
      <c r="A108" s="5" t="s">
        <v>439</v>
      </c>
      <c r="B108" s="5" t="s">
        <v>489</v>
      </c>
      <c r="C108" s="5" t="s">
        <v>35</v>
      </c>
      <c r="D108" s="5" t="s">
        <v>490</v>
      </c>
      <c r="E108" s="5" t="s">
        <v>491</v>
      </c>
      <c r="F108" s="5" t="s">
        <v>492</v>
      </c>
      <c r="G108" s="5" t="s">
        <v>493</v>
      </c>
      <c r="H108" s="5" t="s">
        <v>12</v>
      </c>
      <c r="I108" s="5" t="s">
        <v>40</v>
      </c>
      <c r="J108" s="5" t="s">
        <v>41</v>
      </c>
      <c r="K108" s="5"/>
    </row>
    <row r="109" spans="1:11">
      <c r="A109" s="5" t="s">
        <v>439</v>
      </c>
      <c r="B109" s="5" t="s">
        <v>494</v>
      </c>
      <c r="C109" s="5" t="s">
        <v>35</v>
      </c>
      <c r="D109" s="5" t="s">
        <v>495</v>
      </c>
      <c r="E109" s="5" t="s">
        <v>496</v>
      </c>
      <c r="F109" s="5" t="s">
        <v>492</v>
      </c>
      <c r="G109" s="5" t="s">
        <v>497</v>
      </c>
      <c r="H109" s="5" t="s">
        <v>12</v>
      </c>
      <c r="I109" s="5" t="s">
        <v>40</v>
      </c>
      <c r="J109" s="5" t="s">
        <v>41</v>
      </c>
      <c r="K109" s="5"/>
    </row>
    <row r="110" spans="1:11">
      <c r="A110" s="5" t="s">
        <v>439</v>
      </c>
      <c r="B110" s="5" t="s">
        <v>498</v>
      </c>
      <c r="C110" s="5" t="s">
        <v>35</v>
      </c>
      <c r="D110" s="5" t="s">
        <v>499</v>
      </c>
      <c r="E110" s="5" t="s">
        <v>500</v>
      </c>
      <c r="F110" s="5" t="s">
        <v>501</v>
      </c>
      <c r="G110" s="5" t="s">
        <v>502</v>
      </c>
      <c r="H110" s="5" t="s">
        <v>12</v>
      </c>
      <c r="I110" s="5" t="s">
        <v>40</v>
      </c>
      <c r="J110" s="5" t="s">
        <v>41</v>
      </c>
      <c r="K110" s="5"/>
    </row>
    <row r="111" spans="1:11">
      <c r="A111" s="5" t="s">
        <v>439</v>
      </c>
      <c r="B111" s="5" t="s">
        <v>503</v>
      </c>
      <c r="C111" s="5" t="s">
        <v>35</v>
      </c>
      <c r="D111" s="5" t="s">
        <v>504</v>
      </c>
      <c r="E111" s="5" t="s">
        <v>505</v>
      </c>
      <c r="F111" s="5" t="s">
        <v>479</v>
      </c>
      <c r="G111" s="5" t="s">
        <v>506</v>
      </c>
      <c r="H111" s="5" t="s">
        <v>12</v>
      </c>
      <c r="I111" s="5" t="s">
        <v>40</v>
      </c>
      <c r="J111" s="5" t="s">
        <v>41</v>
      </c>
      <c r="K111" s="5"/>
    </row>
    <row r="112" spans="1:11">
      <c r="A112" s="5" t="s">
        <v>439</v>
      </c>
      <c r="B112" s="5" t="s">
        <v>507</v>
      </c>
      <c r="C112" s="5" t="s">
        <v>35</v>
      </c>
      <c r="D112" s="5" t="s">
        <v>508</v>
      </c>
      <c r="E112" s="5" t="s">
        <v>509</v>
      </c>
      <c r="F112" s="5" t="s">
        <v>479</v>
      </c>
      <c r="G112" s="5" t="s">
        <v>510</v>
      </c>
      <c r="H112" s="5" t="s">
        <v>12</v>
      </c>
      <c r="I112" s="5" t="s">
        <v>40</v>
      </c>
      <c r="J112" s="5" t="s">
        <v>41</v>
      </c>
      <c r="K112" s="5"/>
    </row>
    <row r="113" spans="1:11">
      <c r="A113" s="5" t="s">
        <v>439</v>
      </c>
      <c r="B113" s="5" t="s">
        <v>511</v>
      </c>
      <c r="C113" s="5" t="s">
        <v>35</v>
      </c>
      <c r="D113" s="5" t="s">
        <v>512</v>
      </c>
      <c r="E113" s="5" t="s">
        <v>513</v>
      </c>
      <c r="F113" s="5" t="s">
        <v>479</v>
      </c>
      <c r="G113" s="5" t="s">
        <v>514</v>
      </c>
      <c r="H113" s="5" t="s">
        <v>12</v>
      </c>
      <c r="I113" s="5" t="s">
        <v>40</v>
      </c>
      <c r="J113" s="5" t="s">
        <v>41</v>
      </c>
      <c r="K113" s="5"/>
    </row>
    <row r="114" spans="1:11">
      <c r="A114" s="5" t="s">
        <v>439</v>
      </c>
      <c r="B114" s="5" t="s">
        <v>515</v>
      </c>
      <c r="C114" s="5" t="s">
        <v>35</v>
      </c>
      <c r="D114" s="5" t="s">
        <v>516</v>
      </c>
      <c r="E114" s="5" t="s">
        <v>517</v>
      </c>
      <c r="F114" s="5" t="s">
        <v>501</v>
      </c>
      <c r="G114" s="5" t="s">
        <v>518</v>
      </c>
      <c r="H114" s="5" t="s">
        <v>12</v>
      </c>
      <c r="I114" s="5" t="s">
        <v>40</v>
      </c>
      <c r="J114" s="5" t="s">
        <v>41</v>
      </c>
      <c r="K114" s="5"/>
    </row>
    <row r="115" spans="1:11">
      <c r="A115" s="5" t="s">
        <v>439</v>
      </c>
      <c r="B115" s="5" t="s">
        <v>519</v>
      </c>
      <c r="C115" s="5" t="s">
        <v>35</v>
      </c>
      <c r="D115" s="5" t="s">
        <v>520</v>
      </c>
      <c r="E115" s="5" t="s">
        <v>521</v>
      </c>
      <c r="F115" s="5" t="s">
        <v>501</v>
      </c>
      <c r="G115" s="5" t="s">
        <v>522</v>
      </c>
      <c r="H115" s="5" t="s">
        <v>12</v>
      </c>
      <c r="I115" s="5" t="s">
        <v>40</v>
      </c>
      <c r="J115" s="5" t="s">
        <v>41</v>
      </c>
      <c r="K115" s="5"/>
    </row>
    <row r="116" spans="1:11">
      <c r="A116" s="5" t="s">
        <v>439</v>
      </c>
      <c r="B116" s="5" t="s">
        <v>523</v>
      </c>
      <c r="C116" s="5" t="s">
        <v>35</v>
      </c>
      <c r="D116" s="5" t="s">
        <v>524</v>
      </c>
      <c r="E116" s="5" t="s">
        <v>525</v>
      </c>
      <c r="F116" s="5" t="s">
        <v>479</v>
      </c>
      <c r="G116" s="5" t="s">
        <v>526</v>
      </c>
      <c r="H116" s="5" t="s">
        <v>12</v>
      </c>
      <c r="I116" s="5" t="s">
        <v>40</v>
      </c>
      <c r="J116" s="5" t="s">
        <v>41</v>
      </c>
      <c r="K116" s="5"/>
    </row>
    <row r="117" spans="1:11">
      <c r="A117" s="5" t="s">
        <v>439</v>
      </c>
      <c r="B117" s="5" t="s">
        <v>527</v>
      </c>
      <c r="C117" s="5" t="s">
        <v>35</v>
      </c>
      <c r="D117" s="5" t="s">
        <v>528</v>
      </c>
      <c r="E117" s="5" t="s">
        <v>529</v>
      </c>
      <c r="F117" s="5" t="s">
        <v>479</v>
      </c>
      <c r="G117" s="5" t="s">
        <v>530</v>
      </c>
      <c r="H117" s="5" t="s">
        <v>12</v>
      </c>
      <c r="I117" s="5" t="s">
        <v>40</v>
      </c>
      <c r="J117" s="5" t="s">
        <v>41</v>
      </c>
      <c r="K117" s="5"/>
    </row>
    <row r="118" spans="1:11">
      <c r="A118" s="5" t="s">
        <v>439</v>
      </c>
      <c r="B118" s="5" t="s">
        <v>531</v>
      </c>
      <c r="C118" s="5" t="s">
        <v>35</v>
      </c>
      <c r="D118" s="5" t="s">
        <v>532</v>
      </c>
      <c r="E118" s="5" t="s">
        <v>533</v>
      </c>
      <c r="F118" s="5" t="s">
        <v>492</v>
      </c>
      <c r="G118" s="5" t="s">
        <v>534</v>
      </c>
      <c r="H118" s="5" t="s">
        <v>12</v>
      </c>
      <c r="I118" s="5" t="s">
        <v>40</v>
      </c>
      <c r="J118" s="5" t="s">
        <v>41</v>
      </c>
      <c r="K118" s="5"/>
    </row>
    <row r="119" spans="1:11">
      <c r="A119" s="5" t="s">
        <v>439</v>
      </c>
      <c r="B119" s="5" t="s">
        <v>535</v>
      </c>
      <c r="C119" s="5" t="s">
        <v>35</v>
      </c>
      <c r="D119" s="5" t="s">
        <v>536</v>
      </c>
      <c r="E119" s="5" t="s">
        <v>537</v>
      </c>
      <c r="F119" s="5" t="s">
        <v>492</v>
      </c>
      <c r="G119" s="5" t="s">
        <v>538</v>
      </c>
      <c r="H119" s="5" t="s">
        <v>12</v>
      </c>
      <c r="I119" s="5" t="s">
        <v>40</v>
      </c>
      <c r="J119" s="5" t="s">
        <v>41</v>
      </c>
      <c r="K119" s="5"/>
    </row>
    <row r="120" spans="1:11">
      <c r="A120" s="5" t="s">
        <v>439</v>
      </c>
      <c r="B120" s="5" t="s">
        <v>539</v>
      </c>
      <c r="C120" s="5" t="s">
        <v>35</v>
      </c>
      <c r="D120" s="5" t="s">
        <v>540</v>
      </c>
      <c r="E120" s="5" t="s">
        <v>541</v>
      </c>
      <c r="F120" s="5" t="s">
        <v>492</v>
      </c>
      <c r="G120" s="5" t="s">
        <v>542</v>
      </c>
      <c r="H120" s="5" t="s">
        <v>12</v>
      </c>
      <c r="I120" s="5" t="s">
        <v>40</v>
      </c>
      <c r="J120" s="5" t="s">
        <v>41</v>
      </c>
      <c r="K120" s="5"/>
    </row>
    <row r="121" spans="1:11">
      <c r="A121" s="5" t="s">
        <v>439</v>
      </c>
      <c r="B121" s="5" t="s">
        <v>543</v>
      </c>
      <c r="C121" s="5" t="s">
        <v>35</v>
      </c>
      <c r="D121" s="5" t="s">
        <v>544</v>
      </c>
      <c r="E121" s="5" t="s">
        <v>545</v>
      </c>
      <c r="F121" s="5" t="s">
        <v>492</v>
      </c>
      <c r="G121" s="5" t="s">
        <v>546</v>
      </c>
      <c r="H121" s="5" t="s">
        <v>12</v>
      </c>
      <c r="I121" s="5" t="s">
        <v>40</v>
      </c>
      <c r="J121" s="5" t="s">
        <v>41</v>
      </c>
      <c r="K121" s="5"/>
    </row>
    <row r="122" spans="1:11">
      <c r="A122" s="5" t="s">
        <v>439</v>
      </c>
      <c r="B122" s="5" t="s">
        <v>547</v>
      </c>
      <c r="C122" s="5" t="s">
        <v>35</v>
      </c>
      <c r="D122" s="5" t="s">
        <v>548</v>
      </c>
      <c r="E122" s="5" t="s">
        <v>549</v>
      </c>
      <c r="F122" s="5" t="s">
        <v>492</v>
      </c>
      <c r="G122" s="5" t="s">
        <v>550</v>
      </c>
      <c r="H122" s="5" t="s">
        <v>12</v>
      </c>
      <c r="I122" s="5" t="s">
        <v>40</v>
      </c>
      <c r="J122" s="5" t="s">
        <v>41</v>
      </c>
      <c r="K122" s="5"/>
    </row>
    <row r="123" spans="1:11">
      <c r="A123" s="5" t="s">
        <v>439</v>
      </c>
      <c r="B123" s="5" t="s">
        <v>551</v>
      </c>
      <c r="C123" s="5" t="s">
        <v>35</v>
      </c>
      <c r="D123" s="5" t="s">
        <v>552</v>
      </c>
      <c r="E123" s="5" t="s">
        <v>553</v>
      </c>
      <c r="F123" s="5" t="s">
        <v>554</v>
      </c>
      <c r="G123" s="5" t="s">
        <v>555</v>
      </c>
      <c r="H123" s="5" t="s">
        <v>12</v>
      </c>
      <c r="I123" s="5" t="s">
        <v>40</v>
      </c>
      <c r="J123" s="5" t="s">
        <v>41</v>
      </c>
      <c r="K123" s="5"/>
    </row>
    <row r="124" spans="1:11">
      <c r="A124" s="5" t="s">
        <v>439</v>
      </c>
      <c r="B124" s="5" t="s">
        <v>556</v>
      </c>
      <c r="C124" s="5" t="s">
        <v>35</v>
      </c>
      <c r="D124" s="5" t="s">
        <v>557</v>
      </c>
      <c r="E124" s="5" t="s">
        <v>558</v>
      </c>
      <c r="F124" s="5" t="s">
        <v>559</v>
      </c>
      <c r="G124" s="5" t="s">
        <v>560</v>
      </c>
      <c r="H124" s="5" t="s">
        <v>12</v>
      </c>
      <c r="I124" s="5" t="s">
        <v>40</v>
      </c>
      <c r="J124" s="5" t="s">
        <v>41</v>
      </c>
      <c r="K124" s="5"/>
    </row>
    <row r="125" spans="1:11">
      <c r="A125" s="5" t="s">
        <v>439</v>
      </c>
      <c r="B125" s="5" t="s">
        <v>561</v>
      </c>
      <c r="C125" s="5" t="s">
        <v>35</v>
      </c>
      <c r="D125" s="5" t="s">
        <v>562</v>
      </c>
      <c r="E125" s="5" t="s">
        <v>563</v>
      </c>
      <c r="F125" s="5" t="s">
        <v>458</v>
      </c>
      <c r="G125" s="5" t="s">
        <v>564</v>
      </c>
      <c r="H125" s="5" t="s">
        <v>12</v>
      </c>
      <c r="I125" s="5" t="s">
        <v>40</v>
      </c>
      <c r="J125" s="5" t="s">
        <v>41</v>
      </c>
      <c r="K125" s="5"/>
    </row>
    <row r="126" spans="1:11">
      <c r="A126" s="5" t="s">
        <v>439</v>
      </c>
      <c r="B126" s="5" t="s">
        <v>565</v>
      </c>
      <c r="C126" s="5" t="s">
        <v>35</v>
      </c>
      <c r="D126" s="5" t="s">
        <v>566</v>
      </c>
      <c r="E126" s="5" t="s">
        <v>567</v>
      </c>
      <c r="F126" s="5" t="s">
        <v>458</v>
      </c>
      <c r="G126" s="5" t="s">
        <v>568</v>
      </c>
      <c r="H126" s="5" t="s">
        <v>12</v>
      </c>
      <c r="I126" s="5" t="s">
        <v>40</v>
      </c>
      <c r="J126" s="5" t="s">
        <v>41</v>
      </c>
      <c r="K126" s="5"/>
    </row>
    <row r="127" spans="1:11">
      <c r="A127" s="5" t="s">
        <v>439</v>
      </c>
      <c r="B127" s="5" t="s">
        <v>569</v>
      </c>
      <c r="C127" s="5" t="s">
        <v>35</v>
      </c>
      <c r="D127" s="5" t="s">
        <v>570</v>
      </c>
      <c r="E127" s="5" t="s">
        <v>571</v>
      </c>
      <c r="F127" s="5" t="s">
        <v>458</v>
      </c>
      <c r="G127" s="5" t="s">
        <v>572</v>
      </c>
      <c r="H127" s="5" t="s">
        <v>12</v>
      </c>
      <c r="I127" s="5" t="s">
        <v>40</v>
      </c>
      <c r="J127" s="5" t="s">
        <v>41</v>
      </c>
      <c r="K127" s="5"/>
    </row>
    <row r="128" spans="1:11">
      <c r="A128" s="5" t="s">
        <v>439</v>
      </c>
      <c r="B128" s="5" t="s">
        <v>573</v>
      </c>
      <c r="C128" s="5" t="s">
        <v>35</v>
      </c>
      <c r="D128" s="5" t="s">
        <v>574</v>
      </c>
      <c r="E128" s="5" t="s">
        <v>575</v>
      </c>
      <c r="F128" s="5" t="s">
        <v>458</v>
      </c>
      <c r="G128" s="5" t="s">
        <v>576</v>
      </c>
      <c r="H128" s="5" t="s">
        <v>12</v>
      </c>
      <c r="I128" s="5" t="s">
        <v>40</v>
      </c>
      <c r="J128" s="5" t="s">
        <v>41</v>
      </c>
      <c r="K128" s="5"/>
    </row>
    <row r="129" spans="1:11">
      <c r="A129" s="5" t="s">
        <v>439</v>
      </c>
      <c r="B129" s="5" t="s">
        <v>577</v>
      </c>
      <c r="C129" s="5" t="s">
        <v>35</v>
      </c>
      <c r="D129" s="5" t="s">
        <v>578</v>
      </c>
      <c r="E129" s="5" t="s">
        <v>579</v>
      </c>
      <c r="F129" s="5" t="s">
        <v>458</v>
      </c>
      <c r="G129" s="5" t="s">
        <v>580</v>
      </c>
      <c r="H129" s="5" t="s">
        <v>12</v>
      </c>
      <c r="I129" s="5" t="s">
        <v>40</v>
      </c>
      <c r="J129" s="5" t="s">
        <v>41</v>
      </c>
      <c r="K129" s="5"/>
    </row>
    <row r="130" spans="1:11">
      <c r="A130" s="5" t="s">
        <v>439</v>
      </c>
      <c r="B130" s="5" t="s">
        <v>581</v>
      </c>
      <c r="C130" s="5" t="s">
        <v>35</v>
      </c>
      <c r="D130" s="5" t="s">
        <v>582</v>
      </c>
      <c r="E130" s="5" t="s">
        <v>583</v>
      </c>
      <c r="F130" s="5" t="s">
        <v>443</v>
      </c>
      <c r="G130" s="5" t="s">
        <v>584</v>
      </c>
      <c r="H130" s="5" t="s">
        <v>12</v>
      </c>
      <c r="I130" s="5" t="s">
        <v>40</v>
      </c>
      <c r="J130" s="5" t="s">
        <v>41</v>
      </c>
      <c r="K130" s="5"/>
    </row>
    <row r="131" spans="1:11">
      <c r="A131" s="5" t="s">
        <v>439</v>
      </c>
      <c r="B131" s="5" t="s">
        <v>585</v>
      </c>
      <c r="C131" s="5" t="s">
        <v>35</v>
      </c>
      <c r="D131" s="5" t="s">
        <v>586</v>
      </c>
      <c r="E131" s="5" t="s">
        <v>587</v>
      </c>
      <c r="F131" s="5" t="s">
        <v>443</v>
      </c>
      <c r="G131" s="5" t="s">
        <v>588</v>
      </c>
      <c r="H131" s="5" t="s">
        <v>12</v>
      </c>
      <c r="I131" s="5" t="s">
        <v>40</v>
      </c>
      <c r="J131" s="5" t="s">
        <v>41</v>
      </c>
      <c r="K131" s="5"/>
    </row>
    <row r="132" spans="1:11">
      <c r="A132" s="5" t="s">
        <v>439</v>
      </c>
      <c r="B132" s="5" t="s">
        <v>589</v>
      </c>
      <c r="C132" s="5" t="s">
        <v>35</v>
      </c>
      <c r="D132" s="5" t="s">
        <v>590</v>
      </c>
      <c r="E132" s="5" t="s">
        <v>591</v>
      </c>
      <c r="F132" s="5" t="s">
        <v>443</v>
      </c>
      <c r="G132" s="5" t="s">
        <v>592</v>
      </c>
      <c r="H132" s="5" t="s">
        <v>12</v>
      </c>
      <c r="I132" s="5" t="s">
        <v>40</v>
      </c>
      <c r="J132" s="5" t="s">
        <v>41</v>
      </c>
      <c r="K132" s="5"/>
    </row>
    <row r="133" spans="1:11">
      <c r="A133" s="5" t="s">
        <v>439</v>
      </c>
      <c r="B133" s="5" t="s">
        <v>593</v>
      </c>
      <c r="C133" s="5" t="s">
        <v>35</v>
      </c>
      <c r="D133" s="5" t="s">
        <v>594</v>
      </c>
      <c r="E133" s="5" t="s">
        <v>595</v>
      </c>
      <c r="F133" s="5" t="s">
        <v>443</v>
      </c>
      <c r="G133" s="5" t="s">
        <v>596</v>
      </c>
      <c r="H133" s="5" t="s">
        <v>12</v>
      </c>
      <c r="I133" s="5" t="s">
        <v>40</v>
      </c>
      <c r="J133" s="5" t="s">
        <v>41</v>
      </c>
      <c r="K133" s="5"/>
    </row>
    <row r="134" spans="1:11">
      <c r="A134" s="5" t="s">
        <v>439</v>
      </c>
      <c r="B134" s="5" t="s">
        <v>597</v>
      </c>
      <c r="C134" s="5" t="s">
        <v>35</v>
      </c>
      <c r="D134" s="5" t="s">
        <v>598</v>
      </c>
      <c r="E134" s="5" t="s">
        <v>599</v>
      </c>
      <c r="F134" s="5" t="s">
        <v>443</v>
      </c>
      <c r="G134" s="5" t="s">
        <v>600</v>
      </c>
      <c r="H134" s="5" t="s">
        <v>12</v>
      </c>
      <c r="I134" s="5" t="s">
        <v>40</v>
      </c>
      <c r="J134" s="5" t="s">
        <v>41</v>
      </c>
      <c r="K134" s="5"/>
    </row>
    <row r="135" spans="1:11">
      <c r="A135" s="5" t="s">
        <v>439</v>
      </c>
      <c r="B135" s="5" t="s">
        <v>601</v>
      </c>
      <c r="C135" s="5" t="s">
        <v>35</v>
      </c>
      <c r="D135" s="5" t="s">
        <v>602</v>
      </c>
      <c r="E135" s="5" t="s">
        <v>603</v>
      </c>
      <c r="F135" s="5" t="s">
        <v>604</v>
      </c>
      <c r="G135" s="5" t="s">
        <v>605</v>
      </c>
      <c r="H135" s="5" t="s">
        <v>12</v>
      </c>
      <c r="I135" s="5" t="s">
        <v>40</v>
      </c>
      <c r="J135" s="5" t="s">
        <v>41</v>
      </c>
      <c r="K135" s="5"/>
    </row>
    <row r="136" spans="1:11">
      <c r="A136" s="5" t="s">
        <v>439</v>
      </c>
      <c r="B136" s="5" t="s">
        <v>606</v>
      </c>
      <c r="C136" s="5" t="s">
        <v>35</v>
      </c>
      <c r="D136" s="5" t="s">
        <v>607</v>
      </c>
      <c r="E136" s="5" t="s">
        <v>608</v>
      </c>
      <c r="F136" s="5" t="s">
        <v>609</v>
      </c>
      <c r="G136" s="5" t="s">
        <v>610</v>
      </c>
      <c r="H136" s="5" t="s">
        <v>12</v>
      </c>
      <c r="I136" s="5" t="s">
        <v>40</v>
      </c>
      <c r="J136" s="5" t="s">
        <v>41</v>
      </c>
      <c r="K136" s="5"/>
    </row>
    <row r="137" spans="1:11">
      <c r="A137" s="5" t="s">
        <v>439</v>
      </c>
      <c r="B137" s="5" t="s">
        <v>611</v>
      </c>
      <c r="C137" s="5" t="s">
        <v>35</v>
      </c>
      <c r="D137" s="5" t="s">
        <v>612</v>
      </c>
      <c r="E137" s="5" t="s">
        <v>613</v>
      </c>
      <c r="F137" s="5" t="s">
        <v>609</v>
      </c>
      <c r="G137" s="5" t="s">
        <v>614</v>
      </c>
      <c r="H137" s="5" t="s">
        <v>12</v>
      </c>
      <c r="I137" s="5" t="s">
        <v>40</v>
      </c>
      <c r="J137" s="5" t="s">
        <v>41</v>
      </c>
      <c r="K137" s="5"/>
    </row>
    <row r="138" spans="1:11">
      <c r="A138" s="5" t="s">
        <v>439</v>
      </c>
      <c r="B138" s="5" t="s">
        <v>615</v>
      </c>
      <c r="C138" s="5" t="s">
        <v>35</v>
      </c>
      <c r="D138" s="5" t="s">
        <v>616</v>
      </c>
      <c r="E138" s="5" t="s">
        <v>617</v>
      </c>
      <c r="F138" s="5" t="s">
        <v>618</v>
      </c>
      <c r="G138" s="5" t="s">
        <v>619</v>
      </c>
      <c r="H138" s="5" t="s">
        <v>12</v>
      </c>
      <c r="I138" s="5" t="s">
        <v>40</v>
      </c>
      <c r="J138" s="5" t="s">
        <v>41</v>
      </c>
      <c r="K138" s="5"/>
    </row>
    <row r="139" spans="1:11">
      <c r="A139" s="5" t="s">
        <v>439</v>
      </c>
      <c r="B139" s="5" t="s">
        <v>620</v>
      </c>
      <c r="C139" s="5" t="s">
        <v>35</v>
      </c>
      <c r="D139" s="5" t="s">
        <v>621</v>
      </c>
      <c r="E139" s="5" t="s">
        <v>622</v>
      </c>
      <c r="F139" s="5" t="s">
        <v>618</v>
      </c>
      <c r="G139" s="5" t="s">
        <v>623</v>
      </c>
      <c r="H139" s="5" t="s">
        <v>12</v>
      </c>
      <c r="I139" s="5" t="s">
        <v>40</v>
      </c>
      <c r="J139" s="5" t="s">
        <v>41</v>
      </c>
      <c r="K139" s="5"/>
    </row>
    <row r="140" spans="1:11">
      <c r="A140" s="5" t="s">
        <v>439</v>
      </c>
      <c r="B140" s="5" t="s">
        <v>624</v>
      </c>
      <c r="C140" s="5" t="s">
        <v>35</v>
      </c>
      <c r="D140" s="5" t="s">
        <v>625</v>
      </c>
      <c r="E140" s="5" t="s">
        <v>626</v>
      </c>
      <c r="F140" s="5" t="s">
        <v>618</v>
      </c>
      <c r="G140" s="5" t="s">
        <v>627</v>
      </c>
      <c r="H140" s="5" t="s">
        <v>12</v>
      </c>
      <c r="I140" s="5" t="s">
        <v>40</v>
      </c>
      <c r="J140" s="5" t="s">
        <v>41</v>
      </c>
      <c r="K140" s="5"/>
    </row>
    <row r="141" spans="1:11">
      <c r="A141" s="5" t="s">
        <v>439</v>
      </c>
      <c r="B141" s="5" t="s">
        <v>628</v>
      </c>
      <c r="C141" s="5" t="s">
        <v>35</v>
      </c>
      <c r="D141" s="5" t="s">
        <v>629</v>
      </c>
      <c r="E141" s="5" t="s">
        <v>630</v>
      </c>
      <c r="F141" s="5" t="s">
        <v>631</v>
      </c>
      <c r="G141" s="5" t="s">
        <v>632</v>
      </c>
      <c r="H141" s="5" t="s">
        <v>12</v>
      </c>
      <c r="I141" s="5" t="s">
        <v>40</v>
      </c>
      <c r="J141" s="5" t="s">
        <v>41</v>
      </c>
      <c r="K141" s="5"/>
    </row>
    <row r="142" spans="1:11">
      <c r="A142" s="5" t="s">
        <v>439</v>
      </c>
      <c r="B142" s="5" t="s">
        <v>633</v>
      </c>
      <c r="C142" s="5" t="s">
        <v>35</v>
      </c>
      <c r="D142" s="5" t="s">
        <v>634</v>
      </c>
      <c r="E142" s="5" t="s">
        <v>635</v>
      </c>
      <c r="F142" s="5" t="s">
        <v>396</v>
      </c>
      <c r="G142" s="5" t="s">
        <v>636</v>
      </c>
      <c r="H142" s="5" t="s">
        <v>12</v>
      </c>
      <c r="I142" s="5" t="s">
        <v>40</v>
      </c>
      <c r="J142" s="5" t="s">
        <v>41</v>
      </c>
      <c r="K142" s="5"/>
    </row>
    <row r="143" spans="1:11">
      <c r="A143" s="5" t="s">
        <v>439</v>
      </c>
      <c r="B143" s="5" t="s">
        <v>637</v>
      </c>
      <c r="C143" s="5" t="s">
        <v>35</v>
      </c>
      <c r="D143" s="5" t="s">
        <v>638</v>
      </c>
      <c r="E143" s="5" t="s">
        <v>639</v>
      </c>
      <c r="F143" s="5" t="s">
        <v>396</v>
      </c>
      <c r="G143" s="5" t="s">
        <v>640</v>
      </c>
      <c r="H143" s="5" t="s">
        <v>12</v>
      </c>
      <c r="I143" s="5" t="s">
        <v>40</v>
      </c>
      <c r="J143" s="5" t="s">
        <v>41</v>
      </c>
      <c r="K143" s="5"/>
    </row>
    <row r="144" spans="1:11">
      <c r="A144" s="5" t="s">
        <v>439</v>
      </c>
      <c r="B144" s="5" t="s">
        <v>641</v>
      </c>
      <c r="C144" s="5" t="s">
        <v>35</v>
      </c>
      <c r="D144" s="5" t="s">
        <v>642</v>
      </c>
      <c r="E144" s="5" t="s">
        <v>643</v>
      </c>
      <c r="F144" s="5" t="s">
        <v>644</v>
      </c>
      <c r="G144" s="5" t="s">
        <v>645</v>
      </c>
      <c r="H144" s="5" t="s">
        <v>12</v>
      </c>
      <c r="I144" s="5" t="s">
        <v>40</v>
      </c>
      <c r="J144" s="5" t="s">
        <v>41</v>
      </c>
      <c r="K144" s="5"/>
    </row>
    <row r="145" spans="1:11">
      <c r="A145" s="5" t="s">
        <v>439</v>
      </c>
      <c r="B145" s="5" t="s">
        <v>646</v>
      </c>
      <c r="C145" s="5" t="s">
        <v>35</v>
      </c>
      <c r="D145" s="5" t="s">
        <v>647</v>
      </c>
      <c r="E145" s="5" t="s">
        <v>648</v>
      </c>
      <c r="F145" s="5" t="s">
        <v>649</v>
      </c>
      <c r="G145" s="5" t="s">
        <v>650</v>
      </c>
      <c r="H145" s="5" t="s">
        <v>12</v>
      </c>
      <c r="I145" s="5" t="s">
        <v>40</v>
      </c>
      <c r="J145" s="5" t="s">
        <v>41</v>
      </c>
      <c r="K145" s="5"/>
    </row>
    <row r="146" spans="1:11">
      <c r="A146" s="5" t="s">
        <v>439</v>
      </c>
      <c r="B146" s="5" t="s">
        <v>651</v>
      </c>
      <c r="C146" s="5" t="s">
        <v>35</v>
      </c>
      <c r="D146" s="5" t="s">
        <v>652</v>
      </c>
      <c r="E146" s="5" t="s">
        <v>653</v>
      </c>
      <c r="F146" s="5" t="s">
        <v>654</v>
      </c>
      <c r="G146" s="5" t="s">
        <v>655</v>
      </c>
      <c r="H146" s="5" t="s">
        <v>12</v>
      </c>
      <c r="I146" s="5" t="s">
        <v>40</v>
      </c>
      <c r="J146" s="5" t="s">
        <v>41</v>
      </c>
      <c r="K146" s="5"/>
    </row>
    <row r="147" spans="1:11">
      <c r="A147" s="5" t="s">
        <v>656</v>
      </c>
      <c r="B147" s="5" t="s">
        <v>657</v>
      </c>
      <c r="C147" s="5" t="s">
        <v>35</v>
      </c>
      <c r="D147" s="5" t="s">
        <v>658</v>
      </c>
      <c r="E147" s="5" t="s">
        <v>659</v>
      </c>
      <c r="F147" s="5" t="s">
        <v>660</v>
      </c>
      <c r="G147" s="5" t="s">
        <v>661</v>
      </c>
      <c r="H147" s="5" t="s">
        <v>12</v>
      </c>
      <c r="I147" s="5" t="s">
        <v>40</v>
      </c>
      <c r="J147" s="5" t="s">
        <v>41</v>
      </c>
      <c r="K147" s="5"/>
    </row>
    <row r="148" spans="1:11">
      <c r="A148" s="5" t="s">
        <v>656</v>
      </c>
      <c r="B148" s="5" t="s">
        <v>662</v>
      </c>
      <c r="C148" s="5" t="s">
        <v>35</v>
      </c>
      <c r="D148" s="5" t="s">
        <v>663</v>
      </c>
      <c r="E148" s="5" t="s">
        <v>664</v>
      </c>
      <c r="F148" s="5" t="s">
        <v>665</v>
      </c>
      <c r="G148" s="5" t="s">
        <v>666</v>
      </c>
      <c r="H148" s="5" t="s">
        <v>12</v>
      </c>
      <c r="I148" s="5" t="s">
        <v>40</v>
      </c>
      <c r="J148" s="5" t="s">
        <v>41</v>
      </c>
      <c r="K148" s="5"/>
    </row>
    <row r="149" spans="1:11">
      <c r="A149" s="5" t="s">
        <v>656</v>
      </c>
      <c r="B149" s="5" t="s">
        <v>667</v>
      </c>
      <c r="C149" s="5" t="s">
        <v>35</v>
      </c>
      <c r="D149" s="5" t="s">
        <v>668</v>
      </c>
      <c r="E149" s="5" t="s">
        <v>669</v>
      </c>
      <c r="F149" s="5" t="s">
        <v>670</v>
      </c>
      <c r="G149" s="5" t="s">
        <v>671</v>
      </c>
      <c r="H149" s="5" t="s">
        <v>12</v>
      </c>
      <c r="I149" s="5" t="s">
        <v>40</v>
      </c>
      <c r="J149" s="5" t="s">
        <v>41</v>
      </c>
      <c r="K149" s="5"/>
    </row>
    <row r="150" spans="1:11">
      <c r="A150" s="5" t="s">
        <v>656</v>
      </c>
      <c r="B150" s="5" t="s">
        <v>672</v>
      </c>
      <c r="C150" s="5" t="s">
        <v>35</v>
      </c>
      <c r="D150" s="5" t="s">
        <v>673</v>
      </c>
      <c r="E150" s="5" t="s">
        <v>674</v>
      </c>
      <c r="F150" s="5" t="s">
        <v>675</v>
      </c>
      <c r="G150" s="5" t="s">
        <v>676</v>
      </c>
      <c r="H150" s="5" t="s">
        <v>12</v>
      </c>
      <c r="I150" s="5" t="s">
        <v>40</v>
      </c>
      <c r="J150" s="5" t="s">
        <v>41</v>
      </c>
      <c r="K150" s="5"/>
    </row>
    <row r="151" spans="1:11">
      <c r="A151" s="5" t="s">
        <v>656</v>
      </c>
      <c r="B151" s="5" t="s">
        <v>677</v>
      </c>
      <c r="C151" s="5" t="s">
        <v>35</v>
      </c>
      <c r="D151" s="5" t="s">
        <v>678</v>
      </c>
      <c r="E151" s="5" t="s">
        <v>679</v>
      </c>
      <c r="F151" s="5" t="s">
        <v>680</v>
      </c>
      <c r="G151" s="5" t="s">
        <v>681</v>
      </c>
      <c r="H151" s="5" t="s">
        <v>12</v>
      </c>
      <c r="I151" s="5" t="s">
        <v>40</v>
      </c>
      <c r="J151" s="5" t="s">
        <v>41</v>
      </c>
      <c r="K151" s="5"/>
    </row>
    <row r="152" spans="1:11">
      <c r="A152" s="5" t="s">
        <v>656</v>
      </c>
      <c r="B152" s="5" t="s">
        <v>682</v>
      </c>
      <c r="C152" s="5" t="s">
        <v>35</v>
      </c>
      <c r="D152" s="5" t="s">
        <v>683</v>
      </c>
      <c r="E152" s="5" t="s">
        <v>684</v>
      </c>
      <c r="F152" s="5" t="s">
        <v>660</v>
      </c>
      <c r="G152" s="5" t="s">
        <v>685</v>
      </c>
      <c r="H152" s="5" t="s">
        <v>12</v>
      </c>
      <c r="I152" s="5" t="s">
        <v>40</v>
      </c>
      <c r="J152" s="5" t="s">
        <v>41</v>
      </c>
      <c r="K152" s="5"/>
    </row>
    <row r="153" spans="1:11">
      <c r="A153" s="5" t="s">
        <v>656</v>
      </c>
      <c r="B153" s="5" t="s">
        <v>686</v>
      </c>
      <c r="C153" s="5" t="s">
        <v>35</v>
      </c>
      <c r="D153" s="5" t="s">
        <v>687</v>
      </c>
      <c r="E153" s="5" t="s">
        <v>688</v>
      </c>
      <c r="F153" s="5" t="s">
        <v>680</v>
      </c>
      <c r="G153" s="5" t="s">
        <v>689</v>
      </c>
      <c r="H153" s="5" t="s">
        <v>12</v>
      </c>
      <c r="I153" s="5" t="s">
        <v>40</v>
      </c>
      <c r="J153" s="5" t="s">
        <v>41</v>
      </c>
      <c r="K153" s="5"/>
    </row>
    <row r="154" spans="1:11">
      <c r="A154" s="5" t="s">
        <v>656</v>
      </c>
      <c r="B154" s="5" t="s">
        <v>690</v>
      </c>
      <c r="C154" s="5" t="s">
        <v>35</v>
      </c>
      <c r="D154" s="5" t="s">
        <v>691</v>
      </c>
      <c r="E154" s="5" t="s">
        <v>692</v>
      </c>
      <c r="F154" s="5" t="s">
        <v>693</v>
      </c>
      <c r="G154" s="5" t="s">
        <v>694</v>
      </c>
      <c r="H154" s="5" t="s">
        <v>12</v>
      </c>
      <c r="I154" s="5" t="s">
        <v>40</v>
      </c>
      <c r="J154" s="5" t="s">
        <v>41</v>
      </c>
      <c r="K154" s="5"/>
    </row>
    <row r="155" spans="1:11">
      <c r="A155" s="5" t="s">
        <v>656</v>
      </c>
      <c r="B155" s="5" t="s">
        <v>695</v>
      </c>
      <c r="C155" s="5" t="s">
        <v>35</v>
      </c>
      <c r="D155" s="5" t="s">
        <v>696</v>
      </c>
      <c r="E155" s="5" t="s">
        <v>697</v>
      </c>
      <c r="F155" s="5" t="s">
        <v>698</v>
      </c>
      <c r="G155" s="5" t="s">
        <v>699</v>
      </c>
      <c r="H155" s="5" t="s">
        <v>12</v>
      </c>
      <c r="I155" s="5" t="s">
        <v>40</v>
      </c>
      <c r="J155" s="5" t="s">
        <v>41</v>
      </c>
      <c r="K155" s="5"/>
    </row>
    <row r="156" spans="1:11">
      <c r="A156" s="5" t="s">
        <v>656</v>
      </c>
      <c r="B156" s="5" t="s">
        <v>700</v>
      </c>
      <c r="C156" s="5" t="s">
        <v>35</v>
      </c>
      <c r="D156" s="5" t="s">
        <v>701</v>
      </c>
      <c r="E156" s="5" t="s">
        <v>702</v>
      </c>
      <c r="F156" s="5" t="s">
        <v>703</v>
      </c>
      <c r="G156" s="5" t="s">
        <v>704</v>
      </c>
      <c r="H156" s="5" t="s">
        <v>12</v>
      </c>
      <c r="I156" s="5" t="s">
        <v>40</v>
      </c>
      <c r="J156" s="5" t="s">
        <v>41</v>
      </c>
      <c r="K156" s="5"/>
    </row>
    <row r="157" spans="1:11">
      <c r="A157" s="5" t="s">
        <v>656</v>
      </c>
      <c r="B157" s="5" t="s">
        <v>705</v>
      </c>
      <c r="C157" s="5" t="s">
        <v>35</v>
      </c>
      <c r="D157" s="5" t="s">
        <v>706</v>
      </c>
      <c r="E157" s="5" t="s">
        <v>707</v>
      </c>
      <c r="F157" s="5" t="s">
        <v>708</v>
      </c>
      <c r="G157" s="5" t="s">
        <v>709</v>
      </c>
      <c r="H157" s="5" t="s">
        <v>12</v>
      </c>
      <c r="I157" s="5" t="s">
        <v>40</v>
      </c>
      <c r="J157" s="5" t="s">
        <v>41</v>
      </c>
      <c r="K157" s="5"/>
    </row>
    <row r="158" spans="1:11">
      <c r="A158" s="5" t="s">
        <v>656</v>
      </c>
      <c r="B158" s="5" t="s">
        <v>710</v>
      </c>
      <c r="C158" s="5" t="s">
        <v>35</v>
      </c>
      <c r="D158" s="5" t="s">
        <v>711</v>
      </c>
      <c r="E158" s="5" t="s">
        <v>712</v>
      </c>
      <c r="F158" s="5" t="s">
        <v>713</v>
      </c>
      <c r="G158" s="5" t="s">
        <v>714</v>
      </c>
      <c r="H158" s="5" t="s">
        <v>12</v>
      </c>
      <c r="I158" s="5" t="s">
        <v>40</v>
      </c>
      <c r="J158" s="5" t="s">
        <v>41</v>
      </c>
      <c r="K158" s="5"/>
    </row>
    <row r="159" spans="1:11">
      <c r="A159" s="5" t="s">
        <v>656</v>
      </c>
      <c r="B159" s="5" t="s">
        <v>715</v>
      </c>
      <c r="C159" s="5" t="s">
        <v>35</v>
      </c>
      <c r="D159" s="5" t="s">
        <v>716</v>
      </c>
      <c r="E159" s="5" t="s">
        <v>717</v>
      </c>
      <c r="F159" s="5" t="s">
        <v>713</v>
      </c>
      <c r="G159" s="5" t="s">
        <v>718</v>
      </c>
      <c r="H159" s="5" t="s">
        <v>12</v>
      </c>
      <c r="I159" s="5" t="s">
        <v>40</v>
      </c>
      <c r="J159" s="5" t="s">
        <v>41</v>
      </c>
      <c r="K159" s="5"/>
    </row>
    <row r="160" spans="1:11">
      <c r="A160" s="5" t="s">
        <v>656</v>
      </c>
      <c r="B160" s="5" t="s">
        <v>719</v>
      </c>
      <c r="C160" s="5" t="s">
        <v>35</v>
      </c>
      <c r="D160" s="5" t="s">
        <v>720</v>
      </c>
      <c r="E160" s="5" t="s">
        <v>721</v>
      </c>
      <c r="F160" s="5" t="s">
        <v>713</v>
      </c>
      <c r="G160" s="5" t="s">
        <v>722</v>
      </c>
      <c r="H160" s="5" t="s">
        <v>12</v>
      </c>
      <c r="I160" s="5" t="s">
        <v>40</v>
      </c>
      <c r="J160" s="5" t="s">
        <v>41</v>
      </c>
      <c r="K160" s="5"/>
    </row>
    <row r="161" spans="1:11">
      <c r="A161" s="5" t="s">
        <v>656</v>
      </c>
      <c r="B161" s="5" t="s">
        <v>723</v>
      </c>
      <c r="C161" s="5" t="s">
        <v>35</v>
      </c>
      <c r="D161" s="5" t="s">
        <v>724</v>
      </c>
      <c r="E161" s="5" t="s">
        <v>725</v>
      </c>
      <c r="F161" s="5" t="s">
        <v>713</v>
      </c>
      <c r="G161" s="5" t="s">
        <v>726</v>
      </c>
      <c r="H161" s="5" t="s">
        <v>12</v>
      </c>
      <c r="I161" s="5" t="s">
        <v>40</v>
      </c>
      <c r="J161" s="5" t="s">
        <v>41</v>
      </c>
      <c r="K161" s="5"/>
    </row>
    <row r="162" spans="1:11">
      <c r="A162" s="5" t="s">
        <v>656</v>
      </c>
      <c r="B162" s="5" t="s">
        <v>727</v>
      </c>
      <c r="C162" s="5" t="s">
        <v>35</v>
      </c>
      <c r="D162" s="5" t="s">
        <v>728</v>
      </c>
      <c r="E162" s="5" t="s">
        <v>729</v>
      </c>
      <c r="F162" s="5" t="s">
        <v>713</v>
      </c>
      <c r="G162" s="5" t="s">
        <v>730</v>
      </c>
      <c r="H162" s="5" t="s">
        <v>12</v>
      </c>
      <c r="I162" s="5" t="s">
        <v>40</v>
      </c>
      <c r="J162" s="5" t="s">
        <v>41</v>
      </c>
      <c r="K162" s="5"/>
    </row>
    <row r="163" spans="1:11">
      <c r="A163" s="5" t="s">
        <v>656</v>
      </c>
      <c r="B163" s="5" t="s">
        <v>731</v>
      </c>
      <c r="C163" s="5" t="s">
        <v>35</v>
      </c>
      <c r="D163" s="5" t="s">
        <v>732</v>
      </c>
      <c r="E163" s="5" t="s">
        <v>733</v>
      </c>
      <c r="F163" s="5" t="s">
        <v>713</v>
      </c>
      <c r="G163" s="5" t="s">
        <v>734</v>
      </c>
      <c r="H163" s="5" t="s">
        <v>12</v>
      </c>
      <c r="I163" s="5" t="s">
        <v>40</v>
      </c>
      <c r="J163" s="5" t="s">
        <v>41</v>
      </c>
      <c r="K163" s="5"/>
    </row>
    <row r="164" spans="1:11">
      <c r="A164" s="5" t="s">
        <v>656</v>
      </c>
      <c r="B164" s="5" t="s">
        <v>735</v>
      </c>
      <c r="C164" s="5" t="s">
        <v>35</v>
      </c>
      <c r="D164" s="5" t="s">
        <v>736</v>
      </c>
      <c r="E164" s="5" t="s">
        <v>737</v>
      </c>
      <c r="F164" s="5" t="s">
        <v>713</v>
      </c>
      <c r="G164" s="5" t="s">
        <v>738</v>
      </c>
      <c r="H164" s="5" t="s">
        <v>12</v>
      </c>
      <c r="I164" s="5" t="s">
        <v>40</v>
      </c>
      <c r="J164" s="5" t="s">
        <v>41</v>
      </c>
      <c r="K164" s="5"/>
    </row>
    <row r="165" spans="1:11">
      <c r="A165" s="5" t="s">
        <v>656</v>
      </c>
      <c r="B165" s="5" t="s">
        <v>739</v>
      </c>
      <c r="C165" s="5" t="s">
        <v>35</v>
      </c>
      <c r="D165" s="5" t="s">
        <v>740</v>
      </c>
      <c r="E165" s="5" t="s">
        <v>741</v>
      </c>
      <c r="F165" s="5" t="s">
        <v>713</v>
      </c>
      <c r="G165" s="5" t="s">
        <v>742</v>
      </c>
      <c r="H165" s="5" t="s">
        <v>12</v>
      </c>
      <c r="I165" s="5" t="s">
        <v>40</v>
      </c>
      <c r="J165" s="5" t="s">
        <v>41</v>
      </c>
      <c r="K165" s="5"/>
    </row>
    <row r="166" spans="1:11">
      <c r="A166" s="5" t="s">
        <v>743</v>
      </c>
      <c r="B166" s="5" t="s">
        <v>744</v>
      </c>
      <c r="C166" s="5" t="s">
        <v>35</v>
      </c>
      <c r="D166" s="5" t="s">
        <v>745</v>
      </c>
      <c r="E166" s="5" t="s">
        <v>746</v>
      </c>
      <c r="F166" s="5" t="s">
        <v>747</v>
      </c>
      <c r="G166" s="5" t="s">
        <v>748</v>
      </c>
      <c r="H166" s="5" t="s">
        <v>12</v>
      </c>
      <c r="I166" s="5" t="s">
        <v>40</v>
      </c>
      <c r="J166" s="5" t="s">
        <v>41</v>
      </c>
      <c r="K166" s="5"/>
    </row>
    <row r="167" spans="1:11">
      <c r="A167" s="5" t="s">
        <v>743</v>
      </c>
      <c r="B167" s="5" t="s">
        <v>749</v>
      </c>
      <c r="C167" s="5" t="s">
        <v>35</v>
      </c>
      <c r="D167" s="5" t="s">
        <v>750</v>
      </c>
      <c r="E167" s="5" t="s">
        <v>751</v>
      </c>
      <c r="F167" s="5" t="s">
        <v>747</v>
      </c>
      <c r="G167" s="5" t="s">
        <v>752</v>
      </c>
      <c r="H167" s="5" t="s">
        <v>12</v>
      </c>
      <c r="I167" s="5" t="s">
        <v>40</v>
      </c>
      <c r="J167" s="5" t="s">
        <v>41</v>
      </c>
      <c r="K167" s="5"/>
    </row>
    <row r="168" spans="1:11">
      <c r="A168" s="5" t="s">
        <v>743</v>
      </c>
      <c r="B168" s="5" t="s">
        <v>753</v>
      </c>
      <c r="C168" s="5" t="s">
        <v>35</v>
      </c>
      <c r="D168" s="5" t="s">
        <v>754</v>
      </c>
      <c r="E168" s="5" t="s">
        <v>755</v>
      </c>
      <c r="F168" s="5" t="s">
        <v>756</v>
      </c>
      <c r="G168" s="5" t="s">
        <v>757</v>
      </c>
      <c r="H168" s="5" t="s">
        <v>12</v>
      </c>
      <c r="I168" s="5" t="s">
        <v>40</v>
      </c>
      <c r="J168" s="5" t="s">
        <v>41</v>
      </c>
      <c r="K168" s="5"/>
    </row>
    <row r="169" spans="1:11">
      <c r="A169" s="5" t="s">
        <v>743</v>
      </c>
      <c r="B169" s="5" t="s">
        <v>758</v>
      </c>
      <c r="C169" s="5" t="s">
        <v>35</v>
      </c>
      <c r="D169" s="5" t="s">
        <v>759</v>
      </c>
      <c r="E169" s="5" t="s">
        <v>760</v>
      </c>
      <c r="F169" s="5" t="s">
        <v>761</v>
      </c>
      <c r="G169" s="5" t="s">
        <v>762</v>
      </c>
      <c r="H169" s="5" t="s">
        <v>12</v>
      </c>
      <c r="I169" s="5" t="s">
        <v>40</v>
      </c>
      <c r="J169" s="5" t="s">
        <v>41</v>
      </c>
      <c r="K169" s="5"/>
    </row>
    <row r="170" spans="1:11">
      <c r="A170" s="5" t="s">
        <v>743</v>
      </c>
      <c r="B170" s="5" t="s">
        <v>763</v>
      </c>
      <c r="C170" s="5" t="s">
        <v>35</v>
      </c>
      <c r="D170" s="5" t="s">
        <v>764</v>
      </c>
      <c r="E170" s="5" t="s">
        <v>765</v>
      </c>
      <c r="F170" s="5" t="s">
        <v>680</v>
      </c>
      <c r="G170" s="5" t="s">
        <v>766</v>
      </c>
      <c r="H170" s="5" t="s">
        <v>12</v>
      </c>
      <c r="I170" s="5" t="s">
        <v>40</v>
      </c>
      <c r="J170" s="5" t="s">
        <v>41</v>
      </c>
      <c r="K170" s="5"/>
    </row>
    <row r="171" spans="1:11">
      <c r="A171" s="5" t="s">
        <v>743</v>
      </c>
      <c r="B171" s="5" t="s">
        <v>767</v>
      </c>
      <c r="C171" s="5" t="s">
        <v>35</v>
      </c>
      <c r="D171" s="5" t="s">
        <v>768</v>
      </c>
      <c r="E171" s="5" t="s">
        <v>769</v>
      </c>
      <c r="F171" s="5" t="s">
        <v>770</v>
      </c>
      <c r="G171" s="5" t="s">
        <v>771</v>
      </c>
      <c r="H171" s="5" t="s">
        <v>12</v>
      </c>
      <c r="I171" s="5" t="s">
        <v>40</v>
      </c>
      <c r="J171" s="5" t="s">
        <v>41</v>
      </c>
      <c r="K171" s="5"/>
    </row>
    <row r="172" spans="1:11">
      <c r="A172" s="5" t="s">
        <v>743</v>
      </c>
      <c r="B172" s="5" t="s">
        <v>772</v>
      </c>
      <c r="C172" s="5" t="s">
        <v>35</v>
      </c>
      <c r="D172" s="5" t="s">
        <v>773</v>
      </c>
      <c r="E172" s="5" t="s">
        <v>774</v>
      </c>
      <c r="F172" s="5" t="s">
        <v>680</v>
      </c>
      <c r="G172" s="5" t="s">
        <v>775</v>
      </c>
      <c r="H172" s="5" t="s">
        <v>12</v>
      </c>
      <c r="I172" s="5" t="s">
        <v>40</v>
      </c>
      <c r="J172" s="5" t="s">
        <v>41</v>
      </c>
      <c r="K172" s="5"/>
    </row>
    <row r="173" spans="1:11">
      <c r="A173" s="5" t="s">
        <v>743</v>
      </c>
      <c r="B173" s="5" t="s">
        <v>776</v>
      </c>
      <c r="C173" s="5" t="s">
        <v>35</v>
      </c>
      <c r="D173" s="5" t="s">
        <v>777</v>
      </c>
      <c r="E173" s="5" t="s">
        <v>778</v>
      </c>
      <c r="F173" s="5" t="s">
        <v>779</v>
      </c>
      <c r="G173" s="5" t="s">
        <v>780</v>
      </c>
      <c r="H173" s="5" t="s">
        <v>12</v>
      </c>
      <c r="I173" s="5" t="s">
        <v>40</v>
      </c>
      <c r="J173" s="5" t="s">
        <v>41</v>
      </c>
      <c r="K173" s="5"/>
    </row>
    <row r="174" spans="1:11">
      <c r="A174" s="5" t="s">
        <v>743</v>
      </c>
      <c r="B174" s="5" t="s">
        <v>781</v>
      </c>
      <c r="C174" s="5" t="s">
        <v>35</v>
      </c>
      <c r="D174" s="5" t="s">
        <v>782</v>
      </c>
      <c r="E174" s="5" t="s">
        <v>783</v>
      </c>
      <c r="F174" s="5" t="s">
        <v>784</v>
      </c>
      <c r="G174" s="5" t="s">
        <v>785</v>
      </c>
      <c r="H174" s="5" t="s">
        <v>12</v>
      </c>
      <c r="I174" s="5" t="s">
        <v>40</v>
      </c>
      <c r="J174" s="5" t="s">
        <v>41</v>
      </c>
      <c r="K174" s="5"/>
    </row>
    <row r="175" spans="1:11">
      <c r="A175" s="5" t="s">
        <v>743</v>
      </c>
      <c r="B175" s="5" t="s">
        <v>786</v>
      </c>
      <c r="C175" s="5" t="s">
        <v>35</v>
      </c>
      <c r="D175" s="5" t="s">
        <v>787</v>
      </c>
      <c r="E175" s="5" t="s">
        <v>788</v>
      </c>
      <c r="F175" s="5" t="s">
        <v>789</v>
      </c>
      <c r="G175" s="5" t="s">
        <v>790</v>
      </c>
      <c r="H175" s="5" t="s">
        <v>12</v>
      </c>
      <c r="I175" s="5" t="s">
        <v>40</v>
      </c>
      <c r="J175" s="5" t="s">
        <v>41</v>
      </c>
      <c r="K175" s="5"/>
    </row>
    <row r="176" spans="1:11">
      <c r="A176" s="5" t="s">
        <v>743</v>
      </c>
      <c r="B176" s="5" t="s">
        <v>791</v>
      </c>
      <c r="C176" s="5" t="s">
        <v>35</v>
      </c>
      <c r="D176" s="5" t="s">
        <v>792</v>
      </c>
      <c r="E176" s="5" t="s">
        <v>793</v>
      </c>
      <c r="F176" s="5" t="s">
        <v>794</v>
      </c>
      <c r="G176" s="5" t="s">
        <v>795</v>
      </c>
      <c r="H176" s="5" t="s">
        <v>12</v>
      </c>
      <c r="I176" s="5" t="s">
        <v>40</v>
      </c>
      <c r="J176" s="5" t="s">
        <v>41</v>
      </c>
      <c r="K176" s="5"/>
    </row>
    <row r="177" spans="1:11">
      <c r="A177" s="5" t="s">
        <v>743</v>
      </c>
      <c r="B177" s="5" t="s">
        <v>796</v>
      </c>
      <c r="C177" s="5" t="s">
        <v>35</v>
      </c>
      <c r="D177" s="5" t="s">
        <v>797</v>
      </c>
      <c r="E177" s="5" t="s">
        <v>798</v>
      </c>
      <c r="F177" s="5" t="s">
        <v>713</v>
      </c>
      <c r="G177" s="5" t="s">
        <v>799</v>
      </c>
      <c r="H177" s="5" t="s">
        <v>12</v>
      </c>
      <c r="I177" s="5" t="s">
        <v>40</v>
      </c>
      <c r="J177" s="5" t="s">
        <v>41</v>
      </c>
      <c r="K177" s="5"/>
    </row>
    <row r="178" spans="1:11">
      <c r="A178" s="5" t="s">
        <v>743</v>
      </c>
      <c r="B178" s="5" t="s">
        <v>800</v>
      </c>
      <c r="C178" s="5" t="s">
        <v>35</v>
      </c>
      <c r="D178" s="5" t="s">
        <v>801</v>
      </c>
      <c r="E178" s="5" t="s">
        <v>802</v>
      </c>
      <c r="F178" s="5" t="s">
        <v>713</v>
      </c>
      <c r="G178" s="5" t="s">
        <v>803</v>
      </c>
      <c r="H178" s="5" t="s">
        <v>12</v>
      </c>
      <c r="I178" s="5" t="s">
        <v>40</v>
      </c>
      <c r="J178" s="5" t="s">
        <v>41</v>
      </c>
      <c r="K178" s="5"/>
    </row>
    <row r="179" spans="1:11">
      <c r="A179" s="5" t="s">
        <v>743</v>
      </c>
      <c r="B179" s="5" t="s">
        <v>804</v>
      </c>
      <c r="C179" s="5" t="s">
        <v>35</v>
      </c>
      <c r="D179" s="5" t="s">
        <v>805</v>
      </c>
      <c r="E179" s="5" t="s">
        <v>806</v>
      </c>
      <c r="F179" s="5" t="s">
        <v>713</v>
      </c>
      <c r="G179" s="5" t="s">
        <v>807</v>
      </c>
      <c r="H179" s="5" t="s">
        <v>12</v>
      </c>
      <c r="I179" s="5" t="s">
        <v>40</v>
      </c>
      <c r="J179" s="5" t="s">
        <v>41</v>
      </c>
      <c r="K179" s="5"/>
    </row>
    <row r="180" spans="1:11">
      <c r="A180" s="5" t="s">
        <v>743</v>
      </c>
      <c r="B180" s="5" t="s">
        <v>808</v>
      </c>
      <c r="C180" s="5" t="s">
        <v>35</v>
      </c>
      <c r="D180" s="5" t="s">
        <v>809</v>
      </c>
      <c r="E180" s="5" t="s">
        <v>810</v>
      </c>
      <c r="F180" s="5" t="s">
        <v>713</v>
      </c>
      <c r="G180" s="5" t="s">
        <v>811</v>
      </c>
      <c r="H180" s="5" t="s">
        <v>12</v>
      </c>
      <c r="I180" s="5" t="s">
        <v>40</v>
      </c>
      <c r="J180" s="5" t="s">
        <v>41</v>
      </c>
      <c r="K180" s="5"/>
    </row>
    <row r="181" spans="1:11">
      <c r="A181" s="5" t="s">
        <v>743</v>
      </c>
      <c r="B181" s="5" t="s">
        <v>812</v>
      </c>
      <c r="C181" s="5" t="s">
        <v>35</v>
      </c>
      <c r="D181" s="5" t="s">
        <v>813</v>
      </c>
      <c r="E181" s="5" t="s">
        <v>814</v>
      </c>
      <c r="F181" s="5" t="s">
        <v>713</v>
      </c>
      <c r="G181" s="5" t="s">
        <v>815</v>
      </c>
      <c r="H181" s="5" t="s">
        <v>12</v>
      </c>
      <c r="I181" s="5" t="s">
        <v>40</v>
      </c>
      <c r="J181" s="5" t="s">
        <v>41</v>
      </c>
      <c r="K181" s="5"/>
    </row>
    <row r="182" spans="1:11">
      <c r="A182" s="5" t="s">
        <v>743</v>
      </c>
      <c r="B182" s="5" t="s">
        <v>816</v>
      </c>
      <c r="C182" s="5" t="s">
        <v>35</v>
      </c>
      <c r="D182" s="5" t="s">
        <v>817</v>
      </c>
      <c r="E182" s="5" t="s">
        <v>818</v>
      </c>
      <c r="F182" s="5" t="s">
        <v>713</v>
      </c>
      <c r="G182" s="5" t="s">
        <v>819</v>
      </c>
      <c r="H182" s="5" t="s">
        <v>12</v>
      </c>
      <c r="I182" s="5" t="s">
        <v>40</v>
      </c>
      <c r="J182" s="5" t="s">
        <v>41</v>
      </c>
      <c r="K182" s="5"/>
    </row>
    <row r="183" spans="1:11">
      <c r="A183" s="5" t="s">
        <v>743</v>
      </c>
      <c r="B183" s="5" t="s">
        <v>820</v>
      </c>
      <c r="C183" s="5" t="s">
        <v>35</v>
      </c>
      <c r="D183" s="5" t="s">
        <v>821</v>
      </c>
      <c r="E183" s="5" t="s">
        <v>822</v>
      </c>
      <c r="F183" s="5" t="s">
        <v>713</v>
      </c>
      <c r="G183" s="5" t="s">
        <v>823</v>
      </c>
      <c r="H183" s="5" t="s">
        <v>12</v>
      </c>
      <c r="I183" s="5" t="s">
        <v>40</v>
      </c>
      <c r="J183" s="5" t="s">
        <v>41</v>
      </c>
      <c r="K183" s="5"/>
    </row>
    <row r="184" spans="1:11">
      <c r="A184" s="5" t="s">
        <v>743</v>
      </c>
      <c r="B184" s="5" t="s">
        <v>824</v>
      </c>
      <c r="C184" s="5" t="s">
        <v>35</v>
      </c>
      <c r="D184" s="5" t="s">
        <v>825</v>
      </c>
      <c r="E184" s="5" t="s">
        <v>826</v>
      </c>
      <c r="F184" s="5" t="s">
        <v>713</v>
      </c>
      <c r="G184" s="5" t="s">
        <v>827</v>
      </c>
      <c r="H184" s="5" t="s">
        <v>12</v>
      </c>
      <c r="I184" s="5" t="s">
        <v>40</v>
      </c>
      <c r="J184" s="5" t="s">
        <v>41</v>
      </c>
      <c r="K184" s="5"/>
    </row>
    <row r="185" spans="1:11">
      <c r="A185" s="5" t="s">
        <v>828</v>
      </c>
      <c r="B185" s="5" t="s">
        <v>829</v>
      </c>
      <c r="C185" s="5" t="s">
        <v>35</v>
      </c>
      <c r="D185" s="5" t="s">
        <v>830</v>
      </c>
      <c r="E185" s="5" t="s">
        <v>1697</v>
      </c>
      <c r="F185" s="5" t="s">
        <v>1698</v>
      </c>
      <c r="G185" s="5" t="s">
        <v>831</v>
      </c>
      <c r="H185" s="5" t="s">
        <v>12</v>
      </c>
      <c r="I185" s="5" t="s">
        <v>40</v>
      </c>
      <c r="J185" s="5" t="s">
        <v>41</v>
      </c>
      <c r="K185" s="5"/>
    </row>
    <row r="186" spans="1:11">
      <c r="A186" s="5" t="s">
        <v>828</v>
      </c>
      <c r="B186" s="5" t="s">
        <v>832</v>
      </c>
      <c r="C186" s="5" t="s">
        <v>35</v>
      </c>
      <c r="D186" s="5" t="s">
        <v>833</v>
      </c>
      <c r="E186" s="5" t="s">
        <v>1699</v>
      </c>
      <c r="F186" s="5" t="s">
        <v>1698</v>
      </c>
      <c r="G186" s="5" t="s">
        <v>834</v>
      </c>
      <c r="H186" s="5" t="s">
        <v>12</v>
      </c>
      <c r="I186" s="5" t="s">
        <v>40</v>
      </c>
      <c r="J186" s="5" t="s">
        <v>41</v>
      </c>
      <c r="K186" s="5"/>
    </row>
    <row r="187" spans="1:11">
      <c r="A187" s="5" t="s">
        <v>828</v>
      </c>
      <c r="B187" s="5" t="s">
        <v>835</v>
      </c>
      <c r="C187" s="5" t="s">
        <v>35</v>
      </c>
      <c r="D187" s="5" t="s">
        <v>1700</v>
      </c>
      <c r="E187" s="5" t="s">
        <v>1701</v>
      </c>
      <c r="F187" s="5" t="s">
        <v>1698</v>
      </c>
      <c r="G187" s="5" t="s">
        <v>836</v>
      </c>
      <c r="H187" s="5" t="s">
        <v>12</v>
      </c>
      <c r="I187" s="5" t="s">
        <v>40</v>
      </c>
      <c r="J187" s="5" t="s">
        <v>41</v>
      </c>
      <c r="K187" s="5"/>
    </row>
    <row r="188" spans="1:11">
      <c r="A188" s="5" t="s">
        <v>828</v>
      </c>
      <c r="B188" s="5" t="s">
        <v>1702</v>
      </c>
      <c r="C188" s="5" t="s">
        <v>35</v>
      </c>
      <c r="D188" s="5" t="s">
        <v>837</v>
      </c>
      <c r="E188" s="5" t="s">
        <v>1703</v>
      </c>
      <c r="F188" s="5" t="s">
        <v>1698</v>
      </c>
      <c r="G188" s="5" t="s">
        <v>1704</v>
      </c>
      <c r="H188" s="5" t="s">
        <v>12</v>
      </c>
      <c r="I188" s="5" t="s">
        <v>40</v>
      </c>
      <c r="J188" s="5" t="s">
        <v>41</v>
      </c>
      <c r="K188" s="5"/>
    </row>
    <row r="189" spans="1:11">
      <c r="A189" s="5" t="s">
        <v>828</v>
      </c>
      <c r="B189" s="5" t="s">
        <v>1705</v>
      </c>
      <c r="C189" s="5" t="s">
        <v>35</v>
      </c>
      <c r="D189" s="5" t="s">
        <v>838</v>
      </c>
      <c r="E189" s="5" t="s">
        <v>1706</v>
      </c>
      <c r="F189" s="5" t="s">
        <v>1707</v>
      </c>
      <c r="G189" s="5" t="s">
        <v>1708</v>
      </c>
      <c r="H189" s="5" t="s">
        <v>12</v>
      </c>
      <c r="I189" s="5" t="s">
        <v>40</v>
      </c>
      <c r="J189" s="5" t="s">
        <v>41</v>
      </c>
      <c r="K189" s="5"/>
    </row>
    <row r="190" spans="1:11">
      <c r="A190" s="5" t="s">
        <v>828</v>
      </c>
      <c r="B190" s="5" t="s">
        <v>1709</v>
      </c>
      <c r="C190" s="5" t="s">
        <v>35</v>
      </c>
      <c r="D190" s="5" t="s">
        <v>839</v>
      </c>
      <c r="E190" s="5" t="s">
        <v>1710</v>
      </c>
      <c r="F190" s="5" t="s">
        <v>840</v>
      </c>
      <c r="G190" s="5" t="s">
        <v>1711</v>
      </c>
      <c r="H190" s="5" t="s">
        <v>12</v>
      </c>
      <c r="I190" s="5" t="s">
        <v>40</v>
      </c>
      <c r="J190" s="5" t="s">
        <v>41</v>
      </c>
      <c r="K190" s="5"/>
    </row>
    <row r="191" spans="1:11">
      <c r="A191" s="5" t="s">
        <v>828</v>
      </c>
      <c r="B191" s="5" t="s">
        <v>1712</v>
      </c>
      <c r="C191" s="5" t="s">
        <v>35</v>
      </c>
      <c r="D191" s="5" t="s">
        <v>1713</v>
      </c>
      <c r="E191" s="5" t="s">
        <v>1714</v>
      </c>
      <c r="F191" s="5" t="s">
        <v>1715</v>
      </c>
      <c r="G191" s="5" t="s">
        <v>1716</v>
      </c>
      <c r="H191" s="5" t="s">
        <v>12</v>
      </c>
      <c r="I191" s="5" t="s">
        <v>40</v>
      </c>
      <c r="J191" s="5" t="s">
        <v>41</v>
      </c>
      <c r="K191" s="5"/>
    </row>
    <row r="192" spans="1:11">
      <c r="A192" s="5" t="s">
        <v>828</v>
      </c>
      <c r="B192" s="5" t="s">
        <v>1717</v>
      </c>
      <c r="C192" s="5" t="s">
        <v>35</v>
      </c>
      <c r="D192" s="5" t="s">
        <v>1718</v>
      </c>
      <c r="E192" s="5" t="s">
        <v>1719</v>
      </c>
      <c r="F192" s="5" t="s">
        <v>1720</v>
      </c>
      <c r="G192" s="5" t="s">
        <v>1721</v>
      </c>
      <c r="H192" s="5" t="s">
        <v>12</v>
      </c>
      <c r="I192" s="5" t="s">
        <v>40</v>
      </c>
      <c r="J192" s="5" t="s">
        <v>41</v>
      </c>
      <c r="K192" s="5"/>
    </row>
    <row r="193" spans="1:11">
      <c r="A193" s="5" t="s">
        <v>828</v>
      </c>
      <c r="B193" s="5" t="s">
        <v>1722</v>
      </c>
      <c r="C193" s="5" t="s">
        <v>35</v>
      </c>
      <c r="D193" s="5" t="s">
        <v>1723</v>
      </c>
      <c r="E193" s="5" t="s">
        <v>1724</v>
      </c>
      <c r="F193" s="5" t="s">
        <v>1725</v>
      </c>
      <c r="G193" s="5" t="s">
        <v>1726</v>
      </c>
      <c r="H193" s="5" t="s">
        <v>12</v>
      </c>
      <c r="I193" s="5" t="s">
        <v>40</v>
      </c>
      <c r="J193" s="5" t="s">
        <v>41</v>
      </c>
      <c r="K193" s="5"/>
    </row>
    <row r="194" spans="1:11">
      <c r="A194" s="5" t="s">
        <v>828</v>
      </c>
      <c r="B194" s="5" t="s">
        <v>1727</v>
      </c>
      <c r="C194" s="5" t="s">
        <v>35</v>
      </c>
      <c r="D194" s="5" t="s">
        <v>1728</v>
      </c>
      <c r="E194" s="5" t="s">
        <v>1729</v>
      </c>
      <c r="F194" s="5" t="s">
        <v>1730</v>
      </c>
      <c r="G194" s="5" t="s">
        <v>1731</v>
      </c>
      <c r="H194" s="5" t="s">
        <v>12</v>
      </c>
      <c r="I194" s="5" t="s">
        <v>40</v>
      </c>
      <c r="J194" s="5" t="s">
        <v>41</v>
      </c>
      <c r="K194" s="5"/>
    </row>
    <row r="195" spans="1:11">
      <c r="A195" s="5" t="s">
        <v>841</v>
      </c>
      <c r="B195" s="5" t="s">
        <v>842</v>
      </c>
      <c r="C195" s="5" t="s">
        <v>35</v>
      </c>
      <c r="D195" s="5" t="s">
        <v>843</v>
      </c>
      <c r="E195" s="5" t="s">
        <v>844</v>
      </c>
      <c r="F195" s="5" t="s">
        <v>845</v>
      </c>
      <c r="G195" s="5" t="s">
        <v>846</v>
      </c>
      <c r="H195" s="5" t="s">
        <v>12</v>
      </c>
      <c r="I195" s="5" t="s">
        <v>40</v>
      </c>
      <c r="J195" s="5" t="s">
        <v>41</v>
      </c>
      <c r="K195" s="5"/>
    </row>
    <row r="196" spans="1:11">
      <c r="A196" s="5" t="s">
        <v>841</v>
      </c>
      <c r="B196" s="5" t="s">
        <v>847</v>
      </c>
      <c r="C196" s="5" t="s">
        <v>35</v>
      </c>
      <c r="D196" s="5" t="s">
        <v>848</v>
      </c>
      <c r="E196" s="5" t="s">
        <v>849</v>
      </c>
      <c r="F196" s="5" t="s">
        <v>850</v>
      </c>
      <c r="G196" s="5" t="s">
        <v>851</v>
      </c>
      <c r="H196" s="5" t="s">
        <v>12</v>
      </c>
      <c r="I196" s="5" t="s">
        <v>40</v>
      </c>
      <c r="J196" s="5" t="s">
        <v>41</v>
      </c>
      <c r="K196" s="5"/>
    </row>
    <row r="197" spans="1:11">
      <c r="A197" s="5" t="s">
        <v>841</v>
      </c>
      <c r="B197" s="5" t="s">
        <v>852</v>
      </c>
      <c r="C197" s="5" t="s">
        <v>35</v>
      </c>
      <c r="D197" s="5" t="s">
        <v>853</v>
      </c>
      <c r="E197" s="5" t="s">
        <v>854</v>
      </c>
      <c r="F197" s="5" t="s">
        <v>855</v>
      </c>
      <c r="G197" s="5" t="s">
        <v>856</v>
      </c>
      <c r="H197" s="5" t="s">
        <v>12</v>
      </c>
      <c r="I197" s="5" t="s">
        <v>40</v>
      </c>
      <c r="J197" s="5" t="s">
        <v>41</v>
      </c>
      <c r="K197" s="5"/>
    </row>
    <row r="198" spans="1:11">
      <c r="A198" s="5" t="s">
        <v>841</v>
      </c>
      <c r="B198" s="5" t="s">
        <v>857</v>
      </c>
      <c r="C198" s="5" t="s">
        <v>35</v>
      </c>
      <c r="D198" s="5" t="s">
        <v>858</v>
      </c>
      <c r="E198" s="5" t="s">
        <v>859</v>
      </c>
      <c r="F198" s="5" t="s">
        <v>845</v>
      </c>
      <c r="G198" s="5" t="s">
        <v>860</v>
      </c>
      <c r="H198" s="5" t="s">
        <v>12</v>
      </c>
      <c r="I198" s="5" t="s">
        <v>40</v>
      </c>
      <c r="J198" s="5" t="s">
        <v>41</v>
      </c>
      <c r="K198" s="5"/>
    </row>
    <row r="199" spans="1:11">
      <c r="A199" s="5" t="s">
        <v>841</v>
      </c>
      <c r="B199" s="5" t="s">
        <v>861</v>
      </c>
      <c r="C199" s="5" t="s">
        <v>35</v>
      </c>
      <c r="D199" s="5" t="s">
        <v>862</v>
      </c>
      <c r="E199" s="5" t="s">
        <v>863</v>
      </c>
      <c r="F199" s="5" t="s">
        <v>845</v>
      </c>
      <c r="G199" s="5" t="s">
        <v>864</v>
      </c>
      <c r="H199" s="5" t="s">
        <v>12</v>
      </c>
      <c r="I199" s="5" t="s">
        <v>40</v>
      </c>
      <c r="J199" s="5" t="s">
        <v>41</v>
      </c>
      <c r="K199" s="5"/>
    </row>
    <row r="200" spans="1:11">
      <c r="A200" s="5" t="s">
        <v>841</v>
      </c>
      <c r="B200" s="5" t="s">
        <v>865</v>
      </c>
      <c r="C200" s="5" t="s">
        <v>35</v>
      </c>
      <c r="D200" s="5" t="s">
        <v>866</v>
      </c>
      <c r="E200" s="5" t="s">
        <v>867</v>
      </c>
      <c r="F200" s="5" t="s">
        <v>845</v>
      </c>
      <c r="G200" s="5" t="s">
        <v>868</v>
      </c>
      <c r="H200" s="5" t="s">
        <v>12</v>
      </c>
      <c r="I200" s="5" t="s">
        <v>40</v>
      </c>
      <c r="J200" s="5" t="s">
        <v>41</v>
      </c>
      <c r="K200" s="5"/>
    </row>
    <row r="201" spans="1:11">
      <c r="A201" s="5" t="s">
        <v>841</v>
      </c>
      <c r="B201" s="5" t="s">
        <v>869</v>
      </c>
      <c r="C201" s="5" t="s">
        <v>35</v>
      </c>
      <c r="D201" s="5" t="s">
        <v>870</v>
      </c>
      <c r="E201" s="5" t="s">
        <v>871</v>
      </c>
      <c r="F201" s="5" t="s">
        <v>845</v>
      </c>
      <c r="G201" s="5" t="s">
        <v>872</v>
      </c>
      <c r="H201" s="5" t="s">
        <v>12</v>
      </c>
      <c r="I201" s="5" t="s">
        <v>40</v>
      </c>
      <c r="J201" s="5" t="s">
        <v>41</v>
      </c>
      <c r="K201" s="5"/>
    </row>
    <row r="202" spans="1:11">
      <c r="A202" s="5" t="s">
        <v>841</v>
      </c>
      <c r="B202" s="5" t="s">
        <v>873</v>
      </c>
      <c r="C202" s="5" t="s">
        <v>35</v>
      </c>
      <c r="D202" s="5" t="s">
        <v>874</v>
      </c>
      <c r="E202" s="5" t="s">
        <v>875</v>
      </c>
      <c r="F202" s="5" t="s">
        <v>845</v>
      </c>
      <c r="G202" s="5" t="s">
        <v>876</v>
      </c>
      <c r="H202" s="5" t="s">
        <v>12</v>
      </c>
      <c r="I202" s="5" t="s">
        <v>40</v>
      </c>
      <c r="J202" s="5" t="s">
        <v>41</v>
      </c>
      <c r="K202" s="5"/>
    </row>
    <row r="203" spans="1:11">
      <c r="A203" s="5" t="s">
        <v>841</v>
      </c>
      <c r="B203" s="5" t="s">
        <v>877</v>
      </c>
      <c r="C203" s="5" t="s">
        <v>35</v>
      </c>
      <c r="D203" s="5" t="s">
        <v>878</v>
      </c>
      <c r="E203" s="5" t="s">
        <v>879</v>
      </c>
      <c r="F203" s="5" t="s">
        <v>845</v>
      </c>
      <c r="G203" s="5" t="s">
        <v>880</v>
      </c>
      <c r="H203" s="5" t="s">
        <v>12</v>
      </c>
      <c r="I203" s="5" t="s">
        <v>40</v>
      </c>
      <c r="J203" s="5" t="s">
        <v>41</v>
      </c>
      <c r="K203" s="5"/>
    </row>
    <row r="204" spans="1:11">
      <c r="A204" s="5" t="s">
        <v>841</v>
      </c>
      <c r="B204" s="5" t="s">
        <v>881</v>
      </c>
      <c r="C204" s="5" t="s">
        <v>35</v>
      </c>
      <c r="D204" s="5" t="s">
        <v>882</v>
      </c>
      <c r="E204" s="5" t="s">
        <v>883</v>
      </c>
      <c r="F204" s="5" t="s">
        <v>850</v>
      </c>
      <c r="G204" s="5" t="s">
        <v>884</v>
      </c>
      <c r="H204" s="5" t="s">
        <v>12</v>
      </c>
      <c r="I204" s="5" t="s">
        <v>40</v>
      </c>
      <c r="J204" s="5" t="s">
        <v>41</v>
      </c>
      <c r="K204" s="5"/>
    </row>
    <row r="205" spans="1:11">
      <c r="A205" s="5" t="s">
        <v>841</v>
      </c>
      <c r="B205" s="5" t="s">
        <v>885</v>
      </c>
      <c r="C205" s="5" t="s">
        <v>35</v>
      </c>
      <c r="D205" s="5" t="s">
        <v>886</v>
      </c>
      <c r="E205" s="5" t="s">
        <v>887</v>
      </c>
      <c r="F205" s="5" t="s">
        <v>850</v>
      </c>
      <c r="G205" s="5" t="s">
        <v>888</v>
      </c>
      <c r="H205" s="5" t="s">
        <v>12</v>
      </c>
      <c r="I205" s="5" t="s">
        <v>40</v>
      </c>
      <c r="J205" s="5" t="s">
        <v>41</v>
      </c>
      <c r="K205" s="5"/>
    </row>
    <row r="206" spans="1:11">
      <c r="A206" s="5" t="s">
        <v>841</v>
      </c>
      <c r="B206" s="5" t="s">
        <v>889</v>
      </c>
      <c r="C206" s="5" t="s">
        <v>35</v>
      </c>
      <c r="D206" s="5" t="s">
        <v>890</v>
      </c>
      <c r="E206" s="5" t="s">
        <v>891</v>
      </c>
      <c r="F206" s="5" t="s">
        <v>850</v>
      </c>
      <c r="G206" s="5" t="s">
        <v>892</v>
      </c>
      <c r="H206" s="5" t="s">
        <v>12</v>
      </c>
      <c r="I206" s="5" t="s">
        <v>40</v>
      </c>
      <c r="J206" s="5" t="s">
        <v>41</v>
      </c>
      <c r="K206" s="5"/>
    </row>
    <row r="207" spans="1:11">
      <c r="A207" s="5" t="s">
        <v>841</v>
      </c>
      <c r="B207" s="5" t="s">
        <v>893</v>
      </c>
      <c r="C207" s="5" t="s">
        <v>35</v>
      </c>
      <c r="D207" s="5" t="s">
        <v>894</v>
      </c>
      <c r="E207" s="5" t="s">
        <v>895</v>
      </c>
      <c r="F207" s="5" t="s">
        <v>855</v>
      </c>
      <c r="G207" s="5" t="s">
        <v>896</v>
      </c>
      <c r="H207" s="5" t="s">
        <v>12</v>
      </c>
      <c r="I207" s="5" t="s">
        <v>40</v>
      </c>
      <c r="J207" s="5" t="s">
        <v>41</v>
      </c>
      <c r="K207" s="5"/>
    </row>
    <row r="208" spans="1:11">
      <c r="A208" s="5" t="s">
        <v>841</v>
      </c>
      <c r="B208" s="5" t="s">
        <v>897</v>
      </c>
      <c r="C208" s="5" t="s">
        <v>35</v>
      </c>
      <c r="D208" s="5" t="s">
        <v>898</v>
      </c>
      <c r="E208" s="5" t="s">
        <v>899</v>
      </c>
      <c r="F208" s="5" t="s">
        <v>855</v>
      </c>
      <c r="G208" s="5" t="s">
        <v>900</v>
      </c>
      <c r="H208" s="5" t="s">
        <v>12</v>
      </c>
      <c r="I208" s="5" t="s">
        <v>40</v>
      </c>
      <c r="J208" s="5" t="s">
        <v>41</v>
      </c>
      <c r="K208" s="5"/>
    </row>
    <row r="209" spans="1:11">
      <c r="A209" s="5" t="s">
        <v>841</v>
      </c>
      <c r="B209" s="5" t="s">
        <v>901</v>
      </c>
      <c r="C209" s="5" t="s">
        <v>35</v>
      </c>
      <c r="D209" s="5" t="s">
        <v>902</v>
      </c>
      <c r="E209" s="5" t="s">
        <v>903</v>
      </c>
      <c r="F209" s="5" t="s">
        <v>855</v>
      </c>
      <c r="G209" s="5" t="s">
        <v>904</v>
      </c>
      <c r="H209" s="5" t="s">
        <v>12</v>
      </c>
      <c r="I209" s="5" t="s">
        <v>40</v>
      </c>
      <c r="J209" s="5" t="s">
        <v>41</v>
      </c>
      <c r="K209" s="5"/>
    </row>
    <row r="210" spans="1:11">
      <c r="A210" s="5" t="s">
        <v>841</v>
      </c>
      <c r="B210" s="5" t="s">
        <v>905</v>
      </c>
      <c r="C210" s="5" t="s">
        <v>35</v>
      </c>
      <c r="D210" s="5" t="s">
        <v>906</v>
      </c>
      <c r="E210" s="5" t="s">
        <v>907</v>
      </c>
      <c r="F210" s="5" t="s">
        <v>845</v>
      </c>
      <c r="G210" s="5" t="s">
        <v>908</v>
      </c>
      <c r="H210" s="5" t="s">
        <v>12</v>
      </c>
      <c r="I210" s="5" t="s">
        <v>40</v>
      </c>
      <c r="J210" s="5" t="s">
        <v>41</v>
      </c>
      <c r="K210" s="5"/>
    </row>
    <row r="211" spans="1:11">
      <c r="A211" s="5" t="s">
        <v>841</v>
      </c>
      <c r="B211" s="5" t="s">
        <v>909</v>
      </c>
      <c r="C211" s="5" t="s">
        <v>35</v>
      </c>
      <c r="D211" s="5" t="s">
        <v>910</v>
      </c>
      <c r="E211" s="5" t="s">
        <v>911</v>
      </c>
      <c r="F211" s="5" t="s">
        <v>845</v>
      </c>
      <c r="G211" s="5" t="s">
        <v>912</v>
      </c>
      <c r="H211" s="5" t="s">
        <v>12</v>
      </c>
      <c r="I211" s="5" t="s">
        <v>40</v>
      </c>
      <c r="J211" s="5" t="s">
        <v>41</v>
      </c>
      <c r="K211" s="5"/>
    </row>
    <row r="212" spans="1:11">
      <c r="A212" s="5" t="s">
        <v>841</v>
      </c>
      <c r="B212" s="5" t="s">
        <v>913</v>
      </c>
      <c r="C212" s="5" t="s">
        <v>35</v>
      </c>
      <c r="D212" s="5" t="s">
        <v>914</v>
      </c>
      <c r="E212" s="5" t="s">
        <v>915</v>
      </c>
      <c r="F212" s="5" t="s">
        <v>845</v>
      </c>
      <c r="G212" s="5" t="s">
        <v>916</v>
      </c>
      <c r="H212" s="5" t="s">
        <v>12</v>
      </c>
      <c r="I212" s="5" t="s">
        <v>40</v>
      </c>
      <c r="J212" s="5" t="s">
        <v>41</v>
      </c>
      <c r="K212" s="5"/>
    </row>
    <row r="213" spans="1:11">
      <c r="A213" s="5" t="s">
        <v>841</v>
      </c>
      <c r="B213" s="5" t="s">
        <v>917</v>
      </c>
      <c r="C213" s="5" t="s">
        <v>35</v>
      </c>
      <c r="D213" s="5" t="s">
        <v>918</v>
      </c>
      <c r="E213" s="5" t="s">
        <v>919</v>
      </c>
      <c r="F213" s="5" t="s">
        <v>845</v>
      </c>
      <c r="G213" s="5" t="s">
        <v>920</v>
      </c>
      <c r="H213" s="5" t="s">
        <v>12</v>
      </c>
      <c r="I213" s="5" t="s">
        <v>40</v>
      </c>
      <c r="J213" s="5" t="s">
        <v>41</v>
      </c>
      <c r="K213" s="5"/>
    </row>
    <row r="214" spans="1:11">
      <c r="A214" s="5" t="s">
        <v>841</v>
      </c>
      <c r="B214" s="5" t="s">
        <v>921</v>
      </c>
      <c r="C214" s="5" t="s">
        <v>35</v>
      </c>
      <c r="D214" s="5" t="s">
        <v>922</v>
      </c>
      <c r="E214" s="5" t="s">
        <v>923</v>
      </c>
      <c r="F214" s="5" t="s">
        <v>845</v>
      </c>
      <c r="G214" s="5" t="s">
        <v>924</v>
      </c>
      <c r="H214" s="5" t="s">
        <v>12</v>
      </c>
      <c r="I214" s="5" t="s">
        <v>40</v>
      </c>
      <c r="J214" s="5" t="s">
        <v>41</v>
      </c>
      <c r="K214" s="5"/>
    </row>
    <row r="215" spans="1:11">
      <c r="A215" s="5" t="s">
        <v>841</v>
      </c>
      <c r="B215" s="5" t="s">
        <v>925</v>
      </c>
      <c r="C215" s="5" t="s">
        <v>35</v>
      </c>
      <c r="D215" s="5" t="s">
        <v>926</v>
      </c>
      <c r="E215" s="5" t="s">
        <v>927</v>
      </c>
      <c r="F215" s="5" t="s">
        <v>845</v>
      </c>
      <c r="G215" s="5" t="s">
        <v>928</v>
      </c>
      <c r="H215" s="5" t="s">
        <v>12</v>
      </c>
      <c r="I215" s="5" t="s">
        <v>40</v>
      </c>
      <c r="J215" s="5" t="s">
        <v>41</v>
      </c>
      <c r="K215" s="5"/>
    </row>
    <row r="216" spans="1:11">
      <c r="A216" s="5" t="s">
        <v>841</v>
      </c>
      <c r="B216" s="5" t="s">
        <v>929</v>
      </c>
      <c r="C216" s="5" t="s">
        <v>35</v>
      </c>
      <c r="D216" s="5" t="s">
        <v>930</v>
      </c>
      <c r="E216" s="5" t="s">
        <v>931</v>
      </c>
      <c r="F216" s="5" t="s">
        <v>845</v>
      </c>
      <c r="G216" s="5" t="s">
        <v>932</v>
      </c>
      <c r="H216" s="5" t="s">
        <v>12</v>
      </c>
      <c r="I216" s="5" t="s">
        <v>40</v>
      </c>
      <c r="J216" s="5" t="s">
        <v>41</v>
      </c>
      <c r="K216" s="5"/>
    </row>
    <row r="217" spans="1:11">
      <c r="A217" s="5" t="s">
        <v>841</v>
      </c>
      <c r="B217" s="5" t="s">
        <v>933</v>
      </c>
      <c r="C217" s="5" t="s">
        <v>35</v>
      </c>
      <c r="D217" s="5" t="s">
        <v>934</v>
      </c>
      <c r="E217" s="5" t="s">
        <v>935</v>
      </c>
      <c r="F217" s="5" t="s">
        <v>845</v>
      </c>
      <c r="G217" s="5" t="s">
        <v>936</v>
      </c>
      <c r="H217" s="5" t="s">
        <v>12</v>
      </c>
      <c r="I217" s="5" t="s">
        <v>40</v>
      </c>
      <c r="J217" s="5" t="s">
        <v>41</v>
      </c>
      <c r="K217" s="5"/>
    </row>
    <row r="218" spans="1:11">
      <c r="A218" s="5" t="s">
        <v>841</v>
      </c>
      <c r="B218" s="5" t="s">
        <v>937</v>
      </c>
      <c r="C218" s="5" t="s">
        <v>35</v>
      </c>
      <c r="D218" s="5" t="s">
        <v>938</v>
      </c>
      <c r="E218" s="5" t="s">
        <v>939</v>
      </c>
      <c r="F218" s="5" t="s">
        <v>845</v>
      </c>
      <c r="G218" s="5" t="s">
        <v>940</v>
      </c>
      <c r="H218" s="5" t="s">
        <v>12</v>
      </c>
      <c r="I218" s="5" t="s">
        <v>40</v>
      </c>
      <c r="J218" s="5" t="s">
        <v>41</v>
      </c>
      <c r="K218" s="5"/>
    </row>
    <row r="219" spans="1:11">
      <c r="A219" s="5" t="s">
        <v>841</v>
      </c>
      <c r="B219" s="5" t="s">
        <v>941</v>
      </c>
      <c r="C219" s="5" t="s">
        <v>35</v>
      </c>
      <c r="D219" s="5" t="s">
        <v>942</v>
      </c>
      <c r="E219" s="5" t="s">
        <v>943</v>
      </c>
      <c r="F219" s="5" t="s">
        <v>845</v>
      </c>
      <c r="G219" s="5" t="s">
        <v>944</v>
      </c>
      <c r="H219" s="5" t="s">
        <v>12</v>
      </c>
      <c r="I219" s="5" t="s">
        <v>40</v>
      </c>
      <c r="J219" s="5" t="s">
        <v>41</v>
      </c>
      <c r="K219" s="5"/>
    </row>
    <row r="220" spans="1:11">
      <c r="A220" s="5" t="s">
        <v>841</v>
      </c>
      <c r="B220" s="5" t="s">
        <v>945</v>
      </c>
      <c r="C220" s="5" t="s">
        <v>35</v>
      </c>
      <c r="D220" s="5" t="s">
        <v>946</v>
      </c>
      <c r="E220" s="5" t="s">
        <v>947</v>
      </c>
      <c r="F220" s="5" t="s">
        <v>850</v>
      </c>
      <c r="G220" s="5" t="s">
        <v>948</v>
      </c>
      <c r="H220" s="5" t="s">
        <v>12</v>
      </c>
      <c r="I220" s="5" t="s">
        <v>40</v>
      </c>
      <c r="J220" s="5" t="s">
        <v>41</v>
      </c>
      <c r="K220" s="5"/>
    </row>
    <row r="221" spans="1:11">
      <c r="A221" s="5" t="s">
        <v>841</v>
      </c>
      <c r="B221" s="5" t="s">
        <v>949</v>
      </c>
      <c r="C221" s="5" t="s">
        <v>35</v>
      </c>
      <c r="D221" s="5" t="s">
        <v>950</v>
      </c>
      <c r="E221" s="5" t="s">
        <v>951</v>
      </c>
      <c r="F221" s="5" t="s">
        <v>855</v>
      </c>
      <c r="G221" s="5" t="s">
        <v>952</v>
      </c>
      <c r="H221" s="5" t="s">
        <v>12</v>
      </c>
      <c r="I221" s="5" t="s">
        <v>40</v>
      </c>
      <c r="J221" s="5" t="s">
        <v>41</v>
      </c>
      <c r="K221" s="5"/>
    </row>
    <row r="222" spans="1:11">
      <c r="A222" s="5" t="s">
        <v>841</v>
      </c>
      <c r="B222" s="5" t="s">
        <v>953</v>
      </c>
      <c r="C222" s="5" t="s">
        <v>35</v>
      </c>
      <c r="D222" s="5" t="s">
        <v>954</v>
      </c>
      <c r="E222" s="5" t="s">
        <v>955</v>
      </c>
      <c r="F222" s="5" t="s">
        <v>845</v>
      </c>
      <c r="G222" s="5" t="s">
        <v>956</v>
      </c>
      <c r="H222" s="5" t="s">
        <v>12</v>
      </c>
      <c r="I222" s="5" t="s">
        <v>40</v>
      </c>
      <c r="J222" s="5" t="s">
        <v>41</v>
      </c>
      <c r="K222" s="5"/>
    </row>
    <row r="223" spans="1:11">
      <c r="A223" s="5" t="s">
        <v>841</v>
      </c>
      <c r="B223" s="5" t="s">
        <v>957</v>
      </c>
      <c r="C223" s="5" t="s">
        <v>35</v>
      </c>
      <c r="D223" s="5" t="s">
        <v>958</v>
      </c>
      <c r="E223" s="5" t="s">
        <v>959</v>
      </c>
      <c r="F223" s="5" t="s">
        <v>845</v>
      </c>
      <c r="G223" s="5" t="s">
        <v>960</v>
      </c>
      <c r="H223" s="5" t="s">
        <v>12</v>
      </c>
      <c r="I223" s="5" t="s">
        <v>40</v>
      </c>
      <c r="J223" s="5" t="s">
        <v>41</v>
      </c>
      <c r="K223" s="5"/>
    </row>
    <row r="224" spans="1:11">
      <c r="A224" s="5" t="s">
        <v>841</v>
      </c>
      <c r="B224" s="5" t="s">
        <v>961</v>
      </c>
      <c r="C224" s="5" t="s">
        <v>35</v>
      </c>
      <c r="D224" s="5" t="s">
        <v>962</v>
      </c>
      <c r="E224" s="5" t="s">
        <v>963</v>
      </c>
      <c r="F224" s="5" t="s">
        <v>845</v>
      </c>
      <c r="G224" s="5" t="s">
        <v>964</v>
      </c>
      <c r="H224" s="5" t="s">
        <v>12</v>
      </c>
      <c r="I224" s="5" t="s">
        <v>40</v>
      </c>
      <c r="J224" s="5" t="s">
        <v>41</v>
      </c>
      <c r="K224" s="5"/>
    </row>
    <row r="225" spans="1:11">
      <c r="A225" s="5" t="s">
        <v>841</v>
      </c>
      <c r="B225" s="5" t="s">
        <v>965</v>
      </c>
      <c r="C225" s="5" t="s">
        <v>35</v>
      </c>
      <c r="D225" s="5" t="s">
        <v>966</v>
      </c>
      <c r="E225" s="5" t="s">
        <v>967</v>
      </c>
      <c r="F225" s="5" t="s">
        <v>968</v>
      </c>
      <c r="G225" s="5" t="s">
        <v>969</v>
      </c>
      <c r="H225" s="5" t="s">
        <v>12</v>
      </c>
      <c r="I225" s="5" t="s">
        <v>40</v>
      </c>
      <c r="J225" s="5" t="s">
        <v>41</v>
      </c>
      <c r="K225" s="5"/>
    </row>
    <row r="226" spans="1:11">
      <c r="A226" s="5" t="s">
        <v>841</v>
      </c>
      <c r="B226" s="5" t="s">
        <v>970</v>
      </c>
      <c r="C226" s="5" t="s">
        <v>35</v>
      </c>
      <c r="D226" s="5" t="s">
        <v>971</v>
      </c>
      <c r="E226" s="5" t="s">
        <v>972</v>
      </c>
      <c r="F226" s="5" t="s">
        <v>968</v>
      </c>
      <c r="G226" s="5" t="s">
        <v>973</v>
      </c>
      <c r="H226" s="5" t="s">
        <v>12</v>
      </c>
      <c r="I226" s="5" t="s">
        <v>40</v>
      </c>
      <c r="J226" s="5" t="s">
        <v>41</v>
      </c>
      <c r="K226" s="5"/>
    </row>
    <row r="227" spans="1:11">
      <c r="A227" s="5" t="s">
        <v>841</v>
      </c>
      <c r="B227" s="5" t="s">
        <v>974</v>
      </c>
      <c r="C227" s="5" t="s">
        <v>35</v>
      </c>
      <c r="D227" s="5" t="s">
        <v>975</v>
      </c>
      <c r="E227" s="5" t="s">
        <v>976</v>
      </c>
      <c r="F227" s="5" t="s">
        <v>968</v>
      </c>
      <c r="G227" s="5" t="s">
        <v>977</v>
      </c>
      <c r="H227" s="5" t="s">
        <v>12</v>
      </c>
      <c r="I227" s="5" t="s">
        <v>40</v>
      </c>
      <c r="J227" s="5" t="s">
        <v>41</v>
      </c>
      <c r="K227" s="5"/>
    </row>
    <row r="228" spans="1:11">
      <c r="A228" s="5" t="s">
        <v>841</v>
      </c>
      <c r="B228" s="5" t="s">
        <v>978</v>
      </c>
      <c r="C228" s="5" t="s">
        <v>35</v>
      </c>
      <c r="D228" s="5" t="s">
        <v>979</v>
      </c>
      <c r="E228" s="5" t="s">
        <v>980</v>
      </c>
      <c r="F228" s="5" t="s">
        <v>968</v>
      </c>
      <c r="G228" s="5" t="s">
        <v>981</v>
      </c>
      <c r="H228" s="5" t="s">
        <v>12</v>
      </c>
      <c r="I228" s="5" t="s">
        <v>40</v>
      </c>
      <c r="J228" s="5" t="s">
        <v>41</v>
      </c>
      <c r="K228" s="5"/>
    </row>
    <row r="229" spans="1:11">
      <c r="A229" s="5" t="s">
        <v>841</v>
      </c>
      <c r="B229" s="5" t="s">
        <v>982</v>
      </c>
      <c r="C229" s="5" t="s">
        <v>35</v>
      </c>
      <c r="D229" s="5" t="s">
        <v>983</v>
      </c>
      <c r="E229" s="5" t="s">
        <v>984</v>
      </c>
      <c r="F229" s="5" t="s">
        <v>968</v>
      </c>
      <c r="G229" s="5" t="s">
        <v>985</v>
      </c>
      <c r="H229" s="5" t="s">
        <v>12</v>
      </c>
      <c r="I229" s="5" t="s">
        <v>40</v>
      </c>
      <c r="J229" s="5" t="s">
        <v>41</v>
      </c>
      <c r="K229" s="5"/>
    </row>
    <row r="230" spans="1:11">
      <c r="A230" s="5" t="s">
        <v>841</v>
      </c>
      <c r="B230" s="5" t="s">
        <v>986</v>
      </c>
      <c r="C230" s="5" t="s">
        <v>35</v>
      </c>
      <c r="D230" s="5" t="s">
        <v>987</v>
      </c>
      <c r="E230" s="5" t="s">
        <v>988</v>
      </c>
      <c r="F230" s="5" t="s">
        <v>989</v>
      </c>
      <c r="G230" s="5" t="s">
        <v>990</v>
      </c>
      <c r="H230" s="5" t="s">
        <v>12</v>
      </c>
      <c r="I230" s="5" t="s">
        <v>40</v>
      </c>
      <c r="J230" s="5" t="s">
        <v>41</v>
      </c>
      <c r="K230" s="5"/>
    </row>
    <row r="231" spans="1:11">
      <c r="A231" s="5" t="s">
        <v>991</v>
      </c>
      <c r="B231" s="5" t="s">
        <v>992</v>
      </c>
      <c r="C231" s="5" t="s">
        <v>35</v>
      </c>
      <c r="D231" s="5" t="s">
        <v>993</v>
      </c>
      <c r="E231" s="5" t="s">
        <v>994</v>
      </c>
      <c r="F231" s="5" t="s">
        <v>995</v>
      </c>
      <c r="G231" s="5" t="s">
        <v>996</v>
      </c>
      <c r="H231" s="5" t="s">
        <v>12</v>
      </c>
      <c r="I231" s="5" t="s">
        <v>40</v>
      </c>
      <c r="J231" s="5" t="s">
        <v>41</v>
      </c>
      <c r="K231" s="5"/>
    </row>
    <row r="232" spans="1:11">
      <c r="A232" s="5" t="s">
        <v>991</v>
      </c>
      <c r="B232" s="5" t="s">
        <v>997</v>
      </c>
      <c r="C232" s="5" t="s">
        <v>35</v>
      </c>
      <c r="D232" s="5" t="s">
        <v>998</v>
      </c>
      <c r="E232" s="5" t="s">
        <v>999</v>
      </c>
      <c r="F232" s="5" t="s">
        <v>1000</v>
      </c>
      <c r="G232" s="5" t="s">
        <v>1001</v>
      </c>
      <c r="H232" s="5" t="s">
        <v>12</v>
      </c>
      <c r="I232" s="5" t="s">
        <v>40</v>
      </c>
      <c r="J232" s="5" t="s">
        <v>41</v>
      </c>
      <c r="K232" s="5"/>
    </row>
    <row r="233" spans="1:11">
      <c r="A233" s="5" t="s">
        <v>991</v>
      </c>
      <c r="B233" s="5" t="s">
        <v>1002</v>
      </c>
      <c r="C233" s="5" t="s">
        <v>35</v>
      </c>
      <c r="D233" s="5" t="s">
        <v>1003</v>
      </c>
      <c r="E233" s="5" t="s">
        <v>1004</v>
      </c>
      <c r="F233" s="5" t="s">
        <v>1005</v>
      </c>
      <c r="G233" s="5" t="s">
        <v>1006</v>
      </c>
      <c r="H233" s="5" t="s">
        <v>12</v>
      </c>
      <c r="I233" s="5" t="s">
        <v>40</v>
      </c>
      <c r="J233" s="5" t="s">
        <v>41</v>
      </c>
      <c r="K233" s="5"/>
    </row>
    <row r="234" spans="1:11">
      <c r="A234" s="5" t="s">
        <v>991</v>
      </c>
      <c r="B234" s="5" t="s">
        <v>1007</v>
      </c>
      <c r="C234" s="5" t="s">
        <v>35</v>
      </c>
      <c r="D234" s="5" t="s">
        <v>1008</v>
      </c>
      <c r="E234" s="5" t="s">
        <v>1004</v>
      </c>
      <c r="F234" s="5" t="s">
        <v>1005</v>
      </c>
      <c r="G234" s="5" t="s">
        <v>1009</v>
      </c>
      <c r="H234" s="5" t="s">
        <v>12</v>
      </c>
      <c r="I234" s="5" t="s">
        <v>40</v>
      </c>
      <c r="J234" s="5" t="s">
        <v>41</v>
      </c>
      <c r="K234" s="5"/>
    </row>
    <row r="235" spans="1:11">
      <c r="A235" s="5" t="s">
        <v>991</v>
      </c>
      <c r="B235" s="5" t="s">
        <v>1010</v>
      </c>
      <c r="C235" s="5" t="s">
        <v>35</v>
      </c>
      <c r="D235" s="5" t="s">
        <v>1011</v>
      </c>
      <c r="E235" s="5" t="s">
        <v>1012</v>
      </c>
      <c r="F235" s="5" t="s">
        <v>1013</v>
      </c>
      <c r="G235" s="5" t="s">
        <v>1014</v>
      </c>
      <c r="H235" s="5" t="s">
        <v>12</v>
      </c>
      <c r="I235" s="5" t="s">
        <v>40</v>
      </c>
      <c r="J235" s="5" t="s">
        <v>41</v>
      </c>
      <c r="K235" s="5"/>
    </row>
    <row r="236" spans="1:11">
      <c r="A236" s="5" t="s">
        <v>1015</v>
      </c>
      <c r="B236" s="5" t="s">
        <v>1016</v>
      </c>
      <c r="C236" s="5" t="s">
        <v>35</v>
      </c>
      <c r="D236" s="5" t="s">
        <v>1017</v>
      </c>
      <c r="E236" s="5" t="s">
        <v>1018</v>
      </c>
      <c r="F236" s="5" t="s">
        <v>1019</v>
      </c>
      <c r="G236" s="5" t="s">
        <v>1020</v>
      </c>
      <c r="H236" s="5" t="s">
        <v>12</v>
      </c>
      <c r="I236" s="5" t="s">
        <v>40</v>
      </c>
      <c r="J236" s="5" t="s">
        <v>41</v>
      </c>
      <c r="K236" s="5"/>
    </row>
    <row r="237" spans="1:11">
      <c r="A237" s="5" t="s">
        <v>1015</v>
      </c>
      <c r="B237" s="5" t="s">
        <v>1021</v>
      </c>
      <c r="C237" s="5" t="s">
        <v>35</v>
      </c>
      <c r="D237" s="5" t="s">
        <v>1022</v>
      </c>
      <c r="E237" s="5" t="s">
        <v>1023</v>
      </c>
      <c r="F237" s="5" t="s">
        <v>1005</v>
      </c>
      <c r="G237" s="5" t="s">
        <v>1024</v>
      </c>
      <c r="H237" s="5" t="s">
        <v>12</v>
      </c>
      <c r="I237" s="5" t="s">
        <v>40</v>
      </c>
      <c r="J237" s="5" t="s">
        <v>41</v>
      </c>
      <c r="K237" s="5"/>
    </row>
    <row r="238" spans="1:11">
      <c r="A238" s="5" t="s">
        <v>1015</v>
      </c>
      <c r="B238" s="5" t="s">
        <v>1025</v>
      </c>
      <c r="C238" s="5" t="s">
        <v>35</v>
      </c>
      <c r="D238" s="5" t="s">
        <v>1026</v>
      </c>
      <c r="E238" s="5" t="s">
        <v>1027</v>
      </c>
      <c r="F238" s="5" t="s">
        <v>1028</v>
      </c>
      <c r="G238" s="5" t="s">
        <v>1029</v>
      </c>
      <c r="H238" s="5" t="s">
        <v>12</v>
      </c>
      <c r="I238" s="5" t="s">
        <v>40</v>
      </c>
      <c r="J238" s="5" t="s">
        <v>41</v>
      </c>
      <c r="K238" s="5"/>
    </row>
    <row r="239" spans="1:11">
      <c r="A239" s="5" t="s">
        <v>1015</v>
      </c>
      <c r="B239" s="5" t="s">
        <v>1030</v>
      </c>
      <c r="C239" s="5" t="s">
        <v>35</v>
      </c>
      <c r="D239" s="5" t="s">
        <v>1031</v>
      </c>
      <c r="E239" s="5" t="s">
        <v>1032</v>
      </c>
      <c r="F239" s="5" t="s">
        <v>1028</v>
      </c>
      <c r="G239" s="5" t="s">
        <v>1033</v>
      </c>
      <c r="H239" s="5" t="s">
        <v>12</v>
      </c>
      <c r="I239" s="5" t="s">
        <v>40</v>
      </c>
      <c r="J239" s="5" t="s">
        <v>41</v>
      </c>
      <c r="K239" s="5"/>
    </row>
    <row r="240" spans="1:11">
      <c r="A240" s="5" t="s">
        <v>1015</v>
      </c>
      <c r="B240" s="5" t="s">
        <v>1034</v>
      </c>
      <c r="C240" s="5" t="s">
        <v>35</v>
      </c>
      <c r="D240" s="5" t="s">
        <v>1035</v>
      </c>
      <c r="E240" s="5" t="s">
        <v>1036</v>
      </c>
      <c r="F240" s="5" t="s">
        <v>1037</v>
      </c>
      <c r="G240" s="5" t="s">
        <v>1038</v>
      </c>
      <c r="H240" s="5" t="s">
        <v>12</v>
      </c>
      <c r="I240" s="5" t="s">
        <v>40</v>
      </c>
      <c r="J240" s="5" t="s">
        <v>41</v>
      </c>
      <c r="K240" s="5"/>
    </row>
    <row r="241" spans="1:11">
      <c r="A241" s="5" t="s">
        <v>1015</v>
      </c>
      <c r="B241" s="5" t="s">
        <v>1039</v>
      </c>
      <c r="C241" s="5" t="s">
        <v>35</v>
      </c>
      <c r="D241" s="5" t="s">
        <v>1040</v>
      </c>
      <c r="E241" s="5" t="s">
        <v>1041</v>
      </c>
      <c r="F241" s="5" t="s">
        <v>1037</v>
      </c>
      <c r="G241" s="5" t="s">
        <v>1042</v>
      </c>
      <c r="H241" s="5" t="s">
        <v>12</v>
      </c>
      <c r="I241" s="5" t="s">
        <v>40</v>
      </c>
      <c r="J241" s="5" t="s">
        <v>41</v>
      </c>
      <c r="K241" s="5"/>
    </row>
    <row r="242" spans="1:11">
      <c r="A242" s="5" t="s">
        <v>1015</v>
      </c>
      <c r="B242" s="5" t="s">
        <v>1043</v>
      </c>
      <c r="C242" s="5" t="s">
        <v>35</v>
      </c>
      <c r="D242" s="5" t="s">
        <v>1044</v>
      </c>
      <c r="E242" s="5" t="s">
        <v>1045</v>
      </c>
      <c r="F242" s="5" t="s">
        <v>1037</v>
      </c>
      <c r="G242" s="5" t="s">
        <v>1046</v>
      </c>
      <c r="H242" s="5" t="s">
        <v>12</v>
      </c>
      <c r="I242" s="5" t="s">
        <v>40</v>
      </c>
      <c r="J242" s="5" t="s">
        <v>41</v>
      </c>
      <c r="K242" s="5"/>
    </row>
    <row r="243" spans="1:11">
      <c r="A243" s="5" t="s">
        <v>1015</v>
      </c>
      <c r="B243" s="5" t="s">
        <v>1047</v>
      </c>
      <c r="C243" s="5" t="s">
        <v>35</v>
      </c>
      <c r="D243" s="5" t="s">
        <v>1048</v>
      </c>
      <c r="E243" s="5" t="s">
        <v>1049</v>
      </c>
      <c r="F243" s="5" t="s">
        <v>1037</v>
      </c>
      <c r="G243" s="5" t="s">
        <v>1050</v>
      </c>
      <c r="H243" s="5" t="s">
        <v>12</v>
      </c>
      <c r="I243" s="5" t="s">
        <v>40</v>
      </c>
      <c r="J243" s="5" t="s">
        <v>41</v>
      </c>
      <c r="K243" s="5"/>
    </row>
    <row r="244" spans="1:11">
      <c r="A244" s="5" t="s">
        <v>1015</v>
      </c>
      <c r="B244" s="5" t="s">
        <v>1051</v>
      </c>
      <c r="C244" s="5" t="s">
        <v>35</v>
      </c>
      <c r="D244" s="5" t="s">
        <v>1052</v>
      </c>
      <c r="E244" s="5" t="s">
        <v>1053</v>
      </c>
      <c r="F244" s="5" t="s">
        <v>1037</v>
      </c>
      <c r="G244" s="5" t="s">
        <v>1054</v>
      </c>
      <c r="H244" s="5" t="s">
        <v>12</v>
      </c>
      <c r="I244" s="5" t="s">
        <v>40</v>
      </c>
      <c r="J244" s="5" t="s">
        <v>41</v>
      </c>
      <c r="K244" s="5"/>
    </row>
    <row r="245" spans="1:11">
      <c r="A245" s="5" t="s">
        <v>1015</v>
      </c>
      <c r="B245" s="5" t="s">
        <v>1055</v>
      </c>
      <c r="C245" s="5" t="s">
        <v>35</v>
      </c>
      <c r="D245" s="5" t="s">
        <v>1056</v>
      </c>
      <c r="E245" s="5" t="s">
        <v>1057</v>
      </c>
      <c r="F245" s="5" t="s">
        <v>1037</v>
      </c>
      <c r="G245" s="5" t="s">
        <v>1058</v>
      </c>
      <c r="H245" s="5" t="s">
        <v>12</v>
      </c>
      <c r="I245" s="5" t="s">
        <v>40</v>
      </c>
      <c r="J245" s="5" t="s">
        <v>41</v>
      </c>
      <c r="K245" s="5"/>
    </row>
    <row r="246" spans="1:11">
      <c r="A246" s="5" t="s">
        <v>1015</v>
      </c>
      <c r="B246" s="5" t="s">
        <v>1059</v>
      </c>
      <c r="C246" s="5" t="s">
        <v>35</v>
      </c>
      <c r="D246" s="5" t="s">
        <v>1060</v>
      </c>
      <c r="E246" s="5" t="s">
        <v>1061</v>
      </c>
      <c r="F246" s="5" t="s">
        <v>1037</v>
      </c>
      <c r="G246" s="5" t="s">
        <v>1062</v>
      </c>
      <c r="H246" s="5" t="s">
        <v>12</v>
      </c>
      <c r="I246" s="5" t="s">
        <v>40</v>
      </c>
      <c r="J246" s="5" t="s">
        <v>41</v>
      </c>
      <c r="K246" s="5"/>
    </row>
    <row r="247" spans="1:11">
      <c r="A247" s="5" t="s">
        <v>1015</v>
      </c>
      <c r="B247" s="5" t="s">
        <v>1063</v>
      </c>
      <c r="C247" s="5" t="s">
        <v>35</v>
      </c>
      <c r="D247" s="5" t="s">
        <v>1064</v>
      </c>
      <c r="E247" s="5" t="s">
        <v>1053</v>
      </c>
      <c r="F247" s="5" t="s">
        <v>1037</v>
      </c>
      <c r="G247" s="5" t="s">
        <v>1065</v>
      </c>
      <c r="H247" s="5" t="s">
        <v>12</v>
      </c>
      <c r="I247" s="5" t="s">
        <v>40</v>
      </c>
      <c r="J247" s="5" t="s">
        <v>41</v>
      </c>
      <c r="K247" s="5"/>
    </row>
    <row r="248" spans="1:11">
      <c r="A248" s="5" t="s">
        <v>1015</v>
      </c>
      <c r="B248" s="5" t="s">
        <v>1066</v>
      </c>
      <c r="C248" s="5" t="s">
        <v>35</v>
      </c>
      <c r="D248" s="5" t="s">
        <v>1067</v>
      </c>
      <c r="E248" s="5" t="s">
        <v>1068</v>
      </c>
      <c r="F248" s="5" t="s">
        <v>1037</v>
      </c>
      <c r="G248" s="5" t="s">
        <v>1069</v>
      </c>
      <c r="H248" s="5" t="s">
        <v>12</v>
      </c>
      <c r="I248" s="5" t="s">
        <v>40</v>
      </c>
      <c r="J248" s="5" t="s">
        <v>41</v>
      </c>
      <c r="K248" s="5"/>
    </row>
    <row r="249" spans="1:11">
      <c r="A249" s="5" t="s">
        <v>1015</v>
      </c>
      <c r="B249" s="5" t="s">
        <v>1070</v>
      </c>
      <c r="C249" s="5" t="s">
        <v>35</v>
      </c>
      <c r="D249" s="5" t="s">
        <v>1071</v>
      </c>
      <c r="E249" s="5" t="s">
        <v>1072</v>
      </c>
      <c r="F249" s="5" t="s">
        <v>1037</v>
      </c>
      <c r="G249" s="5" t="s">
        <v>1073</v>
      </c>
      <c r="H249" s="5" t="s">
        <v>12</v>
      </c>
      <c r="I249" s="5" t="s">
        <v>40</v>
      </c>
      <c r="J249" s="5" t="s">
        <v>41</v>
      </c>
      <c r="K249" s="5"/>
    </row>
    <row r="250" spans="1:11">
      <c r="A250" s="5" t="s">
        <v>1015</v>
      </c>
      <c r="B250" s="5" t="s">
        <v>1074</v>
      </c>
      <c r="C250" s="5" t="s">
        <v>35</v>
      </c>
      <c r="D250" s="5" t="s">
        <v>1075</v>
      </c>
      <c r="E250" s="5" t="s">
        <v>1076</v>
      </c>
      <c r="F250" s="5" t="s">
        <v>1037</v>
      </c>
      <c r="G250" s="5" t="s">
        <v>1077</v>
      </c>
      <c r="H250" s="5" t="s">
        <v>12</v>
      </c>
      <c r="I250" s="5" t="s">
        <v>40</v>
      </c>
      <c r="J250" s="5" t="s">
        <v>41</v>
      </c>
      <c r="K250" s="5"/>
    </row>
    <row r="251" spans="1:11">
      <c r="A251" s="5" t="s">
        <v>1015</v>
      </c>
      <c r="B251" s="5" t="s">
        <v>1078</v>
      </c>
      <c r="C251" s="5" t="s">
        <v>35</v>
      </c>
      <c r="D251" s="5" t="s">
        <v>1079</v>
      </c>
      <c r="E251" s="5" t="s">
        <v>1080</v>
      </c>
      <c r="F251" s="5" t="s">
        <v>188</v>
      </c>
      <c r="G251" s="5" t="s">
        <v>1081</v>
      </c>
      <c r="H251" s="5" t="s">
        <v>12</v>
      </c>
      <c r="I251" s="5" t="s">
        <v>40</v>
      </c>
      <c r="J251" s="5" t="s">
        <v>41</v>
      </c>
      <c r="K251" s="5"/>
    </row>
    <row r="252" spans="1:11">
      <c r="A252" s="5" t="s">
        <v>1015</v>
      </c>
      <c r="B252" s="5" t="s">
        <v>1082</v>
      </c>
      <c r="C252" s="5" t="s">
        <v>35</v>
      </c>
      <c r="D252" s="5" t="s">
        <v>1083</v>
      </c>
      <c r="E252" s="5" t="s">
        <v>1084</v>
      </c>
      <c r="F252" s="5" t="s">
        <v>188</v>
      </c>
      <c r="G252" s="5" t="s">
        <v>1085</v>
      </c>
      <c r="H252" s="5" t="s">
        <v>12</v>
      </c>
      <c r="I252" s="5" t="s">
        <v>40</v>
      </c>
      <c r="J252" s="5" t="s">
        <v>41</v>
      </c>
      <c r="K252" s="5"/>
    </row>
    <row r="253" spans="1:11">
      <c r="A253" s="5" t="s">
        <v>1015</v>
      </c>
      <c r="B253" s="5" t="s">
        <v>1086</v>
      </c>
      <c r="C253" s="5" t="s">
        <v>35</v>
      </c>
      <c r="D253" s="5" t="s">
        <v>1087</v>
      </c>
      <c r="E253" s="5" t="s">
        <v>1088</v>
      </c>
      <c r="F253" s="5" t="s">
        <v>1089</v>
      </c>
      <c r="G253" s="5" t="s">
        <v>1090</v>
      </c>
      <c r="H253" s="5" t="s">
        <v>12</v>
      </c>
      <c r="I253" s="5" t="s">
        <v>40</v>
      </c>
      <c r="J253" s="5" t="s">
        <v>41</v>
      </c>
      <c r="K253" s="5"/>
    </row>
    <row r="254" spans="1:11">
      <c r="A254" s="5" t="s">
        <v>1015</v>
      </c>
      <c r="B254" s="5" t="s">
        <v>1091</v>
      </c>
      <c r="C254" s="5" t="s">
        <v>35</v>
      </c>
      <c r="D254" s="5" t="s">
        <v>1092</v>
      </c>
      <c r="E254" s="5" t="s">
        <v>1093</v>
      </c>
      <c r="F254" s="5" t="s">
        <v>1089</v>
      </c>
      <c r="G254" s="5" t="s">
        <v>1094</v>
      </c>
      <c r="H254" s="5" t="s">
        <v>12</v>
      </c>
      <c r="I254" s="5" t="s">
        <v>40</v>
      </c>
      <c r="J254" s="5" t="s">
        <v>41</v>
      </c>
      <c r="K254" s="5"/>
    </row>
    <row r="255" spans="1:11">
      <c r="A255" s="5" t="s">
        <v>1015</v>
      </c>
      <c r="B255" s="5" t="s">
        <v>1095</v>
      </c>
      <c r="C255" s="5" t="s">
        <v>35</v>
      </c>
      <c r="D255" s="5" t="s">
        <v>1096</v>
      </c>
      <c r="E255" s="5" t="s">
        <v>1097</v>
      </c>
      <c r="F255" s="5" t="s">
        <v>1089</v>
      </c>
      <c r="G255" s="5" t="s">
        <v>1098</v>
      </c>
      <c r="H255" s="5" t="s">
        <v>12</v>
      </c>
      <c r="I255" s="5" t="s">
        <v>40</v>
      </c>
      <c r="J255" s="5" t="s">
        <v>41</v>
      </c>
      <c r="K255" s="5"/>
    </row>
    <row r="256" spans="1:11">
      <c r="A256" s="5" t="s">
        <v>1015</v>
      </c>
      <c r="B256" s="5" t="s">
        <v>1099</v>
      </c>
      <c r="C256" s="5" t="s">
        <v>35</v>
      </c>
      <c r="D256" s="5" t="s">
        <v>1100</v>
      </c>
      <c r="E256" s="5" t="s">
        <v>1101</v>
      </c>
      <c r="F256" s="5" t="s">
        <v>1089</v>
      </c>
      <c r="G256" s="5" t="s">
        <v>1102</v>
      </c>
      <c r="H256" s="5" t="s">
        <v>12</v>
      </c>
      <c r="I256" s="5" t="s">
        <v>40</v>
      </c>
      <c r="J256" s="5" t="s">
        <v>41</v>
      </c>
      <c r="K256" s="5"/>
    </row>
    <row r="257" spans="1:11">
      <c r="A257" s="5" t="s">
        <v>1015</v>
      </c>
      <c r="B257" s="5" t="s">
        <v>1103</v>
      </c>
      <c r="C257" s="5" t="s">
        <v>35</v>
      </c>
      <c r="D257" s="5" t="s">
        <v>1104</v>
      </c>
      <c r="E257" s="5" t="s">
        <v>1105</v>
      </c>
      <c r="F257" s="5" t="s">
        <v>1089</v>
      </c>
      <c r="G257" s="5" t="s">
        <v>1106</v>
      </c>
      <c r="H257" s="5" t="s">
        <v>12</v>
      </c>
      <c r="I257" s="5" t="s">
        <v>40</v>
      </c>
      <c r="J257" s="5" t="s">
        <v>41</v>
      </c>
      <c r="K257" s="5"/>
    </row>
    <row r="258" spans="1:11">
      <c r="A258" s="5" t="s">
        <v>1015</v>
      </c>
      <c r="B258" s="5" t="s">
        <v>1107</v>
      </c>
      <c r="C258" s="5" t="s">
        <v>35</v>
      </c>
      <c r="D258" s="5" t="s">
        <v>1108</v>
      </c>
      <c r="E258" s="5" t="s">
        <v>1109</v>
      </c>
      <c r="F258" s="5" t="s">
        <v>1089</v>
      </c>
      <c r="G258" s="5" t="s">
        <v>1110</v>
      </c>
      <c r="H258" s="5" t="s">
        <v>12</v>
      </c>
      <c r="I258" s="5" t="s">
        <v>40</v>
      </c>
      <c r="J258" s="5" t="s">
        <v>41</v>
      </c>
      <c r="K258" s="5"/>
    </row>
    <row r="259" spans="1:11">
      <c r="A259" s="5" t="s">
        <v>1015</v>
      </c>
      <c r="B259" s="5" t="s">
        <v>1111</v>
      </c>
      <c r="C259" s="5" t="s">
        <v>35</v>
      </c>
      <c r="D259" s="5" t="s">
        <v>1112</v>
      </c>
      <c r="E259" s="5" t="s">
        <v>1113</v>
      </c>
      <c r="F259" s="5" t="s">
        <v>1089</v>
      </c>
      <c r="G259" s="5" t="s">
        <v>1114</v>
      </c>
      <c r="H259" s="5" t="s">
        <v>12</v>
      </c>
      <c r="I259" s="5" t="s">
        <v>40</v>
      </c>
      <c r="J259" s="5" t="s">
        <v>41</v>
      </c>
      <c r="K259" s="5"/>
    </row>
    <row r="260" spans="1:11">
      <c r="A260" s="5" t="s">
        <v>1015</v>
      </c>
      <c r="B260" s="5" t="s">
        <v>1115</v>
      </c>
      <c r="C260" s="5" t="s">
        <v>35</v>
      </c>
      <c r="D260" s="5" t="s">
        <v>1116</v>
      </c>
      <c r="E260" s="5" t="s">
        <v>1117</v>
      </c>
      <c r="F260" s="5" t="s">
        <v>1089</v>
      </c>
      <c r="G260" s="5" t="s">
        <v>1118</v>
      </c>
      <c r="H260" s="5" t="s">
        <v>12</v>
      </c>
      <c r="I260" s="5" t="s">
        <v>40</v>
      </c>
      <c r="J260" s="5" t="s">
        <v>41</v>
      </c>
      <c r="K260" s="5"/>
    </row>
    <row r="261" spans="1:11">
      <c r="A261" s="5" t="s">
        <v>1015</v>
      </c>
      <c r="B261" s="5" t="s">
        <v>1119</v>
      </c>
      <c r="C261" s="5" t="s">
        <v>35</v>
      </c>
      <c r="D261" s="5" t="s">
        <v>1120</v>
      </c>
      <c r="E261" s="5" t="s">
        <v>1121</v>
      </c>
      <c r="F261" s="5" t="s">
        <v>1089</v>
      </c>
      <c r="G261" s="5" t="s">
        <v>1122</v>
      </c>
      <c r="H261" s="5" t="s">
        <v>12</v>
      </c>
      <c r="I261" s="5" t="s">
        <v>40</v>
      </c>
      <c r="J261" s="5" t="s">
        <v>41</v>
      </c>
      <c r="K261" s="5"/>
    </row>
    <row r="262" spans="1:11">
      <c r="A262" s="5" t="s">
        <v>1015</v>
      </c>
      <c r="B262" s="5" t="s">
        <v>1123</v>
      </c>
      <c r="C262" s="5" t="s">
        <v>35</v>
      </c>
      <c r="D262" s="5" t="s">
        <v>1124</v>
      </c>
      <c r="E262" s="5" t="s">
        <v>1125</v>
      </c>
      <c r="F262" s="5" t="s">
        <v>1089</v>
      </c>
      <c r="G262" s="5" t="s">
        <v>1126</v>
      </c>
      <c r="H262" s="5" t="s">
        <v>12</v>
      </c>
      <c r="I262" s="5" t="s">
        <v>40</v>
      </c>
      <c r="J262" s="5" t="s">
        <v>41</v>
      </c>
      <c r="K262" s="5"/>
    </row>
    <row r="263" spans="1:11">
      <c r="A263" s="5" t="s">
        <v>1015</v>
      </c>
      <c r="B263" s="5" t="s">
        <v>1127</v>
      </c>
      <c r="C263" s="5" t="s">
        <v>35</v>
      </c>
      <c r="D263" s="5" t="s">
        <v>1128</v>
      </c>
      <c r="E263" s="5" t="s">
        <v>1129</v>
      </c>
      <c r="F263" s="5" t="s">
        <v>1089</v>
      </c>
      <c r="G263" s="5" t="s">
        <v>1130</v>
      </c>
      <c r="H263" s="5" t="s">
        <v>12</v>
      </c>
      <c r="I263" s="5" t="s">
        <v>40</v>
      </c>
      <c r="J263" s="5" t="s">
        <v>41</v>
      </c>
      <c r="K263" s="5"/>
    </row>
    <row r="264" spans="1:11">
      <c r="A264" s="5" t="s">
        <v>1015</v>
      </c>
      <c r="B264" s="5" t="s">
        <v>1131</v>
      </c>
      <c r="C264" s="5" t="s">
        <v>35</v>
      </c>
      <c r="D264" s="5" t="s">
        <v>1132</v>
      </c>
      <c r="E264" s="5" t="s">
        <v>1133</v>
      </c>
      <c r="F264" s="5" t="s">
        <v>188</v>
      </c>
      <c r="G264" s="5" t="s">
        <v>1134</v>
      </c>
      <c r="H264" s="5" t="s">
        <v>12</v>
      </c>
      <c r="I264" s="5" t="s">
        <v>40</v>
      </c>
      <c r="J264" s="5" t="s">
        <v>41</v>
      </c>
      <c r="K264" s="5"/>
    </row>
    <row r="265" spans="1:11">
      <c r="A265" s="5" t="s">
        <v>1015</v>
      </c>
      <c r="B265" s="5" t="s">
        <v>1135</v>
      </c>
      <c r="C265" s="5" t="s">
        <v>35</v>
      </c>
      <c r="D265" s="5" t="s">
        <v>1136</v>
      </c>
      <c r="E265" s="5" t="s">
        <v>1137</v>
      </c>
      <c r="F265" s="5" t="s">
        <v>188</v>
      </c>
      <c r="G265" s="5" t="s">
        <v>1138</v>
      </c>
      <c r="H265" s="5" t="s">
        <v>12</v>
      </c>
      <c r="I265" s="5" t="s">
        <v>40</v>
      </c>
      <c r="J265" s="5" t="s">
        <v>41</v>
      </c>
      <c r="K265" s="5"/>
    </row>
    <row r="266" spans="1:11">
      <c r="A266" s="5" t="s">
        <v>1015</v>
      </c>
      <c r="B266" s="5" t="s">
        <v>1139</v>
      </c>
      <c r="C266" s="5" t="s">
        <v>35</v>
      </c>
      <c r="D266" s="5" t="s">
        <v>1140</v>
      </c>
      <c r="E266" s="5" t="s">
        <v>1141</v>
      </c>
      <c r="F266" s="5" t="s">
        <v>1005</v>
      </c>
      <c r="G266" s="5" t="s">
        <v>1142</v>
      </c>
      <c r="H266" s="5" t="s">
        <v>12</v>
      </c>
      <c r="I266" s="5" t="s">
        <v>40</v>
      </c>
      <c r="J266" s="5" t="s">
        <v>41</v>
      </c>
      <c r="K266" s="5"/>
    </row>
    <row r="267" spans="1:11">
      <c r="A267" s="5" t="s">
        <v>1015</v>
      </c>
      <c r="B267" s="5" t="s">
        <v>1143</v>
      </c>
      <c r="C267" s="5" t="s">
        <v>35</v>
      </c>
      <c r="D267" s="5" t="s">
        <v>1144</v>
      </c>
      <c r="E267" s="5" t="s">
        <v>1145</v>
      </c>
      <c r="F267" s="5" t="s">
        <v>1028</v>
      </c>
      <c r="G267" s="5" t="s">
        <v>1146</v>
      </c>
      <c r="H267" s="5" t="s">
        <v>12</v>
      </c>
      <c r="I267" s="5" t="s">
        <v>40</v>
      </c>
      <c r="J267" s="5" t="s">
        <v>41</v>
      </c>
      <c r="K267" s="5"/>
    </row>
    <row r="268" spans="1:11">
      <c r="A268" s="5" t="s">
        <v>1015</v>
      </c>
      <c r="B268" s="5" t="s">
        <v>1147</v>
      </c>
      <c r="C268" s="5" t="s">
        <v>35</v>
      </c>
      <c r="D268" s="5" t="s">
        <v>1148</v>
      </c>
      <c r="E268" s="5" t="s">
        <v>1149</v>
      </c>
      <c r="F268" s="5" t="s">
        <v>1150</v>
      </c>
      <c r="G268" s="5" t="s">
        <v>1151</v>
      </c>
      <c r="H268" s="5" t="s">
        <v>12</v>
      </c>
      <c r="I268" s="5" t="s">
        <v>40</v>
      </c>
      <c r="J268" s="5" t="s">
        <v>41</v>
      </c>
      <c r="K268" s="5"/>
    </row>
    <row r="269" spans="1:11">
      <c r="A269" s="5" t="s">
        <v>1015</v>
      </c>
      <c r="B269" s="5" t="s">
        <v>1152</v>
      </c>
      <c r="C269" s="5" t="s">
        <v>35</v>
      </c>
      <c r="D269" s="5" t="s">
        <v>1153</v>
      </c>
      <c r="E269" s="5" t="s">
        <v>1154</v>
      </c>
      <c r="F269" s="5" t="s">
        <v>1150</v>
      </c>
      <c r="G269" s="5" t="s">
        <v>1155</v>
      </c>
      <c r="H269" s="5" t="s">
        <v>12</v>
      </c>
      <c r="I269" s="5" t="s">
        <v>40</v>
      </c>
      <c r="J269" s="5" t="s">
        <v>41</v>
      </c>
      <c r="K269" s="5"/>
    </row>
    <row r="270" spans="1:11">
      <c r="A270" s="5" t="s">
        <v>1015</v>
      </c>
      <c r="B270" s="5" t="s">
        <v>1156</v>
      </c>
      <c r="C270" s="5" t="s">
        <v>35</v>
      </c>
      <c r="D270" s="5" t="s">
        <v>1157</v>
      </c>
      <c r="E270" s="5" t="s">
        <v>1158</v>
      </c>
      <c r="F270" s="5" t="s">
        <v>1028</v>
      </c>
      <c r="G270" s="5" t="s">
        <v>1159</v>
      </c>
      <c r="H270" s="5" t="s">
        <v>12</v>
      </c>
      <c r="I270" s="5" t="s">
        <v>40</v>
      </c>
      <c r="J270" s="5" t="s">
        <v>41</v>
      </c>
      <c r="K270" s="5"/>
    </row>
    <row r="271" spans="1:11">
      <c r="A271" s="5" t="s">
        <v>1015</v>
      </c>
      <c r="B271" s="5" t="s">
        <v>1160</v>
      </c>
      <c r="C271" s="5" t="s">
        <v>35</v>
      </c>
      <c r="D271" s="5" t="s">
        <v>1161</v>
      </c>
      <c r="E271" s="5" t="s">
        <v>1162</v>
      </c>
      <c r="F271" s="5" t="s">
        <v>1163</v>
      </c>
      <c r="G271" s="5" t="s">
        <v>1164</v>
      </c>
      <c r="H271" s="5" t="s">
        <v>12</v>
      </c>
      <c r="I271" s="5" t="s">
        <v>40</v>
      </c>
      <c r="J271" s="5" t="s">
        <v>41</v>
      </c>
      <c r="K271" s="5"/>
    </row>
    <row r="272" spans="1:11">
      <c r="A272" s="5" t="s">
        <v>1015</v>
      </c>
      <c r="B272" s="5" t="s">
        <v>1165</v>
      </c>
      <c r="C272" s="5" t="s">
        <v>35</v>
      </c>
      <c r="D272" s="5" t="s">
        <v>1166</v>
      </c>
      <c r="E272" s="5" t="s">
        <v>1167</v>
      </c>
      <c r="F272" s="5" t="s">
        <v>1163</v>
      </c>
      <c r="G272" s="5" t="s">
        <v>1168</v>
      </c>
      <c r="H272" s="5" t="s">
        <v>12</v>
      </c>
      <c r="I272" s="5" t="s">
        <v>40</v>
      </c>
      <c r="J272" s="5" t="s">
        <v>41</v>
      </c>
      <c r="K272" s="5"/>
    </row>
    <row r="273" spans="1:11">
      <c r="A273" s="5" t="s">
        <v>1015</v>
      </c>
      <c r="B273" s="5" t="s">
        <v>1169</v>
      </c>
      <c r="C273" s="5" t="s">
        <v>35</v>
      </c>
      <c r="D273" s="5" t="s">
        <v>1170</v>
      </c>
      <c r="E273" s="5" t="s">
        <v>1018</v>
      </c>
      <c r="F273" s="5" t="s">
        <v>1019</v>
      </c>
      <c r="G273" s="5" t="s">
        <v>1171</v>
      </c>
      <c r="H273" s="5" t="s">
        <v>12</v>
      </c>
      <c r="I273" s="5" t="s">
        <v>40</v>
      </c>
      <c r="J273" s="5" t="s">
        <v>41</v>
      </c>
      <c r="K273" s="5"/>
    </row>
    <row r="274" spans="1:11">
      <c r="A274" s="5" t="s">
        <v>1015</v>
      </c>
      <c r="B274" s="5" t="s">
        <v>1172</v>
      </c>
      <c r="C274" s="5" t="s">
        <v>35</v>
      </c>
      <c r="D274" s="5" t="s">
        <v>1173</v>
      </c>
      <c r="E274" s="5" t="s">
        <v>1174</v>
      </c>
      <c r="F274" s="5" t="s">
        <v>1175</v>
      </c>
      <c r="G274" s="5" t="s">
        <v>1176</v>
      </c>
      <c r="H274" s="5" t="s">
        <v>12</v>
      </c>
      <c r="I274" s="5" t="s">
        <v>40</v>
      </c>
      <c r="J274" s="5" t="s">
        <v>41</v>
      </c>
      <c r="K274" s="5"/>
    </row>
    <row r="275" spans="1:11">
      <c r="A275" s="5" t="s">
        <v>1015</v>
      </c>
      <c r="B275" s="5" t="s">
        <v>1177</v>
      </c>
      <c r="C275" s="5" t="s">
        <v>35</v>
      </c>
      <c r="D275" s="5" t="s">
        <v>1178</v>
      </c>
      <c r="E275" s="5" t="s">
        <v>1018</v>
      </c>
      <c r="F275" s="5" t="s">
        <v>1019</v>
      </c>
      <c r="G275" s="5" t="s">
        <v>1179</v>
      </c>
      <c r="H275" s="5" t="s">
        <v>12</v>
      </c>
      <c r="I275" s="5" t="s">
        <v>40</v>
      </c>
      <c r="J275" s="5" t="s">
        <v>41</v>
      </c>
      <c r="K275" s="5"/>
    </row>
    <row r="276" spans="1:11">
      <c r="A276" s="5" t="s">
        <v>1015</v>
      </c>
      <c r="B276" s="5" t="s">
        <v>1180</v>
      </c>
      <c r="C276" s="5" t="s">
        <v>35</v>
      </c>
      <c r="D276" s="5" t="s">
        <v>1181</v>
      </c>
      <c r="E276" s="5" t="s">
        <v>1018</v>
      </c>
      <c r="F276" s="5" t="s">
        <v>1019</v>
      </c>
      <c r="G276" s="5" t="s">
        <v>1182</v>
      </c>
      <c r="H276" s="5" t="s">
        <v>12</v>
      </c>
      <c r="I276" s="5" t="s">
        <v>40</v>
      </c>
      <c r="J276" s="5" t="s">
        <v>41</v>
      </c>
      <c r="K276" s="5"/>
    </row>
    <row r="277" spans="1:11">
      <c r="A277" s="5" t="s">
        <v>1015</v>
      </c>
      <c r="B277" s="5" t="s">
        <v>1183</v>
      </c>
      <c r="C277" s="5" t="s">
        <v>35</v>
      </c>
      <c r="D277" s="5" t="s">
        <v>1184</v>
      </c>
      <c r="E277" s="5" t="s">
        <v>1018</v>
      </c>
      <c r="F277" s="5" t="s">
        <v>1019</v>
      </c>
      <c r="G277" s="5" t="s">
        <v>1185</v>
      </c>
      <c r="H277" s="5" t="s">
        <v>12</v>
      </c>
      <c r="I277" s="5" t="s">
        <v>40</v>
      </c>
      <c r="J277" s="5" t="s">
        <v>41</v>
      </c>
      <c r="K277" s="5"/>
    </row>
    <row r="278" spans="1:11">
      <c r="A278" s="5" t="s">
        <v>1015</v>
      </c>
      <c r="B278" s="5" t="s">
        <v>1186</v>
      </c>
      <c r="C278" s="5" t="s">
        <v>35</v>
      </c>
      <c r="D278" s="5" t="s">
        <v>1187</v>
      </c>
      <c r="E278" s="5" t="s">
        <v>1018</v>
      </c>
      <c r="F278" s="5" t="s">
        <v>1019</v>
      </c>
      <c r="G278" s="5" t="s">
        <v>1188</v>
      </c>
      <c r="H278" s="5" t="s">
        <v>12</v>
      </c>
      <c r="I278" s="5" t="s">
        <v>40</v>
      </c>
      <c r="J278" s="5" t="s">
        <v>41</v>
      </c>
      <c r="K278" s="5"/>
    </row>
    <row r="279" spans="1:11">
      <c r="A279" s="5" t="s">
        <v>1015</v>
      </c>
      <c r="B279" s="5" t="s">
        <v>1189</v>
      </c>
      <c r="C279" s="5" t="s">
        <v>35</v>
      </c>
      <c r="D279" s="5" t="s">
        <v>1190</v>
      </c>
      <c r="E279" s="5" t="s">
        <v>1018</v>
      </c>
      <c r="F279" s="5" t="s">
        <v>1019</v>
      </c>
      <c r="G279" s="5" t="s">
        <v>1191</v>
      </c>
      <c r="H279" s="5" t="s">
        <v>12</v>
      </c>
      <c r="I279" s="5" t="s">
        <v>40</v>
      </c>
      <c r="J279" s="5" t="s">
        <v>41</v>
      </c>
      <c r="K279" s="5"/>
    </row>
    <row r="280" spans="1:11">
      <c r="A280" s="5" t="s">
        <v>1015</v>
      </c>
      <c r="B280" s="5" t="s">
        <v>1192</v>
      </c>
      <c r="C280" s="5" t="s">
        <v>35</v>
      </c>
      <c r="D280" s="5" t="s">
        <v>1193</v>
      </c>
      <c r="E280" s="5" t="s">
        <v>1018</v>
      </c>
      <c r="F280" s="5" t="s">
        <v>1019</v>
      </c>
      <c r="G280" s="5" t="s">
        <v>1194</v>
      </c>
      <c r="H280" s="5" t="s">
        <v>12</v>
      </c>
      <c r="I280" s="5" t="s">
        <v>40</v>
      </c>
      <c r="J280" s="5" t="s">
        <v>41</v>
      </c>
      <c r="K280" s="5"/>
    </row>
    <row r="281" spans="1:11">
      <c r="A281" s="5" t="s">
        <v>1015</v>
      </c>
      <c r="B281" s="5" t="s">
        <v>1195</v>
      </c>
      <c r="C281" s="5" t="s">
        <v>35</v>
      </c>
      <c r="D281" s="5" t="s">
        <v>1196</v>
      </c>
      <c r="E281" s="5" t="s">
        <v>1197</v>
      </c>
      <c r="F281" s="5" t="s">
        <v>1198</v>
      </c>
      <c r="G281" s="5" t="s">
        <v>1199</v>
      </c>
      <c r="H281" s="5" t="s">
        <v>12</v>
      </c>
      <c r="I281" s="5" t="s">
        <v>40</v>
      </c>
      <c r="J281" s="5" t="s">
        <v>41</v>
      </c>
      <c r="K281" s="5"/>
    </row>
    <row r="282" spans="1:11">
      <c r="A282" s="5" t="s">
        <v>1015</v>
      </c>
      <c r="B282" s="5" t="s">
        <v>1200</v>
      </c>
      <c r="C282" s="5" t="s">
        <v>35</v>
      </c>
      <c r="D282" s="5" t="s">
        <v>1201</v>
      </c>
      <c r="E282" s="5" t="s">
        <v>1202</v>
      </c>
      <c r="F282" s="5" t="s">
        <v>1203</v>
      </c>
      <c r="G282" s="5" t="s">
        <v>1204</v>
      </c>
      <c r="H282" s="5" t="s">
        <v>12</v>
      </c>
      <c r="I282" s="5" t="s">
        <v>40</v>
      </c>
      <c r="J282" s="5" t="s">
        <v>41</v>
      </c>
      <c r="K282" s="5"/>
    </row>
    <row r="283" spans="1:11">
      <c r="A283" s="5" t="s">
        <v>1015</v>
      </c>
      <c r="B283" s="5" t="s">
        <v>1205</v>
      </c>
      <c r="C283" s="5" t="s">
        <v>35</v>
      </c>
      <c r="D283" s="5" t="s">
        <v>1206</v>
      </c>
      <c r="E283" s="5" t="s">
        <v>1207</v>
      </c>
      <c r="F283" s="5" t="s">
        <v>1208</v>
      </c>
      <c r="G283" s="5" t="s">
        <v>1209</v>
      </c>
      <c r="H283" s="5" t="s">
        <v>12</v>
      </c>
      <c r="I283" s="5" t="s">
        <v>40</v>
      </c>
      <c r="J283" s="5" t="s">
        <v>41</v>
      </c>
      <c r="K283" s="5"/>
    </row>
    <row r="284" spans="1:11">
      <c r="A284" s="5" t="s">
        <v>1015</v>
      </c>
      <c r="B284" s="5" t="s">
        <v>1210</v>
      </c>
      <c r="C284" s="5" t="s">
        <v>35</v>
      </c>
      <c r="D284" s="5" t="s">
        <v>1211</v>
      </c>
      <c r="E284" s="5" t="s">
        <v>1207</v>
      </c>
      <c r="F284" s="5" t="s">
        <v>1208</v>
      </c>
      <c r="G284" s="5" t="s">
        <v>1212</v>
      </c>
      <c r="H284" s="5" t="s">
        <v>12</v>
      </c>
      <c r="I284" s="5" t="s">
        <v>40</v>
      </c>
      <c r="J284" s="5" t="s">
        <v>41</v>
      </c>
      <c r="K284" s="5"/>
    </row>
    <row r="285" spans="1:11">
      <c r="A285" s="5" t="s">
        <v>1015</v>
      </c>
      <c r="B285" s="5" t="s">
        <v>1213</v>
      </c>
      <c r="C285" s="5" t="s">
        <v>35</v>
      </c>
      <c r="D285" s="5" t="s">
        <v>1214</v>
      </c>
      <c r="E285" s="5" t="s">
        <v>1215</v>
      </c>
      <c r="F285" s="5" t="s">
        <v>1208</v>
      </c>
      <c r="G285" s="5" t="s">
        <v>1216</v>
      </c>
      <c r="H285" s="5" t="s">
        <v>12</v>
      </c>
      <c r="I285" s="5" t="s">
        <v>40</v>
      </c>
      <c r="J285" s="5" t="s">
        <v>41</v>
      </c>
      <c r="K285" s="5"/>
    </row>
    <row r="286" spans="1:11">
      <c r="A286" s="5" t="s">
        <v>1015</v>
      </c>
      <c r="B286" s="5" t="s">
        <v>1217</v>
      </c>
      <c r="C286" s="5" t="s">
        <v>35</v>
      </c>
      <c r="D286" s="5" t="s">
        <v>1218</v>
      </c>
      <c r="E286" s="5" t="s">
        <v>1219</v>
      </c>
      <c r="F286" s="5" t="s">
        <v>1208</v>
      </c>
      <c r="G286" s="5" t="s">
        <v>1220</v>
      </c>
      <c r="H286" s="5" t="s">
        <v>12</v>
      </c>
      <c r="I286" s="5" t="s">
        <v>40</v>
      </c>
      <c r="J286" s="5" t="s">
        <v>41</v>
      </c>
      <c r="K286" s="5"/>
    </row>
    <row r="287" spans="1:11">
      <c r="A287" s="5" t="s">
        <v>1015</v>
      </c>
      <c r="B287" s="5" t="s">
        <v>1221</v>
      </c>
      <c r="C287" s="5" t="s">
        <v>35</v>
      </c>
      <c r="D287" s="5" t="s">
        <v>1222</v>
      </c>
      <c r="E287" s="5" t="s">
        <v>1223</v>
      </c>
      <c r="F287" s="5" t="s">
        <v>1224</v>
      </c>
      <c r="G287" s="5" t="s">
        <v>1225</v>
      </c>
      <c r="H287" s="5" t="s">
        <v>12</v>
      </c>
      <c r="I287" s="5" t="s">
        <v>40</v>
      </c>
      <c r="J287" s="5" t="s">
        <v>41</v>
      </c>
      <c r="K287" s="5"/>
    </row>
    <row r="288" spans="1:11">
      <c r="A288" s="5" t="s">
        <v>1015</v>
      </c>
      <c r="B288" s="5" t="s">
        <v>1226</v>
      </c>
      <c r="C288" s="5" t="s">
        <v>35</v>
      </c>
      <c r="D288" s="5" t="s">
        <v>1227</v>
      </c>
      <c r="E288" s="5" t="s">
        <v>1228</v>
      </c>
      <c r="F288" s="5" t="s">
        <v>1229</v>
      </c>
      <c r="G288" s="5" t="s">
        <v>1230</v>
      </c>
      <c r="H288" s="5" t="s">
        <v>12</v>
      </c>
      <c r="I288" s="5" t="s">
        <v>40</v>
      </c>
      <c r="J288" s="5" t="s">
        <v>41</v>
      </c>
      <c r="K288" s="5"/>
    </row>
    <row r="289" spans="1:11">
      <c r="A289" s="5" t="s">
        <v>1015</v>
      </c>
      <c r="B289" s="5" t="s">
        <v>1231</v>
      </c>
      <c r="C289" s="5" t="s">
        <v>35</v>
      </c>
      <c r="D289" s="5" t="s">
        <v>1232</v>
      </c>
      <c r="E289" s="5" t="s">
        <v>1233</v>
      </c>
      <c r="F289" s="5" t="s">
        <v>1229</v>
      </c>
      <c r="G289" s="5" t="s">
        <v>1234</v>
      </c>
      <c r="H289" s="5" t="s">
        <v>12</v>
      </c>
      <c r="I289" s="5" t="s">
        <v>40</v>
      </c>
      <c r="J289" s="5" t="s">
        <v>41</v>
      </c>
      <c r="K289" s="5"/>
    </row>
    <row r="290" spans="1:11">
      <c r="A290" s="5" t="s">
        <v>1015</v>
      </c>
      <c r="B290" s="5" t="s">
        <v>1235</v>
      </c>
      <c r="C290" s="5" t="s">
        <v>35</v>
      </c>
      <c r="D290" s="5" t="s">
        <v>1236</v>
      </c>
      <c r="E290" s="5" t="s">
        <v>1237</v>
      </c>
      <c r="F290" s="5" t="s">
        <v>1005</v>
      </c>
      <c r="G290" s="5" t="s">
        <v>1238</v>
      </c>
      <c r="H290" s="5" t="s">
        <v>12</v>
      </c>
      <c r="I290" s="5" t="s">
        <v>40</v>
      </c>
      <c r="J290" s="5" t="s">
        <v>41</v>
      </c>
      <c r="K290" s="5"/>
    </row>
    <row r="291" spans="1:11">
      <c r="A291" s="5" t="s">
        <v>1015</v>
      </c>
      <c r="B291" s="5" t="s">
        <v>1239</v>
      </c>
      <c r="C291" s="5" t="s">
        <v>35</v>
      </c>
      <c r="D291" s="5" t="s">
        <v>1240</v>
      </c>
      <c r="E291" s="5" t="s">
        <v>1241</v>
      </c>
      <c r="F291" s="5" t="s">
        <v>1005</v>
      </c>
      <c r="G291" s="5" t="s">
        <v>1242</v>
      </c>
      <c r="H291" s="5" t="s">
        <v>12</v>
      </c>
      <c r="I291" s="5" t="s">
        <v>40</v>
      </c>
      <c r="J291" s="5" t="s">
        <v>41</v>
      </c>
      <c r="K291" s="5"/>
    </row>
    <row r="292" spans="1:11">
      <c r="A292" s="5" t="s">
        <v>1015</v>
      </c>
      <c r="B292" s="5" t="s">
        <v>1243</v>
      </c>
      <c r="C292" s="5" t="s">
        <v>35</v>
      </c>
      <c r="D292" s="5" t="s">
        <v>1244</v>
      </c>
      <c r="E292" s="5" t="s">
        <v>1245</v>
      </c>
      <c r="F292" s="5" t="s">
        <v>1229</v>
      </c>
      <c r="G292" s="5" t="s">
        <v>1246</v>
      </c>
      <c r="H292" s="5" t="s">
        <v>12</v>
      </c>
      <c r="I292" s="5" t="s">
        <v>40</v>
      </c>
      <c r="J292" s="5" t="s">
        <v>41</v>
      </c>
      <c r="K292" s="5"/>
    </row>
    <row r="293" spans="1:11">
      <c r="A293" s="5" t="s">
        <v>1015</v>
      </c>
      <c r="B293" s="5" t="s">
        <v>1247</v>
      </c>
      <c r="C293" s="5" t="s">
        <v>35</v>
      </c>
      <c r="D293" s="5" t="s">
        <v>1248</v>
      </c>
      <c r="E293" s="5" t="s">
        <v>1249</v>
      </c>
      <c r="F293" s="5" t="s">
        <v>1229</v>
      </c>
      <c r="G293" s="5" t="s">
        <v>1250</v>
      </c>
      <c r="H293" s="5" t="s">
        <v>12</v>
      </c>
      <c r="I293" s="5" t="s">
        <v>40</v>
      </c>
      <c r="J293" s="5" t="s">
        <v>41</v>
      </c>
      <c r="K293" s="5"/>
    </row>
    <row r="294" spans="1:11">
      <c r="A294" s="5" t="s">
        <v>1015</v>
      </c>
      <c r="B294" s="5" t="s">
        <v>1251</v>
      </c>
      <c r="C294" s="5" t="s">
        <v>35</v>
      </c>
      <c r="D294" s="5" t="s">
        <v>1252</v>
      </c>
      <c r="E294" s="5" t="s">
        <v>1253</v>
      </c>
      <c r="F294" s="5" t="s">
        <v>1229</v>
      </c>
      <c r="G294" s="5" t="s">
        <v>1254</v>
      </c>
      <c r="H294" s="5" t="s">
        <v>12</v>
      </c>
      <c r="I294" s="5" t="s">
        <v>40</v>
      </c>
      <c r="J294" s="5" t="s">
        <v>41</v>
      </c>
      <c r="K294" s="5"/>
    </row>
    <row r="295" spans="1:11">
      <c r="A295" s="5" t="s">
        <v>1015</v>
      </c>
      <c r="B295" s="5" t="s">
        <v>1255</v>
      </c>
      <c r="C295" s="5" t="s">
        <v>35</v>
      </c>
      <c r="D295" s="5" t="s">
        <v>1256</v>
      </c>
      <c r="E295" s="5" t="s">
        <v>1257</v>
      </c>
      <c r="F295" s="5" t="s">
        <v>1229</v>
      </c>
      <c r="G295" s="5" t="s">
        <v>1258</v>
      </c>
      <c r="H295" s="5" t="s">
        <v>12</v>
      </c>
      <c r="I295" s="5" t="s">
        <v>40</v>
      </c>
      <c r="J295" s="5" t="s">
        <v>41</v>
      </c>
      <c r="K295" s="5"/>
    </row>
    <row r="296" spans="1:11">
      <c r="A296" s="5" t="s">
        <v>1015</v>
      </c>
      <c r="B296" s="5" t="s">
        <v>1259</v>
      </c>
      <c r="C296" s="5" t="s">
        <v>35</v>
      </c>
      <c r="D296" s="5" t="s">
        <v>1260</v>
      </c>
      <c r="E296" s="5" t="s">
        <v>1261</v>
      </c>
      <c r="F296" s="5" t="s">
        <v>1229</v>
      </c>
      <c r="G296" s="5" t="s">
        <v>1262</v>
      </c>
      <c r="H296" s="5" t="s">
        <v>12</v>
      </c>
      <c r="I296" s="5" t="s">
        <v>40</v>
      </c>
      <c r="J296" s="5" t="s">
        <v>41</v>
      </c>
      <c r="K296" s="5"/>
    </row>
    <row r="297" spans="1:11">
      <c r="A297" s="5" t="s">
        <v>1015</v>
      </c>
      <c r="B297" s="5" t="s">
        <v>1263</v>
      </c>
      <c r="C297" s="5" t="s">
        <v>35</v>
      </c>
      <c r="D297" s="5" t="s">
        <v>1264</v>
      </c>
      <c r="E297" s="5" t="s">
        <v>1265</v>
      </c>
      <c r="F297" s="5" t="s">
        <v>1229</v>
      </c>
      <c r="G297" s="5" t="s">
        <v>1266</v>
      </c>
      <c r="H297" s="5" t="s">
        <v>12</v>
      </c>
      <c r="I297" s="5" t="s">
        <v>40</v>
      </c>
      <c r="J297" s="5" t="s">
        <v>41</v>
      </c>
      <c r="K297" s="5"/>
    </row>
    <row r="298" spans="1:11">
      <c r="A298" s="5" t="s">
        <v>1015</v>
      </c>
      <c r="B298" s="5" t="s">
        <v>1267</v>
      </c>
      <c r="C298" s="5" t="s">
        <v>35</v>
      </c>
      <c r="D298" s="5" t="s">
        <v>1268</v>
      </c>
      <c r="E298" s="5" t="s">
        <v>1269</v>
      </c>
      <c r="F298" s="5" t="s">
        <v>1229</v>
      </c>
      <c r="G298" s="5" t="s">
        <v>1270</v>
      </c>
      <c r="H298" s="5" t="s">
        <v>12</v>
      </c>
      <c r="I298" s="5" t="s">
        <v>40</v>
      </c>
      <c r="J298" s="5" t="s">
        <v>41</v>
      </c>
      <c r="K298" s="5"/>
    </row>
    <row r="299" spans="1:11">
      <c r="A299" s="5" t="s">
        <v>1015</v>
      </c>
      <c r="B299" s="5" t="s">
        <v>1271</v>
      </c>
      <c r="C299" s="5" t="s">
        <v>35</v>
      </c>
      <c r="D299" s="5" t="s">
        <v>1272</v>
      </c>
      <c r="E299" s="5" t="s">
        <v>1273</v>
      </c>
      <c r="F299" s="5" t="s">
        <v>1229</v>
      </c>
      <c r="G299" s="5" t="s">
        <v>1274</v>
      </c>
      <c r="H299" s="5" t="s">
        <v>12</v>
      </c>
      <c r="I299" s="5" t="s">
        <v>40</v>
      </c>
      <c r="J299" s="5" t="s">
        <v>41</v>
      </c>
      <c r="K299" s="5"/>
    </row>
    <row r="300" spans="1:11">
      <c r="A300" s="5" t="s">
        <v>1015</v>
      </c>
      <c r="B300" s="5" t="s">
        <v>1275</v>
      </c>
      <c r="C300" s="5" t="s">
        <v>35</v>
      </c>
      <c r="D300" s="5" t="s">
        <v>1276</v>
      </c>
      <c r="E300" s="5" t="s">
        <v>1277</v>
      </c>
      <c r="F300" s="5" t="s">
        <v>1229</v>
      </c>
      <c r="G300" s="5" t="s">
        <v>1278</v>
      </c>
      <c r="H300" s="5" t="s">
        <v>12</v>
      </c>
      <c r="I300" s="5" t="s">
        <v>40</v>
      </c>
      <c r="J300" s="5" t="s">
        <v>41</v>
      </c>
      <c r="K300" s="5"/>
    </row>
    <row r="301" spans="1:11">
      <c r="A301" s="5" t="s">
        <v>1015</v>
      </c>
      <c r="B301" s="5" t="s">
        <v>1279</v>
      </c>
      <c r="C301" s="5" t="s">
        <v>35</v>
      </c>
      <c r="D301" s="5" t="s">
        <v>1280</v>
      </c>
      <c r="E301" s="5" t="s">
        <v>1281</v>
      </c>
      <c r="F301" s="5" t="s">
        <v>1282</v>
      </c>
      <c r="G301" s="5" t="s">
        <v>1283</v>
      </c>
      <c r="H301" s="5" t="s">
        <v>12</v>
      </c>
      <c r="I301" s="5" t="s">
        <v>40</v>
      </c>
      <c r="J301" s="5" t="s">
        <v>41</v>
      </c>
      <c r="K301" s="5"/>
    </row>
    <row r="302" spans="1:11">
      <c r="A302" s="5" t="s">
        <v>1015</v>
      </c>
      <c r="B302" s="5" t="s">
        <v>1284</v>
      </c>
      <c r="C302" s="5" t="s">
        <v>35</v>
      </c>
      <c r="D302" s="5" t="s">
        <v>1285</v>
      </c>
      <c r="E302" s="5" t="s">
        <v>1281</v>
      </c>
      <c r="F302" s="5" t="s">
        <v>1282</v>
      </c>
      <c r="G302" s="5" t="s">
        <v>1286</v>
      </c>
      <c r="H302" s="5" t="s">
        <v>12</v>
      </c>
      <c r="I302" s="5" t="s">
        <v>40</v>
      </c>
      <c r="J302" s="5" t="s">
        <v>41</v>
      </c>
      <c r="K302" s="5"/>
    </row>
    <row r="303" spans="1:11">
      <c r="A303" s="5" t="s">
        <v>1015</v>
      </c>
      <c r="B303" s="5" t="s">
        <v>1287</v>
      </c>
      <c r="C303" s="5" t="s">
        <v>35</v>
      </c>
      <c r="D303" s="5" t="s">
        <v>1288</v>
      </c>
      <c r="E303" s="5" t="s">
        <v>1281</v>
      </c>
      <c r="F303" s="5" t="s">
        <v>1282</v>
      </c>
      <c r="G303" s="5" t="s">
        <v>1289</v>
      </c>
      <c r="H303" s="5" t="s">
        <v>12</v>
      </c>
      <c r="I303" s="5" t="s">
        <v>40</v>
      </c>
      <c r="J303" s="5" t="s">
        <v>41</v>
      </c>
      <c r="K303" s="5"/>
    </row>
    <row r="304" spans="1:11">
      <c r="A304" s="5" t="s">
        <v>1015</v>
      </c>
      <c r="B304" s="5" t="s">
        <v>1290</v>
      </c>
      <c r="C304" s="5" t="s">
        <v>35</v>
      </c>
      <c r="D304" s="5" t="s">
        <v>1291</v>
      </c>
      <c r="E304" s="5" t="s">
        <v>1281</v>
      </c>
      <c r="F304" s="5" t="s">
        <v>1282</v>
      </c>
      <c r="G304" s="5" t="s">
        <v>1292</v>
      </c>
      <c r="H304" s="5" t="s">
        <v>12</v>
      </c>
      <c r="I304" s="5" t="s">
        <v>40</v>
      </c>
      <c r="J304" s="5" t="s">
        <v>41</v>
      </c>
      <c r="K304" s="5"/>
    </row>
    <row r="305" spans="1:11">
      <c r="A305" s="5" t="s">
        <v>1015</v>
      </c>
      <c r="B305" s="5" t="s">
        <v>1293</v>
      </c>
      <c r="C305" s="5" t="s">
        <v>35</v>
      </c>
      <c r="D305" s="5" t="s">
        <v>1294</v>
      </c>
      <c r="E305" s="5" t="s">
        <v>1281</v>
      </c>
      <c r="F305" s="5" t="s">
        <v>1282</v>
      </c>
      <c r="G305" s="5" t="s">
        <v>1295</v>
      </c>
      <c r="H305" s="5" t="s">
        <v>12</v>
      </c>
      <c r="I305" s="5" t="s">
        <v>40</v>
      </c>
      <c r="J305" s="5" t="s">
        <v>41</v>
      </c>
      <c r="K305" s="5"/>
    </row>
    <row r="306" spans="1:11">
      <c r="A306" s="5" t="s">
        <v>1015</v>
      </c>
      <c r="B306" s="5" t="s">
        <v>1296</v>
      </c>
      <c r="C306" s="5" t="s">
        <v>35</v>
      </c>
      <c r="D306" s="5" t="s">
        <v>1297</v>
      </c>
      <c r="E306" s="5" t="s">
        <v>1281</v>
      </c>
      <c r="F306" s="5" t="s">
        <v>1282</v>
      </c>
      <c r="G306" s="5" t="s">
        <v>1298</v>
      </c>
      <c r="H306" s="5" t="s">
        <v>12</v>
      </c>
      <c r="I306" s="5" t="s">
        <v>40</v>
      </c>
      <c r="J306" s="5" t="s">
        <v>41</v>
      </c>
      <c r="K306" s="5"/>
    </row>
    <row r="307" spans="1:11">
      <c r="A307" s="5" t="s">
        <v>1015</v>
      </c>
      <c r="B307" s="5" t="s">
        <v>1299</v>
      </c>
      <c r="C307" s="5" t="s">
        <v>35</v>
      </c>
      <c r="D307" s="5" t="s">
        <v>1300</v>
      </c>
      <c r="E307" s="5" t="s">
        <v>1301</v>
      </c>
      <c r="F307" s="5" t="s">
        <v>1302</v>
      </c>
      <c r="G307" s="5" t="s">
        <v>1303</v>
      </c>
      <c r="H307" s="5" t="s">
        <v>12</v>
      </c>
      <c r="I307" s="5" t="s">
        <v>40</v>
      </c>
      <c r="J307" s="5" t="s">
        <v>41</v>
      </c>
      <c r="K307" s="5"/>
    </row>
    <row r="308" spans="1:11">
      <c r="A308" s="5" t="s">
        <v>1015</v>
      </c>
      <c r="B308" s="5" t="s">
        <v>1304</v>
      </c>
      <c r="C308" s="5" t="s">
        <v>35</v>
      </c>
      <c r="D308" s="5" t="s">
        <v>1305</v>
      </c>
      <c r="E308" s="5" t="s">
        <v>1301</v>
      </c>
      <c r="F308" s="5" t="s">
        <v>1302</v>
      </c>
      <c r="G308" s="5" t="s">
        <v>1306</v>
      </c>
      <c r="H308" s="5" t="s">
        <v>12</v>
      </c>
      <c r="I308" s="5" t="s">
        <v>40</v>
      </c>
      <c r="J308" s="5" t="s">
        <v>41</v>
      </c>
      <c r="K308" s="5"/>
    </row>
    <row r="309" spans="1:11">
      <c r="A309" s="5" t="s">
        <v>1015</v>
      </c>
      <c r="B309" s="5" t="s">
        <v>1307</v>
      </c>
      <c r="C309" s="5" t="s">
        <v>35</v>
      </c>
      <c r="D309" s="5" t="s">
        <v>1308</v>
      </c>
      <c r="E309" s="5" t="s">
        <v>1301</v>
      </c>
      <c r="F309" s="5" t="s">
        <v>1302</v>
      </c>
      <c r="G309" s="5" t="s">
        <v>1309</v>
      </c>
      <c r="H309" s="5" t="s">
        <v>12</v>
      </c>
      <c r="I309" s="5" t="s">
        <v>40</v>
      </c>
      <c r="J309" s="5" t="s">
        <v>41</v>
      </c>
      <c r="K309" s="5"/>
    </row>
    <row r="310" spans="1:11">
      <c r="A310" s="5" t="s">
        <v>1015</v>
      </c>
      <c r="B310" s="5" t="s">
        <v>1310</v>
      </c>
      <c r="C310" s="5" t="s">
        <v>35</v>
      </c>
      <c r="D310" s="5" t="s">
        <v>1311</v>
      </c>
      <c r="E310" s="5" t="s">
        <v>1301</v>
      </c>
      <c r="F310" s="5" t="s">
        <v>1302</v>
      </c>
      <c r="G310" s="5" t="s">
        <v>1312</v>
      </c>
      <c r="H310" s="5" t="s">
        <v>12</v>
      </c>
      <c r="I310" s="5" t="s">
        <v>40</v>
      </c>
      <c r="J310" s="5" t="s">
        <v>41</v>
      </c>
      <c r="K310" s="5"/>
    </row>
    <row r="311" spans="1:11">
      <c r="A311" s="5" t="s">
        <v>1015</v>
      </c>
      <c r="B311" s="5" t="s">
        <v>1313</v>
      </c>
      <c r="C311" s="5" t="s">
        <v>35</v>
      </c>
      <c r="D311" s="5" t="s">
        <v>1314</v>
      </c>
      <c r="E311" s="5" t="s">
        <v>1301</v>
      </c>
      <c r="F311" s="5" t="s">
        <v>1302</v>
      </c>
      <c r="G311" s="5" t="s">
        <v>1315</v>
      </c>
      <c r="H311" s="5" t="s">
        <v>12</v>
      </c>
      <c r="I311" s="5" t="s">
        <v>40</v>
      </c>
      <c r="J311" s="5" t="s">
        <v>41</v>
      </c>
      <c r="K311" s="5"/>
    </row>
    <row r="312" spans="1:11">
      <c r="A312" s="5" t="s">
        <v>1015</v>
      </c>
      <c r="B312" s="5" t="s">
        <v>1316</v>
      </c>
      <c r="C312" s="5" t="s">
        <v>35</v>
      </c>
      <c r="D312" s="5" t="s">
        <v>1317</v>
      </c>
      <c r="E312" s="5" t="s">
        <v>1301</v>
      </c>
      <c r="F312" s="5" t="s">
        <v>1302</v>
      </c>
      <c r="G312" s="5" t="s">
        <v>1318</v>
      </c>
      <c r="H312" s="5" t="s">
        <v>12</v>
      </c>
      <c r="I312" s="5" t="s">
        <v>40</v>
      </c>
      <c r="J312" s="5" t="s">
        <v>41</v>
      </c>
      <c r="K312" s="5"/>
    </row>
    <row r="313" spans="1:11">
      <c r="A313" s="5" t="s">
        <v>1015</v>
      </c>
      <c r="B313" s="5" t="s">
        <v>1319</v>
      </c>
      <c r="C313" s="5" t="s">
        <v>35</v>
      </c>
      <c r="D313" s="5" t="s">
        <v>1320</v>
      </c>
      <c r="E313" s="5" t="s">
        <v>1321</v>
      </c>
      <c r="F313" s="5" t="s">
        <v>1302</v>
      </c>
      <c r="G313" s="5" t="s">
        <v>1322</v>
      </c>
      <c r="H313" s="5" t="s">
        <v>12</v>
      </c>
      <c r="I313" s="5" t="s">
        <v>40</v>
      </c>
      <c r="J313" s="5" t="s">
        <v>41</v>
      </c>
      <c r="K313" s="5"/>
    </row>
    <row r="314" spans="1:11">
      <c r="A314" s="5" t="s">
        <v>1015</v>
      </c>
      <c r="B314" s="5" t="s">
        <v>1323</v>
      </c>
      <c r="C314" s="5" t="s">
        <v>35</v>
      </c>
      <c r="D314" s="5" t="s">
        <v>1324</v>
      </c>
      <c r="E314" s="5" t="s">
        <v>1321</v>
      </c>
      <c r="F314" s="5" t="s">
        <v>1302</v>
      </c>
      <c r="G314" s="5" t="s">
        <v>1325</v>
      </c>
      <c r="H314" s="5" t="s">
        <v>12</v>
      </c>
      <c r="I314" s="5" t="s">
        <v>40</v>
      </c>
      <c r="J314" s="5" t="s">
        <v>41</v>
      </c>
      <c r="K314" s="5"/>
    </row>
    <row r="315" spans="1:11">
      <c r="A315" s="5" t="s">
        <v>1015</v>
      </c>
      <c r="B315" s="5" t="s">
        <v>1326</v>
      </c>
      <c r="C315" s="5" t="s">
        <v>35</v>
      </c>
      <c r="D315" s="5" t="s">
        <v>1327</v>
      </c>
      <c r="E315" s="5" t="s">
        <v>1321</v>
      </c>
      <c r="F315" s="5" t="s">
        <v>1302</v>
      </c>
      <c r="G315" s="5" t="s">
        <v>1328</v>
      </c>
      <c r="H315" s="5" t="s">
        <v>12</v>
      </c>
      <c r="I315" s="5" t="s">
        <v>40</v>
      </c>
      <c r="J315" s="5" t="s">
        <v>41</v>
      </c>
      <c r="K315" s="5"/>
    </row>
    <row r="316" spans="1:11">
      <c r="A316" s="5" t="s">
        <v>1015</v>
      </c>
      <c r="B316" s="5" t="s">
        <v>1329</v>
      </c>
      <c r="C316" s="5" t="s">
        <v>35</v>
      </c>
      <c r="D316" s="5" t="s">
        <v>1330</v>
      </c>
      <c r="E316" s="5" t="s">
        <v>1321</v>
      </c>
      <c r="F316" s="5" t="s">
        <v>1302</v>
      </c>
      <c r="G316" s="5" t="s">
        <v>1331</v>
      </c>
      <c r="H316" s="5" t="s">
        <v>12</v>
      </c>
      <c r="I316" s="5" t="s">
        <v>40</v>
      </c>
      <c r="J316" s="5" t="s">
        <v>41</v>
      </c>
      <c r="K316" s="5"/>
    </row>
    <row r="317" spans="1:11">
      <c r="A317" s="5" t="s">
        <v>1015</v>
      </c>
      <c r="B317" s="5" t="s">
        <v>1332</v>
      </c>
      <c r="C317" s="5" t="s">
        <v>35</v>
      </c>
      <c r="D317" s="5" t="s">
        <v>1333</v>
      </c>
      <c r="E317" s="5" t="s">
        <v>1321</v>
      </c>
      <c r="F317" s="5" t="s">
        <v>1302</v>
      </c>
      <c r="G317" s="5" t="s">
        <v>1334</v>
      </c>
      <c r="H317" s="5" t="s">
        <v>12</v>
      </c>
      <c r="I317" s="5" t="s">
        <v>40</v>
      </c>
      <c r="J317" s="5" t="s">
        <v>41</v>
      </c>
      <c r="K317" s="5"/>
    </row>
    <row r="318" spans="1:11">
      <c r="A318" s="5" t="s">
        <v>1015</v>
      </c>
      <c r="B318" s="5" t="s">
        <v>1335</v>
      </c>
      <c r="C318" s="5" t="s">
        <v>35</v>
      </c>
      <c r="D318" s="5" t="s">
        <v>1336</v>
      </c>
      <c r="E318" s="5" t="s">
        <v>1337</v>
      </c>
      <c r="F318" s="5" t="s">
        <v>1005</v>
      </c>
      <c r="G318" s="5" t="s">
        <v>1338</v>
      </c>
      <c r="H318" s="5" t="s">
        <v>12</v>
      </c>
      <c r="I318" s="5" t="s">
        <v>40</v>
      </c>
      <c r="J318" s="5" t="s">
        <v>41</v>
      </c>
      <c r="K318" s="5"/>
    </row>
    <row r="319" spans="1:11">
      <c r="A319" s="5" t="s">
        <v>1015</v>
      </c>
      <c r="B319" s="5" t="s">
        <v>1339</v>
      </c>
      <c r="C319" s="5" t="s">
        <v>35</v>
      </c>
      <c r="D319" s="5" t="s">
        <v>1340</v>
      </c>
      <c r="E319" s="5" t="s">
        <v>1321</v>
      </c>
      <c r="F319" s="5" t="s">
        <v>1302</v>
      </c>
      <c r="G319" s="5" t="s">
        <v>1341</v>
      </c>
      <c r="H319" s="5" t="s">
        <v>12</v>
      </c>
      <c r="I319" s="5" t="s">
        <v>40</v>
      </c>
      <c r="J319" s="5" t="s">
        <v>41</v>
      </c>
      <c r="K319" s="5"/>
    </row>
    <row r="320" spans="1:11">
      <c r="A320" s="5" t="s">
        <v>1015</v>
      </c>
      <c r="B320" s="5" t="s">
        <v>1342</v>
      </c>
      <c r="C320" s="5" t="s">
        <v>35</v>
      </c>
      <c r="D320" s="5" t="s">
        <v>1343</v>
      </c>
      <c r="E320" s="5" t="s">
        <v>1344</v>
      </c>
      <c r="F320" s="5" t="s">
        <v>1345</v>
      </c>
      <c r="G320" s="5" t="s">
        <v>1346</v>
      </c>
      <c r="H320" s="5" t="s">
        <v>12</v>
      </c>
      <c r="I320" s="5" t="s">
        <v>40</v>
      </c>
      <c r="J320" s="5" t="s">
        <v>41</v>
      </c>
      <c r="K320" s="5"/>
    </row>
    <row r="321" spans="1:11">
      <c r="A321" s="5" t="s">
        <v>1015</v>
      </c>
      <c r="B321" s="5" t="s">
        <v>1347</v>
      </c>
      <c r="C321" s="5" t="s">
        <v>35</v>
      </c>
      <c r="D321" s="5" t="s">
        <v>1348</v>
      </c>
      <c r="E321" s="5" t="s">
        <v>1349</v>
      </c>
      <c r="F321" s="5" t="s">
        <v>1345</v>
      </c>
      <c r="G321" s="5" t="s">
        <v>1350</v>
      </c>
      <c r="H321" s="5" t="s">
        <v>12</v>
      </c>
      <c r="I321" s="5" t="s">
        <v>40</v>
      </c>
      <c r="J321" s="5" t="s">
        <v>41</v>
      </c>
      <c r="K321" s="5"/>
    </row>
    <row r="322" spans="1:11">
      <c r="A322" s="5" t="s">
        <v>1015</v>
      </c>
      <c r="B322" s="5" t="s">
        <v>1351</v>
      </c>
      <c r="C322" s="5" t="s">
        <v>35</v>
      </c>
      <c r="D322" s="5" t="s">
        <v>1352</v>
      </c>
      <c r="E322" s="5" t="s">
        <v>1353</v>
      </c>
      <c r="F322" s="5" t="s">
        <v>1028</v>
      </c>
      <c r="G322" s="5" t="s">
        <v>1354</v>
      </c>
      <c r="H322" s="5" t="s">
        <v>12</v>
      </c>
      <c r="I322" s="5" t="s">
        <v>40</v>
      </c>
      <c r="J322" s="5" t="s">
        <v>41</v>
      </c>
      <c r="K322" s="5"/>
    </row>
    <row r="323" spans="1:11">
      <c r="A323" s="5" t="s">
        <v>1015</v>
      </c>
      <c r="B323" s="5" t="s">
        <v>1355</v>
      </c>
      <c r="C323" s="5" t="s">
        <v>35</v>
      </c>
      <c r="D323" s="5" t="s">
        <v>1356</v>
      </c>
      <c r="E323" s="5" t="s">
        <v>1357</v>
      </c>
      <c r="F323" s="5" t="s">
        <v>1028</v>
      </c>
      <c r="G323" s="5" t="s">
        <v>1358</v>
      </c>
      <c r="H323" s="5" t="s">
        <v>12</v>
      </c>
      <c r="I323" s="5" t="s">
        <v>40</v>
      </c>
      <c r="J323" s="5" t="s">
        <v>41</v>
      </c>
      <c r="K323" s="5"/>
    </row>
    <row r="324" spans="1:11">
      <c r="A324" s="5" t="s">
        <v>1015</v>
      </c>
      <c r="B324" s="5" t="s">
        <v>1359</v>
      </c>
      <c r="C324" s="5" t="s">
        <v>35</v>
      </c>
      <c r="D324" s="5" t="s">
        <v>1360</v>
      </c>
      <c r="E324" s="5" t="s">
        <v>1361</v>
      </c>
      <c r="F324" s="5" t="s">
        <v>1028</v>
      </c>
      <c r="G324" s="5" t="s">
        <v>1362</v>
      </c>
      <c r="H324" s="5" t="s">
        <v>12</v>
      </c>
      <c r="I324" s="5" t="s">
        <v>40</v>
      </c>
      <c r="J324" s="5" t="s">
        <v>41</v>
      </c>
      <c r="K324" s="5"/>
    </row>
    <row r="325" spans="1:11">
      <c r="A325" s="5" t="s">
        <v>1015</v>
      </c>
      <c r="B325" s="5" t="s">
        <v>1363</v>
      </c>
      <c r="C325" s="5" t="s">
        <v>35</v>
      </c>
      <c r="D325" s="5" t="s">
        <v>1364</v>
      </c>
      <c r="E325" s="5" t="s">
        <v>1365</v>
      </c>
      <c r="F325" s="5" t="s">
        <v>1366</v>
      </c>
      <c r="G325" s="5" t="s">
        <v>1367</v>
      </c>
      <c r="H325" s="5" t="s">
        <v>12</v>
      </c>
      <c r="I325" s="5" t="s">
        <v>40</v>
      </c>
      <c r="J325" s="5" t="s">
        <v>41</v>
      </c>
      <c r="K325" s="5"/>
    </row>
    <row r="326" spans="1:11">
      <c r="A326" s="5" t="s">
        <v>1015</v>
      </c>
      <c r="B326" s="5" t="s">
        <v>1368</v>
      </c>
      <c r="C326" s="5" t="s">
        <v>35</v>
      </c>
      <c r="D326" s="5" t="s">
        <v>1369</v>
      </c>
      <c r="E326" s="5" t="s">
        <v>1370</v>
      </c>
      <c r="F326" s="5" t="s">
        <v>1028</v>
      </c>
      <c r="G326" s="5" t="s">
        <v>1371</v>
      </c>
      <c r="H326" s="5" t="s">
        <v>12</v>
      </c>
      <c r="I326" s="5" t="s">
        <v>40</v>
      </c>
      <c r="J326" s="5" t="s">
        <v>41</v>
      </c>
      <c r="K326" s="5"/>
    </row>
    <row r="327" spans="1:11">
      <c r="A327" s="5" t="s">
        <v>1015</v>
      </c>
      <c r="B327" s="5" t="s">
        <v>1372</v>
      </c>
      <c r="C327" s="5" t="s">
        <v>35</v>
      </c>
      <c r="D327" s="5" t="s">
        <v>1373</v>
      </c>
      <c r="E327" s="5" t="s">
        <v>1374</v>
      </c>
      <c r="F327" s="5" t="s">
        <v>1028</v>
      </c>
      <c r="G327" s="5" t="s">
        <v>1375</v>
      </c>
      <c r="H327" s="5" t="s">
        <v>12</v>
      </c>
      <c r="I327" s="5" t="s">
        <v>40</v>
      </c>
      <c r="J327" s="5" t="s">
        <v>41</v>
      </c>
      <c r="K327" s="5"/>
    </row>
    <row r="328" spans="1:11">
      <c r="A328" s="5" t="s">
        <v>1015</v>
      </c>
      <c r="B328" s="5" t="s">
        <v>1376</v>
      </c>
      <c r="C328" s="5" t="s">
        <v>35</v>
      </c>
      <c r="D328" s="5" t="s">
        <v>1377</v>
      </c>
      <c r="E328" s="5" t="s">
        <v>1378</v>
      </c>
      <c r="F328" s="5" t="s">
        <v>1028</v>
      </c>
      <c r="G328" s="5" t="s">
        <v>1379</v>
      </c>
      <c r="H328" s="5" t="s">
        <v>12</v>
      </c>
      <c r="I328" s="5" t="s">
        <v>40</v>
      </c>
      <c r="J328" s="5" t="s">
        <v>41</v>
      </c>
      <c r="K328" s="5"/>
    </row>
    <row r="329" spans="1:11">
      <c r="A329" s="5" t="s">
        <v>1015</v>
      </c>
      <c r="B329" s="5" t="s">
        <v>1380</v>
      </c>
      <c r="C329" s="5" t="s">
        <v>35</v>
      </c>
      <c r="D329" s="5" t="s">
        <v>1381</v>
      </c>
      <c r="E329" s="5" t="s">
        <v>1382</v>
      </c>
      <c r="F329" s="5" t="s">
        <v>1383</v>
      </c>
      <c r="G329" s="5" t="s">
        <v>1384</v>
      </c>
      <c r="H329" s="5" t="s">
        <v>12</v>
      </c>
      <c r="I329" s="5" t="s">
        <v>40</v>
      </c>
      <c r="J329" s="5" t="s">
        <v>41</v>
      </c>
      <c r="K329" s="5"/>
    </row>
    <row r="330" spans="1:11">
      <c r="A330" s="5" t="s">
        <v>1015</v>
      </c>
      <c r="B330" s="5" t="s">
        <v>1385</v>
      </c>
      <c r="C330" s="5" t="s">
        <v>35</v>
      </c>
      <c r="D330" s="5" t="s">
        <v>1386</v>
      </c>
      <c r="E330" s="5" t="s">
        <v>1387</v>
      </c>
      <c r="F330" s="5" t="s">
        <v>1028</v>
      </c>
      <c r="G330" s="5" t="s">
        <v>1388</v>
      </c>
      <c r="H330" s="5" t="s">
        <v>12</v>
      </c>
      <c r="I330" s="5" t="s">
        <v>40</v>
      </c>
      <c r="J330" s="5" t="s">
        <v>41</v>
      </c>
      <c r="K330" s="5"/>
    </row>
    <row r="331" spans="1:11">
      <c r="A331" s="5" t="s">
        <v>1015</v>
      </c>
      <c r="B331" s="5" t="s">
        <v>1389</v>
      </c>
      <c r="C331" s="5" t="s">
        <v>35</v>
      </c>
      <c r="D331" s="5" t="s">
        <v>1390</v>
      </c>
      <c r="E331" s="5" t="s">
        <v>1391</v>
      </c>
      <c r="F331" s="5" t="s">
        <v>1028</v>
      </c>
      <c r="G331" s="5" t="s">
        <v>1392</v>
      </c>
      <c r="H331" s="5" t="s">
        <v>12</v>
      </c>
      <c r="I331" s="5" t="s">
        <v>40</v>
      </c>
      <c r="J331" s="5" t="s">
        <v>41</v>
      </c>
      <c r="K331" s="5"/>
    </row>
    <row r="332" spans="1:11">
      <c r="A332" s="5" t="s">
        <v>1015</v>
      </c>
      <c r="B332" s="5" t="s">
        <v>1393</v>
      </c>
      <c r="C332" s="5" t="s">
        <v>35</v>
      </c>
      <c r="D332" s="5" t="s">
        <v>1394</v>
      </c>
      <c r="E332" s="5" t="s">
        <v>1395</v>
      </c>
      <c r="F332" s="5" t="s">
        <v>1028</v>
      </c>
      <c r="G332" s="5" t="s">
        <v>1396</v>
      </c>
      <c r="H332" s="5" t="s">
        <v>12</v>
      </c>
      <c r="I332" s="5" t="s">
        <v>40</v>
      </c>
      <c r="J332" s="5" t="s">
        <v>41</v>
      </c>
      <c r="K332" s="5"/>
    </row>
    <row r="333" spans="1:11">
      <c r="A333" s="5" t="s">
        <v>1015</v>
      </c>
      <c r="B333" s="5" t="s">
        <v>1397</v>
      </c>
      <c r="C333" s="5" t="s">
        <v>35</v>
      </c>
      <c r="D333" s="5" t="s">
        <v>1398</v>
      </c>
      <c r="E333" s="5" t="s">
        <v>1399</v>
      </c>
      <c r="F333" s="5" t="s">
        <v>1028</v>
      </c>
      <c r="G333" s="5" t="s">
        <v>1400</v>
      </c>
      <c r="H333" s="5" t="s">
        <v>12</v>
      </c>
      <c r="I333" s="5" t="s">
        <v>40</v>
      </c>
      <c r="J333" s="5" t="s">
        <v>41</v>
      </c>
      <c r="K333" s="5"/>
    </row>
    <row r="334" spans="1:11">
      <c r="A334" s="5" t="s">
        <v>1015</v>
      </c>
      <c r="B334" s="5" t="s">
        <v>1401</v>
      </c>
      <c r="C334" s="5" t="s">
        <v>35</v>
      </c>
      <c r="D334" s="5" t="s">
        <v>1402</v>
      </c>
      <c r="E334" s="5" t="s">
        <v>1403</v>
      </c>
      <c r="F334" s="5" t="s">
        <v>1383</v>
      </c>
      <c r="G334" s="5" t="s">
        <v>1404</v>
      </c>
      <c r="H334" s="5" t="s">
        <v>12</v>
      </c>
      <c r="I334" s="5" t="s">
        <v>40</v>
      </c>
      <c r="J334" s="5" t="s">
        <v>41</v>
      </c>
      <c r="K334" s="5"/>
    </row>
    <row r="335" spans="1:11">
      <c r="A335" s="5" t="s">
        <v>1015</v>
      </c>
      <c r="B335" s="5" t="s">
        <v>1405</v>
      </c>
      <c r="C335" s="5" t="s">
        <v>35</v>
      </c>
      <c r="D335" s="5" t="s">
        <v>1406</v>
      </c>
      <c r="E335" s="5" t="s">
        <v>1407</v>
      </c>
      <c r="F335" s="5" t="s">
        <v>1383</v>
      </c>
      <c r="G335" s="5" t="s">
        <v>1408</v>
      </c>
      <c r="H335" s="5" t="s">
        <v>12</v>
      </c>
      <c r="I335" s="5" t="s">
        <v>40</v>
      </c>
      <c r="J335" s="5" t="s">
        <v>41</v>
      </c>
      <c r="K335" s="5"/>
    </row>
    <row r="336" spans="1:11">
      <c r="A336" s="5" t="s">
        <v>1015</v>
      </c>
      <c r="B336" s="5" t="s">
        <v>1409</v>
      </c>
      <c r="C336" s="5" t="s">
        <v>35</v>
      </c>
      <c r="D336" s="5" t="s">
        <v>1410</v>
      </c>
      <c r="E336" s="5" t="s">
        <v>1411</v>
      </c>
      <c r="F336" s="5" t="s">
        <v>1383</v>
      </c>
      <c r="G336" s="5" t="s">
        <v>1412</v>
      </c>
      <c r="H336" s="5" t="s">
        <v>12</v>
      </c>
      <c r="I336" s="5" t="s">
        <v>40</v>
      </c>
      <c r="J336" s="5" t="s">
        <v>41</v>
      </c>
      <c r="K336" s="5"/>
    </row>
    <row r="337" spans="1:11">
      <c r="A337" s="5" t="s">
        <v>1015</v>
      </c>
      <c r="B337" s="5" t="s">
        <v>1413</v>
      </c>
      <c r="C337" s="5" t="s">
        <v>35</v>
      </c>
      <c r="D337" s="5" t="s">
        <v>1414</v>
      </c>
      <c r="E337" s="5" t="s">
        <v>1415</v>
      </c>
      <c r="F337" s="5" t="s">
        <v>1383</v>
      </c>
      <c r="G337" s="5" t="s">
        <v>1416</v>
      </c>
      <c r="H337" s="5" t="s">
        <v>12</v>
      </c>
      <c r="I337" s="5" t="s">
        <v>40</v>
      </c>
      <c r="J337" s="5" t="s">
        <v>41</v>
      </c>
      <c r="K337" s="5"/>
    </row>
    <row r="338" spans="1:11">
      <c r="A338" s="5" t="s">
        <v>1015</v>
      </c>
      <c r="B338" s="5" t="s">
        <v>1417</v>
      </c>
      <c r="C338" s="5" t="s">
        <v>35</v>
      </c>
      <c r="D338" s="5" t="s">
        <v>1418</v>
      </c>
      <c r="E338" s="5" t="s">
        <v>1419</v>
      </c>
      <c r="F338" s="5" t="s">
        <v>1383</v>
      </c>
      <c r="G338" s="5" t="s">
        <v>1420</v>
      </c>
      <c r="H338" s="5" t="s">
        <v>12</v>
      </c>
      <c r="I338" s="5" t="s">
        <v>40</v>
      </c>
      <c r="J338" s="5" t="s">
        <v>41</v>
      </c>
      <c r="K338" s="5"/>
    </row>
    <row r="339" spans="1:11">
      <c r="A339" s="5" t="s">
        <v>1015</v>
      </c>
      <c r="B339" s="5" t="s">
        <v>1421</v>
      </c>
      <c r="C339" s="5" t="s">
        <v>35</v>
      </c>
      <c r="D339" s="5" t="s">
        <v>1422</v>
      </c>
      <c r="E339" s="5" t="s">
        <v>1423</v>
      </c>
      <c r="F339" s="5" t="s">
        <v>1383</v>
      </c>
      <c r="G339" s="5" t="s">
        <v>1424</v>
      </c>
      <c r="H339" s="5" t="s">
        <v>12</v>
      </c>
      <c r="I339" s="5" t="s">
        <v>40</v>
      </c>
      <c r="J339" s="5" t="s">
        <v>41</v>
      </c>
      <c r="K339" s="5"/>
    </row>
    <row r="340" spans="1:11">
      <c r="A340" s="5" t="s">
        <v>1015</v>
      </c>
      <c r="B340" s="5" t="s">
        <v>1425</v>
      </c>
      <c r="C340" s="5" t="s">
        <v>35</v>
      </c>
      <c r="D340" s="5" t="s">
        <v>1426</v>
      </c>
      <c r="E340" s="5" t="s">
        <v>1427</v>
      </c>
      <c r="F340" s="5" t="s">
        <v>1383</v>
      </c>
      <c r="G340" s="5" t="s">
        <v>1428</v>
      </c>
      <c r="H340" s="5" t="s">
        <v>12</v>
      </c>
      <c r="I340" s="5" t="s">
        <v>40</v>
      </c>
      <c r="J340" s="5" t="s">
        <v>41</v>
      </c>
      <c r="K340" s="5"/>
    </row>
    <row r="341" spans="1:11">
      <c r="A341" s="5" t="s">
        <v>1015</v>
      </c>
      <c r="B341" s="5" t="s">
        <v>1429</v>
      </c>
      <c r="C341" s="5" t="s">
        <v>35</v>
      </c>
      <c r="D341" s="5" t="s">
        <v>1430</v>
      </c>
      <c r="E341" s="5" t="s">
        <v>1431</v>
      </c>
      <c r="F341" s="5" t="s">
        <v>1383</v>
      </c>
      <c r="G341" s="5" t="s">
        <v>1432</v>
      </c>
      <c r="H341" s="5" t="s">
        <v>12</v>
      </c>
      <c r="I341" s="5" t="s">
        <v>40</v>
      </c>
      <c r="J341" s="5" t="s">
        <v>41</v>
      </c>
      <c r="K341" s="5"/>
    </row>
    <row r="342" spans="1:11">
      <c r="A342" s="5" t="s">
        <v>1015</v>
      </c>
      <c r="B342" s="5" t="s">
        <v>1433</v>
      </c>
      <c r="C342" s="5" t="s">
        <v>35</v>
      </c>
      <c r="D342" s="5" t="s">
        <v>1434</v>
      </c>
      <c r="E342" s="5" t="s">
        <v>1435</v>
      </c>
      <c r="F342" s="5" t="s">
        <v>1436</v>
      </c>
      <c r="G342" s="5" t="s">
        <v>1437</v>
      </c>
      <c r="H342" s="5" t="s">
        <v>12</v>
      </c>
      <c r="I342" s="5" t="s">
        <v>40</v>
      </c>
      <c r="J342" s="5" t="s">
        <v>41</v>
      </c>
      <c r="K342" s="5"/>
    </row>
    <row r="343" spans="1:11">
      <c r="A343" s="5" t="s">
        <v>1015</v>
      </c>
      <c r="B343" s="5" t="s">
        <v>1438</v>
      </c>
      <c r="C343" s="5" t="s">
        <v>35</v>
      </c>
      <c r="D343" s="5" t="s">
        <v>1439</v>
      </c>
      <c r="E343" s="5" t="s">
        <v>1435</v>
      </c>
      <c r="F343" s="5" t="s">
        <v>1436</v>
      </c>
      <c r="G343" s="5" t="s">
        <v>1440</v>
      </c>
      <c r="H343" s="5" t="s">
        <v>12</v>
      </c>
      <c r="I343" s="5" t="s">
        <v>40</v>
      </c>
      <c r="J343" s="5" t="s">
        <v>41</v>
      </c>
      <c r="K343" s="5"/>
    </row>
    <row r="344" spans="1:11">
      <c r="A344" s="5" t="s">
        <v>1015</v>
      </c>
      <c r="B344" s="5" t="s">
        <v>1441</v>
      </c>
      <c r="C344" s="5" t="s">
        <v>35</v>
      </c>
      <c r="D344" s="5" t="s">
        <v>1442</v>
      </c>
      <c r="E344" s="5" t="s">
        <v>1435</v>
      </c>
      <c r="F344" s="5" t="s">
        <v>1436</v>
      </c>
      <c r="G344" s="5" t="s">
        <v>1443</v>
      </c>
      <c r="H344" s="5" t="s">
        <v>12</v>
      </c>
      <c r="I344" s="5" t="s">
        <v>40</v>
      </c>
      <c r="J344" s="5" t="s">
        <v>41</v>
      </c>
      <c r="K344" s="5"/>
    </row>
    <row r="345" spans="1:11">
      <c r="A345" s="5" t="s">
        <v>1015</v>
      </c>
      <c r="B345" s="5" t="s">
        <v>1444</v>
      </c>
      <c r="C345" s="5" t="s">
        <v>35</v>
      </c>
      <c r="D345" s="5" t="s">
        <v>1445</v>
      </c>
      <c r="E345" s="5" t="s">
        <v>1435</v>
      </c>
      <c r="F345" s="5" t="s">
        <v>1436</v>
      </c>
      <c r="G345" s="5" t="s">
        <v>1446</v>
      </c>
      <c r="H345" s="5" t="s">
        <v>12</v>
      </c>
      <c r="I345" s="5" t="s">
        <v>40</v>
      </c>
      <c r="J345" s="5" t="s">
        <v>41</v>
      </c>
      <c r="K345" s="5"/>
    </row>
    <row r="346" spans="1:11">
      <c r="A346" s="5" t="s">
        <v>1015</v>
      </c>
      <c r="B346" s="5" t="s">
        <v>1447</v>
      </c>
      <c r="C346" s="5" t="s">
        <v>35</v>
      </c>
      <c r="D346" s="5" t="s">
        <v>1448</v>
      </c>
      <c r="E346" s="5" t="s">
        <v>1435</v>
      </c>
      <c r="F346" s="5" t="s">
        <v>1436</v>
      </c>
      <c r="G346" s="5" t="s">
        <v>1449</v>
      </c>
      <c r="H346" s="5" t="s">
        <v>12</v>
      </c>
      <c r="I346" s="5" t="s">
        <v>40</v>
      </c>
      <c r="J346" s="5" t="s">
        <v>41</v>
      </c>
      <c r="K346" s="5"/>
    </row>
    <row r="347" spans="1:11">
      <c r="A347" s="5" t="s">
        <v>1015</v>
      </c>
      <c r="B347" s="5" t="s">
        <v>1450</v>
      </c>
      <c r="C347" s="5" t="s">
        <v>35</v>
      </c>
      <c r="D347" s="5" t="s">
        <v>1451</v>
      </c>
      <c r="E347" s="5" t="s">
        <v>1452</v>
      </c>
      <c r="F347" s="5" t="s">
        <v>1198</v>
      </c>
      <c r="G347" s="5" t="s">
        <v>1453</v>
      </c>
      <c r="H347" s="5" t="s">
        <v>12</v>
      </c>
      <c r="I347" s="5" t="s">
        <v>40</v>
      </c>
      <c r="J347" s="5" t="s">
        <v>41</v>
      </c>
      <c r="K347" s="5"/>
    </row>
    <row r="348" spans="1:11">
      <c r="A348" s="5" t="s">
        <v>1015</v>
      </c>
      <c r="B348" s="5" t="s">
        <v>1454</v>
      </c>
      <c r="C348" s="5" t="s">
        <v>35</v>
      </c>
      <c r="D348" s="5" t="s">
        <v>1455</v>
      </c>
      <c r="E348" s="5" t="s">
        <v>1456</v>
      </c>
      <c r="F348" s="5" t="s">
        <v>1198</v>
      </c>
      <c r="G348" s="5" t="s">
        <v>1457</v>
      </c>
      <c r="H348" s="5" t="s">
        <v>12</v>
      </c>
      <c r="I348" s="5" t="s">
        <v>40</v>
      </c>
      <c r="J348" s="5" t="s">
        <v>41</v>
      </c>
      <c r="K348" s="5"/>
    </row>
    <row r="349" spans="1:11">
      <c r="A349" s="5" t="s">
        <v>1015</v>
      </c>
      <c r="B349" s="5" t="s">
        <v>1458</v>
      </c>
      <c r="C349" s="5" t="s">
        <v>35</v>
      </c>
      <c r="D349" s="5" t="s">
        <v>1459</v>
      </c>
      <c r="E349" s="5" t="s">
        <v>1460</v>
      </c>
      <c r="F349" s="5" t="s">
        <v>1198</v>
      </c>
      <c r="G349" s="5" t="s">
        <v>1461</v>
      </c>
      <c r="H349" s="5" t="s">
        <v>12</v>
      </c>
      <c r="I349" s="5" t="s">
        <v>40</v>
      </c>
      <c r="J349" s="5" t="s">
        <v>41</v>
      </c>
      <c r="K349" s="5"/>
    </row>
    <row r="350" spans="1:11">
      <c r="A350" s="5" t="s">
        <v>1015</v>
      </c>
      <c r="B350" s="5" t="s">
        <v>1462</v>
      </c>
      <c r="C350" s="5" t="s">
        <v>35</v>
      </c>
      <c r="D350" s="5" t="s">
        <v>1463</v>
      </c>
      <c r="E350" s="5" t="s">
        <v>1460</v>
      </c>
      <c r="F350" s="5" t="s">
        <v>1198</v>
      </c>
      <c r="G350" s="5" t="s">
        <v>1464</v>
      </c>
      <c r="H350" s="5" t="s">
        <v>12</v>
      </c>
      <c r="I350" s="5" t="s">
        <v>40</v>
      </c>
      <c r="J350" s="5" t="s">
        <v>41</v>
      </c>
      <c r="K350" s="5"/>
    </row>
    <row r="351" spans="1:11">
      <c r="A351" s="5" t="s">
        <v>1015</v>
      </c>
      <c r="B351" s="5" t="s">
        <v>1465</v>
      </c>
      <c r="C351" s="5" t="s">
        <v>35</v>
      </c>
      <c r="D351" s="5" t="s">
        <v>1466</v>
      </c>
      <c r="E351" s="5" t="s">
        <v>1467</v>
      </c>
      <c r="F351" s="5" t="s">
        <v>1203</v>
      </c>
      <c r="G351" s="5" t="s">
        <v>1468</v>
      </c>
      <c r="H351" s="5" t="s">
        <v>12</v>
      </c>
      <c r="I351" s="5" t="s">
        <v>40</v>
      </c>
      <c r="J351" s="5" t="s">
        <v>41</v>
      </c>
      <c r="K351" s="5"/>
    </row>
    <row r="352" spans="1:11">
      <c r="A352" s="5" t="s">
        <v>1015</v>
      </c>
      <c r="B352" s="5" t="s">
        <v>1469</v>
      </c>
      <c r="C352" s="5" t="s">
        <v>35</v>
      </c>
      <c r="D352" s="5" t="s">
        <v>1470</v>
      </c>
      <c r="E352" s="5" t="s">
        <v>1471</v>
      </c>
      <c r="F352" s="5" t="s">
        <v>1028</v>
      </c>
      <c r="G352" s="5" t="s">
        <v>1472</v>
      </c>
      <c r="H352" s="5" t="s">
        <v>12</v>
      </c>
      <c r="I352" s="5" t="s">
        <v>40</v>
      </c>
      <c r="J352" s="5" t="s">
        <v>41</v>
      </c>
      <c r="K352" s="5"/>
    </row>
    <row r="353" spans="1:11">
      <c r="A353" s="5" t="s">
        <v>1015</v>
      </c>
      <c r="B353" s="5" t="s">
        <v>1473</v>
      </c>
      <c r="C353" s="5" t="s">
        <v>35</v>
      </c>
      <c r="D353" s="5" t="s">
        <v>1474</v>
      </c>
      <c r="E353" s="5" t="s">
        <v>1475</v>
      </c>
      <c r="F353" s="5" t="s">
        <v>1198</v>
      </c>
      <c r="G353" s="5" t="s">
        <v>1476</v>
      </c>
      <c r="H353" s="5" t="s">
        <v>12</v>
      </c>
      <c r="I353" s="5" t="s">
        <v>40</v>
      </c>
      <c r="J353" s="5" t="s">
        <v>41</v>
      </c>
      <c r="K353" s="5"/>
    </row>
    <row r="354" spans="1:11">
      <c r="A354" s="5" t="s">
        <v>1015</v>
      </c>
      <c r="B354" s="5" t="s">
        <v>1477</v>
      </c>
      <c r="C354" s="5" t="s">
        <v>35</v>
      </c>
      <c r="D354" s="5" t="s">
        <v>1478</v>
      </c>
      <c r="E354" s="5" t="s">
        <v>1479</v>
      </c>
      <c r="F354" s="5" t="s">
        <v>1198</v>
      </c>
      <c r="G354" s="5" t="s">
        <v>1480</v>
      </c>
      <c r="H354" s="5" t="s">
        <v>12</v>
      </c>
      <c r="I354" s="5" t="s">
        <v>40</v>
      </c>
      <c r="J354" s="5" t="s">
        <v>41</v>
      </c>
      <c r="K354" s="5"/>
    </row>
    <row r="355" spans="1:11">
      <c r="A355" s="5" t="s">
        <v>1015</v>
      </c>
      <c r="B355" s="5" t="s">
        <v>1481</v>
      </c>
      <c r="C355" s="5" t="s">
        <v>35</v>
      </c>
      <c r="D355" s="5" t="s">
        <v>1482</v>
      </c>
      <c r="E355" s="5" t="s">
        <v>1483</v>
      </c>
      <c r="F355" s="5" t="s">
        <v>1484</v>
      </c>
      <c r="G355" s="5" t="s">
        <v>1485</v>
      </c>
      <c r="H355" s="5" t="s">
        <v>12</v>
      </c>
      <c r="I355" s="5" t="s">
        <v>40</v>
      </c>
      <c r="J355" s="5" t="s">
        <v>41</v>
      </c>
      <c r="K355" s="5"/>
    </row>
    <row r="356" spans="1:11">
      <c r="A356" s="5" t="s">
        <v>1015</v>
      </c>
      <c r="B356" s="5" t="s">
        <v>1486</v>
      </c>
      <c r="C356" s="5" t="s">
        <v>35</v>
      </c>
      <c r="D356" s="5" t="s">
        <v>1487</v>
      </c>
      <c r="E356" s="5" t="s">
        <v>1488</v>
      </c>
      <c r="F356" s="5" t="s">
        <v>1175</v>
      </c>
      <c r="G356" s="5" t="s">
        <v>1489</v>
      </c>
      <c r="H356" s="5" t="s">
        <v>12</v>
      </c>
      <c r="I356" s="5" t="s">
        <v>40</v>
      </c>
      <c r="J356" s="5" t="s">
        <v>41</v>
      </c>
      <c r="K356" s="5"/>
    </row>
    <row r="357" spans="1:11">
      <c r="A357" s="5" t="s">
        <v>1015</v>
      </c>
      <c r="B357" s="5" t="s">
        <v>1490</v>
      </c>
      <c r="C357" s="5" t="s">
        <v>35</v>
      </c>
      <c r="D357" s="5" t="s">
        <v>1491</v>
      </c>
      <c r="E357" s="5" t="s">
        <v>1492</v>
      </c>
      <c r="F357" s="5" t="s">
        <v>1493</v>
      </c>
      <c r="G357" s="5" t="s">
        <v>1494</v>
      </c>
      <c r="H357" s="5" t="s">
        <v>12</v>
      </c>
      <c r="I357" s="5" t="s">
        <v>40</v>
      </c>
      <c r="J357" s="5" t="s">
        <v>41</v>
      </c>
      <c r="K357" s="5"/>
    </row>
    <row r="358" spans="1:11">
      <c r="A358" s="5" t="s">
        <v>1015</v>
      </c>
      <c r="B358" s="5" t="s">
        <v>1495</v>
      </c>
      <c r="C358" s="5" t="s">
        <v>35</v>
      </c>
      <c r="D358" s="5" t="s">
        <v>1496</v>
      </c>
      <c r="E358" s="5" t="s">
        <v>1497</v>
      </c>
      <c r="F358" s="5" t="s">
        <v>1493</v>
      </c>
      <c r="G358" s="5" t="s">
        <v>1498</v>
      </c>
      <c r="H358" s="5" t="s">
        <v>12</v>
      </c>
      <c r="I358" s="5" t="s">
        <v>40</v>
      </c>
      <c r="J358" s="5" t="s">
        <v>41</v>
      </c>
      <c r="K358" s="5"/>
    </row>
    <row r="359" spans="1:11">
      <c r="A359" s="5" t="s">
        <v>1015</v>
      </c>
      <c r="B359" s="5" t="s">
        <v>1499</v>
      </c>
      <c r="C359" s="5" t="s">
        <v>35</v>
      </c>
      <c r="D359" s="5" t="s">
        <v>1500</v>
      </c>
      <c r="E359" s="5" t="s">
        <v>1501</v>
      </c>
      <c r="F359" s="5" t="s">
        <v>1493</v>
      </c>
      <c r="G359" s="5" t="s">
        <v>1502</v>
      </c>
      <c r="H359" s="5" t="s">
        <v>12</v>
      </c>
      <c r="I359" s="5" t="s">
        <v>40</v>
      </c>
      <c r="J359" s="5" t="s">
        <v>41</v>
      </c>
      <c r="K359" s="5"/>
    </row>
    <row r="360" spans="1:11">
      <c r="A360" s="5" t="s">
        <v>1015</v>
      </c>
      <c r="B360" s="5" t="s">
        <v>1503</v>
      </c>
      <c r="C360" s="5" t="s">
        <v>35</v>
      </c>
      <c r="D360" s="5" t="s">
        <v>1504</v>
      </c>
      <c r="E360" s="5" t="s">
        <v>1505</v>
      </c>
      <c r="F360" s="5" t="s">
        <v>1493</v>
      </c>
      <c r="G360" s="5" t="s">
        <v>1506</v>
      </c>
      <c r="H360" s="5" t="s">
        <v>12</v>
      </c>
      <c r="I360" s="5" t="s">
        <v>40</v>
      </c>
      <c r="J360" s="5" t="s">
        <v>41</v>
      </c>
      <c r="K360" s="5"/>
    </row>
    <row r="361" spans="1:11">
      <c r="A361" s="5" t="s">
        <v>1015</v>
      </c>
      <c r="B361" s="5" t="s">
        <v>1507</v>
      </c>
      <c r="C361" s="5" t="s">
        <v>35</v>
      </c>
      <c r="D361" s="5" t="s">
        <v>1508</v>
      </c>
      <c r="E361" s="5" t="s">
        <v>1509</v>
      </c>
      <c r="F361" s="5" t="s">
        <v>1493</v>
      </c>
      <c r="G361" s="5" t="s">
        <v>1510</v>
      </c>
      <c r="H361" s="5" t="s">
        <v>12</v>
      </c>
      <c r="I361" s="5" t="s">
        <v>40</v>
      </c>
      <c r="J361" s="5" t="s">
        <v>41</v>
      </c>
      <c r="K361" s="5"/>
    </row>
    <row r="362" spans="1:11">
      <c r="A362" s="5" t="s">
        <v>1015</v>
      </c>
      <c r="B362" s="5" t="s">
        <v>1511</v>
      </c>
      <c r="C362" s="5" t="s">
        <v>35</v>
      </c>
      <c r="D362" s="5" t="s">
        <v>1512</v>
      </c>
      <c r="E362" s="5" t="s">
        <v>1513</v>
      </c>
      <c r="F362" s="5" t="s">
        <v>1203</v>
      </c>
      <c r="G362" s="5" t="s">
        <v>1514</v>
      </c>
      <c r="H362" s="5" t="s">
        <v>12</v>
      </c>
      <c r="I362" s="5" t="s">
        <v>40</v>
      </c>
      <c r="J362" s="5" t="s">
        <v>41</v>
      </c>
      <c r="K362" s="5"/>
    </row>
    <row r="363" spans="1:11">
      <c r="A363" s="5" t="s">
        <v>1015</v>
      </c>
      <c r="B363" s="5" t="s">
        <v>1515</v>
      </c>
      <c r="C363" s="5" t="s">
        <v>35</v>
      </c>
      <c r="D363" s="5" t="s">
        <v>1516</v>
      </c>
      <c r="E363" s="5" t="s">
        <v>1513</v>
      </c>
      <c r="F363" s="5" t="s">
        <v>1203</v>
      </c>
      <c r="G363" s="5" t="s">
        <v>1517</v>
      </c>
      <c r="H363" s="5" t="s">
        <v>12</v>
      </c>
      <c r="I363" s="5" t="s">
        <v>40</v>
      </c>
      <c r="J363" s="5" t="s">
        <v>41</v>
      </c>
      <c r="K363" s="5"/>
    </row>
    <row r="364" spans="1:11">
      <c r="A364" s="5" t="s">
        <v>1015</v>
      </c>
      <c r="B364" s="5" t="s">
        <v>1518</v>
      </c>
      <c r="C364" s="5" t="s">
        <v>35</v>
      </c>
      <c r="D364" s="5" t="s">
        <v>1519</v>
      </c>
      <c r="E364" s="5" t="s">
        <v>1520</v>
      </c>
      <c r="F364" s="5" t="s">
        <v>1198</v>
      </c>
      <c r="G364" s="5" t="s">
        <v>1521</v>
      </c>
      <c r="H364" s="5" t="s">
        <v>12</v>
      </c>
      <c r="I364" s="5" t="s">
        <v>40</v>
      </c>
      <c r="J364" s="5" t="s">
        <v>41</v>
      </c>
      <c r="K364" s="5"/>
    </row>
    <row r="365" spans="1:11">
      <c r="A365" s="5" t="s">
        <v>1015</v>
      </c>
      <c r="B365" s="5" t="s">
        <v>1522</v>
      </c>
      <c r="C365" s="5" t="s">
        <v>35</v>
      </c>
      <c r="D365" s="5" t="s">
        <v>1523</v>
      </c>
      <c r="E365" s="5" t="s">
        <v>1524</v>
      </c>
      <c r="F365" s="5" t="s">
        <v>1175</v>
      </c>
      <c r="G365" s="5" t="s">
        <v>1525</v>
      </c>
      <c r="H365" s="5" t="s">
        <v>12</v>
      </c>
      <c r="I365" s="5" t="s">
        <v>40</v>
      </c>
      <c r="J365" s="5" t="s">
        <v>41</v>
      </c>
      <c r="K365" s="5"/>
    </row>
    <row r="366" spans="1:11">
      <c r="A366" s="5" t="s">
        <v>1015</v>
      </c>
      <c r="B366" s="5" t="s">
        <v>1526</v>
      </c>
      <c r="C366" s="5" t="s">
        <v>35</v>
      </c>
      <c r="D366" s="5" t="s">
        <v>1527</v>
      </c>
      <c r="E366" s="5" t="s">
        <v>1520</v>
      </c>
      <c r="F366" s="5" t="s">
        <v>1198</v>
      </c>
      <c r="G366" s="5" t="s">
        <v>1528</v>
      </c>
      <c r="H366" s="5" t="s">
        <v>12</v>
      </c>
      <c r="I366" s="5" t="s">
        <v>40</v>
      </c>
      <c r="J366" s="5" t="s">
        <v>41</v>
      </c>
      <c r="K366" s="5"/>
    </row>
    <row r="367" spans="1:11">
      <c r="A367" s="5" t="s">
        <v>1015</v>
      </c>
      <c r="B367" s="5" t="s">
        <v>1529</v>
      </c>
      <c r="C367" s="5" t="s">
        <v>35</v>
      </c>
      <c r="D367" s="5" t="s">
        <v>1530</v>
      </c>
      <c r="E367" s="5" t="s">
        <v>1531</v>
      </c>
      <c r="F367" s="5" t="s">
        <v>1484</v>
      </c>
      <c r="G367" s="5" t="s">
        <v>1532</v>
      </c>
      <c r="H367" s="5" t="s">
        <v>12</v>
      </c>
      <c r="I367" s="5" t="s">
        <v>40</v>
      </c>
      <c r="J367" s="5" t="s">
        <v>41</v>
      </c>
      <c r="K367" s="5"/>
    </row>
    <row r="368" spans="1:11">
      <c r="A368" s="5" t="s">
        <v>1015</v>
      </c>
      <c r="B368" s="5" t="s">
        <v>1533</v>
      </c>
      <c r="C368" s="5" t="s">
        <v>35</v>
      </c>
      <c r="D368" s="5" t="s">
        <v>1534</v>
      </c>
      <c r="E368" s="5" t="s">
        <v>1535</v>
      </c>
      <c r="F368" s="5" t="s">
        <v>1484</v>
      </c>
      <c r="G368" s="5" t="s">
        <v>1536</v>
      </c>
      <c r="H368" s="5" t="s">
        <v>12</v>
      </c>
      <c r="I368" s="5" t="s">
        <v>40</v>
      </c>
      <c r="J368" s="5" t="s">
        <v>41</v>
      </c>
      <c r="K368" s="5"/>
    </row>
    <row r="369" spans="1:11">
      <c r="A369" s="5" t="s">
        <v>1015</v>
      </c>
      <c r="B369" s="5" t="s">
        <v>1537</v>
      </c>
      <c r="C369" s="5" t="s">
        <v>35</v>
      </c>
      <c r="D369" s="5" t="s">
        <v>1538</v>
      </c>
      <c r="E369" s="5" t="s">
        <v>1539</v>
      </c>
      <c r="F369" s="5" t="s">
        <v>1540</v>
      </c>
      <c r="G369" s="5" t="s">
        <v>1541</v>
      </c>
      <c r="H369" s="5" t="s">
        <v>12</v>
      </c>
      <c r="I369" s="5" t="s">
        <v>40</v>
      </c>
      <c r="J369" s="5" t="s">
        <v>41</v>
      </c>
      <c r="K369" s="5"/>
    </row>
    <row r="370" spans="1:11">
      <c r="A370" s="5" t="s">
        <v>1015</v>
      </c>
      <c r="B370" s="5" t="s">
        <v>1542</v>
      </c>
      <c r="C370" s="5" t="s">
        <v>35</v>
      </c>
      <c r="D370" s="5" t="s">
        <v>1543</v>
      </c>
      <c r="E370" s="5" t="s">
        <v>1479</v>
      </c>
      <c r="F370" s="5" t="s">
        <v>1198</v>
      </c>
      <c r="G370" s="5" t="s">
        <v>1544</v>
      </c>
      <c r="H370" s="5" t="s">
        <v>12</v>
      </c>
      <c r="I370" s="5" t="s">
        <v>40</v>
      </c>
      <c r="J370" s="5" t="s">
        <v>41</v>
      </c>
      <c r="K370" s="5"/>
    </row>
    <row r="371" spans="1:11">
      <c r="A371" s="5" t="s">
        <v>1015</v>
      </c>
      <c r="B371" s="5" t="s">
        <v>1545</v>
      </c>
      <c r="C371" s="5" t="s">
        <v>35</v>
      </c>
      <c r="D371" s="5" t="s">
        <v>1546</v>
      </c>
      <c r="E371" s="5" t="s">
        <v>1547</v>
      </c>
      <c r="F371" s="5" t="s">
        <v>1028</v>
      </c>
      <c r="G371" s="5" t="s">
        <v>1548</v>
      </c>
      <c r="H371" s="5" t="s">
        <v>12</v>
      </c>
      <c r="I371" s="5" t="s">
        <v>40</v>
      </c>
      <c r="J371" s="5" t="s">
        <v>41</v>
      </c>
      <c r="K371" s="5"/>
    </row>
    <row r="372" spans="1:11">
      <c r="A372" s="5" t="s">
        <v>1015</v>
      </c>
      <c r="B372" s="5" t="s">
        <v>1549</v>
      </c>
      <c r="C372" s="5" t="s">
        <v>35</v>
      </c>
      <c r="D372" s="5" t="s">
        <v>1550</v>
      </c>
      <c r="E372" s="5" t="s">
        <v>1551</v>
      </c>
      <c r="F372" s="5" t="s">
        <v>1383</v>
      </c>
      <c r="G372" s="5" t="s">
        <v>1552</v>
      </c>
      <c r="H372" s="5" t="s">
        <v>12</v>
      </c>
      <c r="I372" s="5" t="s">
        <v>40</v>
      </c>
      <c r="J372" s="5" t="s">
        <v>41</v>
      </c>
      <c r="K372" s="5"/>
    </row>
    <row r="373" spans="1:11">
      <c r="A373" s="5" t="s">
        <v>1015</v>
      </c>
      <c r="B373" s="5" t="s">
        <v>1553</v>
      </c>
      <c r="C373" s="5" t="s">
        <v>35</v>
      </c>
      <c r="D373" s="5" t="s">
        <v>1554</v>
      </c>
      <c r="E373" s="5" t="s">
        <v>1555</v>
      </c>
      <c r="F373" s="5" t="s">
        <v>1208</v>
      </c>
      <c r="G373" s="5" t="s">
        <v>1556</v>
      </c>
      <c r="H373" s="5" t="s">
        <v>12</v>
      </c>
      <c r="I373" s="5" t="s">
        <v>40</v>
      </c>
      <c r="J373" s="5" t="s">
        <v>41</v>
      </c>
      <c r="K373" s="5"/>
    </row>
    <row r="374" spans="1:11">
      <c r="A374" s="5" t="s">
        <v>1015</v>
      </c>
      <c r="B374" s="5" t="s">
        <v>1557</v>
      </c>
      <c r="C374" s="5" t="s">
        <v>35</v>
      </c>
      <c r="D374" s="5" t="s">
        <v>1558</v>
      </c>
      <c r="E374" s="5" t="s">
        <v>1559</v>
      </c>
      <c r="F374" s="5" t="s">
        <v>1208</v>
      </c>
      <c r="G374" s="5" t="s">
        <v>1560</v>
      </c>
      <c r="H374" s="5" t="s">
        <v>12</v>
      </c>
      <c r="I374" s="5" t="s">
        <v>40</v>
      </c>
      <c r="J374" s="5" t="s">
        <v>41</v>
      </c>
      <c r="K374" s="5"/>
    </row>
    <row r="375" spans="1:11">
      <c r="A375" s="5" t="s">
        <v>1015</v>
      </c>
      <c r="B375" s="5" t="s">
        <v>1561</v>
      </c>
      <c r="C375" s="5" t="s">
        <v>35</v>
      </c>
      <c r="D375" s="5" t="s">
        <v>1562</v>
      </c>
      <c r="E375" s="5" t="s">
        <v>1563</v>
      </c>
      <c r="F375" s="5" t="s">
        <v>1564</v>
      </c>
      <c r="G375" s="5" t="s">
        <v>1565</v>
      </c>
      <c r="H375" s="5" t="s">
        <v>12</v>
      </c>
      <c r="I375" s="5" t="s">
        <v>40</v>
      </c>
      <c r="J375" s="5" t="s">
        <v>41</v>
      </c>
      <c r="K375" s="5"/>
    </row>
    <row r="376" spans="1:11">
      <c r="A376" s="5" t="s">
        <v>1015</v>
      </c>
      <c r="B376" s="5" t="s">
        <v>1566</v>
      </c>
      <c r="C376" s="5" t="s">
        <v>35</v>
      </c>
      <c r="D376" s="5" t="s">
        <v>1567</v>
      </c>
      <c r="E376" s="5" t="s">
        <v>1568</v>
      </c>
      <c r="F376" s="5" t="s">
        <v>1564</v>
      </c>
      <c r="G376" s="5" t="s">
        <v>1569</v>
      </c>
      <c r="H376" s="5" t="s">
        <v>12</v>
      </c>
      <c r="I376" s="5" t="s">
        <v>40</v>
      </c>
      <c r="J376" s="5" t="s">
        <v>41</v>
      </c>
      <c r="K376" s="5"/>
    </row>
    <row r="377" spans="1:11">
      <c r="A377" s="5" t="s">
        <v>1015</v>
      </c>
      <c r="B377" s="5" t="s">
        <v>1570</v>
      </c>
      <c r="C377" s="5" t="s">
        <v>35</v>
      </c>
      <c r="D377" s="5" t="s">
        <v>1571</v>
      </c>
      <c r="E377" s="5" t="s">
        <v>1572</v>
      </c>
      <c r="F377" s="5" t="s">
        <v>1564</v>
      </c>
      <c r="G377" s="5" t="s">
        <v>1573</v>
      </c>
      <c r="H377" s="5" t="s">
        <v>12</v>
      </c>
      <c r="I377" s="5" t="s">
        <v>40</v>
      </c>
      <c r="J377" s="5" t="s">
        <v>41</v>
      </c>
      <c r="K377" s="5"/>
    </row>
    <row r="378" spans="1:11">
      <c r="A378" s="5" t="s">
        <v>1015</v>
      </c>
      <c r="B378" s="5" t="s">
        <v>1574</v>
      </c>
      <c r="C378" s="5" t="s">
        <v>35</v>
      </c>
      <c r="D378" s="5" t="s">
        <v>1575</v>
      </c>
      <c r="E378" s="5" t="s">
        <v>1576</v>
      </c>
      <c r="F378" s="5" t="s">
        <v>1577</v>
      </c>
      <c r="G378" s="5" t="s">
        <v>1578</v>
      </c>
      <c r="H378" s="5" t="s">
        <v>12</v>
      </c>
      <c r="I378" s="5" t="s">
        <v>40</v>
      </c>
      <c r="J378" s="5" t="s">
        <v>41</v>
      </c>
      <c r="K378" s="5"/>
    </row>
    <row r="379" spans="1:11">
      <c r="A379" s="5" t="s">
        <v>1015</v>
      </c>
      <c r="B379" s="5" t="s">
        <v>1579</v>
      </c>
      <c r="C379" s="5" t="s">
        <v>35</v>
      </c>
      <c r="D379" s="5" t="s">
        <v>1580</v>
      </c>
      <c r="E379" s="5" t="s">
        <v>1581</v>
      </c>
      <c r="F379" s="5" t="s">
        <v>1582</v>
      </c>
      <c r="G379" s="5" t="s">
        <v>1583</v>
      </c>
      <c r="H379" s="5" t="s">
        <v>12</v>
      </c>
      <c r="I379" s="5" t="s">
        <v>40</v>
      </c>
      <c r="J379" s="5" t="s">
        <v>41</v>
      </c>
      <c r="K379" s="5"/>
    </row>
    <row r="380" spans="1:11">
      <c r="A380" s="5" t="s">
        <v>1015</v>
      </c>
      <c r="B380" s="5" t="s">
        <v>1584</v>
      </c>
      <c r="C380" s="5" t="s">
        <v>35</v>
      </c>
      <c r="D380" s="5" t="s">
        <v>1585</v>
      </c>
      <c r="E380" s="5" t="s">
        <v>1586</v>
      </c>
      <c r="F380" s="5" t="s">
        <v>1587</v>
      </c>
      <c r="G380" s="5" t="s">
        <v>1588</v>
      </c>
      <c r="H380" s="5" t="s">
        <v>12</v>
      </c>
      <c r="I380" s="5" t="s">
        <v>40</v>
      </c>
      <c r="J380" s="5" t="s">
        <v>41</v>
      </c>
      <c r="K380" s="5"/>
    </row>
    <row r="381" spans="1:11">
      <c r="A381" s="5" t="s">
        <v>1015</v>
      </c>
      <c r="B381" s="5" t="s">
        <v>1589</v>
      </c>
      <c r="C381" s="5" t="s">
        <v>35</v>
      </c>
      <c r="D381" s="5" t="s">
        <v>1590</v>
      </c>
      <c r="E381" s="5" t="s">
        <v>1591</v>
      </c>
      <c r="F381" s="5" t="s">
        <v>1582</v>
      </c>
      <c r="G381" s="5" t="s">
        <v>1592</v>
      </c>
      <c r="H381" s="5" t="s">
        <v>12</v>
      </c>
      <c r="I381" s="5" t="s">
        <v>40</v>
      </c>
      <c r="J381" s="5" t="s">
        <v>41</v>
      </c>
      <c r="K381" s="5"/>
    </row>
    <row r="382" spans="1:11">
      <c r="A382" s="5" t="s">
        <v>1015</v>
      </c>
      <c r="B382" s="5" t="s">
        <v>1593</v>
      </c>
      <c r="C382" s="5" t="s">
        <v>35</v>
      </c>
      <c r="D382" s="5" t="s">
        <v>1594</v>
      </c>
      <c r="E382" s="5" t="s">
        <v>1595</v>
      </c>
      <c r="F382" s="5" t="s">
        <v>1596</v>
      </c>
      <c r="G382" s="5" t="s">
        <v>1597</v>
      </c>
      <c r="H382" s="5" t="s">
        <v>12</v>
      </c>
      <c r="I382" s="5" t="s">
        <v>40</v>
      </c>
      <c r="J382" s="5" t="s">
        <v>41</v>
      </c>
      <c r="K382" s="5"/>
    </row>
    <row r="383" spans="1:11">
      <c r="A383" s="5" t="s">
        <v>1015</v>
      </c>
      <c r="B383" s="5" t="s">
        <v>1598</v>
      </c>
      <c r="C383" s="5" t="s">
        <v>35</v>
      </c>
      <c r="D383" s="5" t="s">
        <v>1599</v>
      </c>
      <c r="E383" s="5" t="s">
        <v>1600</v>
      </c>
      <c r="F383" s="5" t="s">
        <v>1582</v>
      </c>
      <c r="G383" s="5" t="s">
        <v>1601</v>
      </c>
      <c r="H383" s="5" t="s">
        <v>12</v>
      </c>
      <c r="I383" s="5" t="s">
        <v>40</v>
      </c>
      <c r="J383" s="5" t="s">
        <v>41</v>
      </c>
      <c r="K383" s="5"/>
    </row>
    <row r="384" spans="1:11">
      <c r="A384" s="5" t="s">
        <v>1015</v>
      </c>
      <c r="B384" s="5" t="s">
        <v>1602</v>
      </c>
      <c r="C384" s="5" t="s">
        <v>35</v>
      </c>
      <c r="D384" s="5" t="s">
        <v>1603</v>
      </c>
      <c r="E384" s="5" t="s">
        <v>1604</v>
      </c>
      <c r="F384" s="5" t="s">
        <v>1587</v>
      </c>
      <c r="G384" s="5" t="s">
        <v>1605</v>
      </c>
      <c r="H384" s="5" t="s">
        <v>12</v>
      </c>
      <c r="I384" s="5" t="s">
        <v>40</v>
      </c>
      <c r="J384" s="5" t="s">
        <v>41</v>
      </c>
      <c r="K384" s="5"/>
    </row>
    <row r="385" spans="1:11">
      <c r="A385" s="5" t="s">
        <v>1015</v>
      </c>
      <c r="B385" s="5" t="s">
        <v>1606</v>
      </c>
      <c r="C385" s="5" t="s">
        <v>35</v>
      </c>
      <c r="D385" s="5" t="s">
        <v>1607</v>
      </c>
      <c r="E385" s="5" t="s">
        <v>1608</v>
      </c>
      <c r="F385" s="5" t="s">
        <v>1582</v>
      </c>
      <c r="G385" s="5" t="s">
        <v>1609</v>
      </c>
      <c r="H385" s="5" t="s">
        <v>12</v>
      </c>
      <c r="I385" s="5" t="s">
        <v>40</v>
      </c>
      <c r="J385" s="5" t="s">
        <v>41</v>
      </c>
      <c r="K385" s="5"/>
    </row>
    <row r="386" spans="1:11">
      <c r="A386" s="5" t="s">
        <v>1610</v>
      </c>
      <c r="B386" s="5" t="s">
        <v>1611</v>
      </c>
      <c r="C386" s="5" t="s">
        <v>35</v>
      </c>
      <c r="D386" s="5" t="s">
        <v>1612</v>
      </c>
      <c r="E386" s="5" t="s">
        <v>1613</v>
      </c>
      <c r="F386" s="5" t="s">
        <v>1614</v>
      </c>
      <c r="G386" s="5" t="s">
        <v>1615</v>
      </c>
      <c r="H386" s="6" t="s">
        <v>12</v>
      </c>
      <c r="I386" s="5" t="s">
        <v>40</v>
      </c>
      <c r="J386" s="5" t="s">
        <v>41</v>
      </c>
      <c r="K386" s="5"/>
    </row>
    <row r="387" spans="1:11">
      <c r="A387" s="5" t="s">
        <v>1610</v>
      </c>
      <c r="B387" s="5" t="s">
        <v>1616</v>
      </c>
      <c r="C387" s="5" t="s">
        <v>35</v>
      </c>
      <c r="D387" s="5" t="s">
        <v>1617</v>
      </c>
      <c r="E387" s="5" t="s">
        <v>1618</v>
      </c>
      <c r="F387" s="5" t="s">
        <v>1619</v>
      </c>
      <c r="G387" s="5" t="s">
        <v>1620</v>
      </c>
      <c r="H387" s="6" t="s">
        <v>12</v>
      </c>
      <c r="I387" s="5" t="s">
        <v>40</v>
      </c>
      <c r="J387" s="5" t="s">
        <v>41</v>
      </c>
      <c r="K387" s="5"/>
    </row>
    <row r="388" spans="1:11">
      <c r="A388" s="5" t="s">
        <v>1610</v>
      </c>
      <c r="B388" s="5" t="s">
        <v>1621</v>
      </c>
      <c r="C388" s="5" t="s">
        <v>35</v>
      </c>
      <c r="D388" s="5" t="s">
        <v>1622</v>
      </c>
      <c r="E388" s="5" t="s">
        <v>1623</v>
      </c>
      <c r="F388" s="5" t="s">
        <v>1624</v>
      </c>
      <c r="G388" s="5" t="s">
        <v>1625</v>
      </c>
      <c r="H388" s="6" t="s">
        <v>12</v>
      </c>
      <c r="I388" s="5" t="s">
        <v>40</v>
      </c>
      <c r="J388" s="5" t="s">
        <v>41</v>
      </c>
      <c r="K388" s="5"/>
    </row>
    <row r="389" spans="1:11">
      <c r="A389" s="5" t="s">
        <v>1610</v>
      </c>
      <c r="B389" s="5" t="s">
        <v>1626</v>
      </c>
      <c r="C389" s="5" t="s">
        <v>35</v>
      </c>
      <c r="D389" s="5" t="s">
        <v>1627</v>
      </c>
      <c r="E389" s="5" t="s">
        <v>1628</v>
      </c>
      <c r="F389" s="5" t="s">
        <v>1629</v>
      </c>
      <c r="G389" s="5" t="s">
        <v>1630</v>
      </c>
      <c r="H389" s="6" t="s">
        <v>12</v>
      </c>
      <c r="I389" s="5" t="s">
        <v>40</v>
      </c>
      <c r="J389" s="5" t="s">
        <v>41</v>
      </c>
      <c r="K389" s="5"/>
    </row>
    <row r="390" spans="1:11">
      <c r="A390" s="5" t="s">
        <v>1610</v>
      </c>
      <c r="B390" s="5" t="s">
        <v>1631</v>
      </c>
      <c r="C390" s="5" t="s">
        <v>35</v>
      </c>
      <c r="D390" s="5" t="s">
        <v>1632</v>
      </c>
      <c r="E390" s="5" t="s">
        <v>1633</v>
      </c>
      <c r="F390" s="5" t="s">
        <v>1634</v>
      </c>
      <c r="G390" s="5" t="s">
        <v>1635</v>
      </c>
      <c r="H390" s="6" t="s">
        <v>12</v>
      </c>
      <c r="I390" s="5" t="s">
        <v>40</v>
      </c>
      <c r="J390" s="5" t="s">
        <v>41</v>
      </c>
      <c r="K390" s="5"/>
    </row>
    <row r="391" spans="1:11">
      <c r="A391" s="5" t="s">
        <v>1610</v>
      </c>
      <c r="B391" s="5" t="s">
        <v>1636</v>
      </c>
      <c r="C391" s="5" t="s">
        <v>35</v>
      </c>
      <c r="D391" s="5" t="s">
        <v>1637</v>
      </c>
      <c r="E391" s="5" t="s">
        <v>1638</v>
      </c>
      <c r="F391" s="5" t="s">
        <v>1639</v>
      </c>
      <c r="G391" s="5" t="s">
        <v>1640</v>
      </c>
      <c r="H391" s="6" t="s">
        <v>12</v>
      </c>
      <c r="I391" s="5" t="s">
        <v>40</v>
      </c>
      <c r="J391" s="5" t="s">
        <v>41</v>
      </c>
      <c r="K391" s="5"/>
    </row>
    <row r="392" spans="1:11">
      <c r="A392" s="5" t="s">
        <v>1641</v>
      </c>
      <c r="B392" s="5" t="s">
        <v>1642</v>
      </c>
      <c r="C392" s="5" t="s">
        <v>35</v>
      </c>
      <c r="D392" s="5" t="s">
        <v>1643</v>
      </c>
      <c r="E392" s="5" t="s">
        <v>1644</v>
      </c>
      <c r="F392" s="5" t="s">
        <v>1645</v>
      </c>
      <c r="G392" s="5" t="s">
        <v>1646</v>
      </c>
      <c r="H392" s="5" t="s">
        <v>12</v>
      </c>
      <c r="I392" s="5" t="s">
        <v>40</v>
      </c>
      <c r="J392" s="5" t="s">
        <v>41</v>
      </c>
      <c r="K392" s="5"/>
    </row>
    <row r="393" spans="1:11">
      <c r="A393" s="5" t="s">
        <v>1641</v>
      </c>
      <c r="B393" s="5" t="s">
        <v>1647</v>
      </c>
      <c r="C393" s="5" t="s">
        <v>35</v>
      </c>
      <c r="D393" s="5" t="s">
        <v>1648</v>
      </c>
      <c r="E393" s="5" t="s">
        <v>1649</v>
      </c>
      <c r="F393" s="5" t="s">
        <v>1645</v>
      </c>
      <c r="G393" s="5" t="s">
        <v>1650</v>
      </c>
      <c r="H393" s="5" t="s">
        <v>12</v>
      </c>
      <c r="I393" s="5" t="s">
        <v>40</v>
      </c>
      <c r="J393" s="5" t="s">
        <v>41</v>
      </c>
      <c r="K393" s="5"/>
    </row>
    <row r="394" spans="1:11">
      <c r="A394" s="5" t="s">
        <v>1641</v>
      </c>
      <c r="B394" s="5" t="s">
        <v>1651</v>
      </c>
      <c r="C394" s="5" t="s">
        <v>35</v>
      </c>
      <c r="D394" s="5" t="s">
        <v>1652</v>
      </c>
      <c r="E394" s="5" t="s">
        <v>1653</v>
      </c>
      <c r="F394" s="5" t="s">
        <v>1645</v>
      </c>
      <c r="G394" s="5" t="s">
        <v>1654</v>
      </c>
      <c r="H394" s="5" t="s">
        <v>12</v>
      </c>
      <c r="I394" s="5" t="s">
        <v>40</v>
      </c>
      <c r="J394" s="5" t="s">
        <v>41</v>
      </c>
      <c r="K394" s="5"/>
    </row>
    <row r="395" spans="1:11">
      <c r="A395" s="5" t="s">
        <v>1641</v>
      </c>
      <c r="B395" s="5" t="s">
        <v>1655</v>
      </c>
      <c r="C395" s="5" t="s">
        <v>35</v>
      </c>
      <c r="D395" s="5" t="s">
        <v>1656</v>
      </c>
      <c r="E395" s="5" t="s">
        <v>1657</v>
      </c>
      <c r="F395" s="5" t="s">
        <v>1658</v>
      </c>
      <c r="G395" s="5" t="s">
        <v>1659</v>
      </c>
      <c r="H395" s="5" t="s">
        <v>12</v>
      </c>
      <c r="I395" s="5" t="s">
        <v>40</v>
      </c>
      <c r="J395" s="5" t="s">
        <v>41</v>
      </c>
      <c r="K395" s="5"/>
    </row>
    <row r="396" spans="1:11">
      <c r="A396" s="5" t="s">
        <v>1641</v>
      </c>
      <c r="B396" s="5" t="s">
        <v>1660</v>
      </c>
      <c r="C396" s="5" t="s">
        <v>35</v>
      </c>
      <c r="D396" s="5" t="s">
        <v>1661</v>
      </c>
      <c r="E396" s="5" t="s">
        <v>1657</v>
      </c>
      <c r="F396" s="5" t="s">
        <v>1658</v>
      </c>
      <c r="G396" s="5" t="s">
        <v>1662</v>
      </c>
      <c r="H396" s="5" t="s">
        <v>12</v>
      </c>
      <c r="I396" s="5" t="s">
        <v>40</v>
      </c>
      <c r="J396" s="5" t="s">
        <v>41</v>
      </c>
      <c r="K396" s="5"/>
    </row>
    <row r="397" spans="1:11">
      <c r="A397" s="5" t="s">
        <v>1641</v>
      </c>
      <c r="B397" s="5" t="s">
        <v>1663</v>
      </c>
      <c r="C397" s="5" t="s">
        <v>35</v>
      </c>
      <c r="D397" s="5" t="s">
        <v>1664</v>
      </c>
      <c r="E397" s="5" t="s">
        <v>1657</v>
      </c>
      <c r="F397" s="5" t="s">
        <v>1658</v>
      </c>
      <c r="G397" s="5" t="s">
        <v>1665</v>
      </c>
      <c r="H397" s="5" t="s">
        <v>12</v>
      </c>
      <c r="I397" s="5" t="s">
        <v>40</v>
      </c>
      <c r="J397" s="5" t="s">
        <v>41</v>
      </c>
      <c r="K397" s="5"/>
    </row>
    <row r="398" spans="1:11">
      <c r="A398" s="5" t="s">
        <v>1641</v>
      </c>
      <c r="B398" s="5" t="s">
        <v>1666</v>
      </c>
      <c r="C398" s="5" t="s">
        <v>35</v>
      </c>
      <c r="D398" s="5" t="s">
        <v>1667</v>
      </c>
      <c r="E398" s="5" t="s">
        <v>1657</v>
      </c>
      <c r="F398" s="5" t="s">
        <v>1658</v>
      </c>
      <c r="G398" s="5" t="s">
        <v>1668</v>
      </c>
      <c r="H398" s="5" t="s">
        <v>12</v>
      </c>
      <c r="I398" s="5" t="s">
        <v>40</v>
      </c>
      <c r="J398" s="5" t="s">
        <v>41</v>
      </c>
      <c r="K398" s="5"/>
    </row>
    <row r="399" spans="1:11">
      <c r="A399" s="5" t="s">
        <v>1641</v>
      </c>
      <c r="B399" s="5" t="s">
        <v>1669</v>
      </c>
      <c r="C399" s="5" t="s">
        <v>35</v>
      </c>
      <c r="D399" s="5" t="s">
        <v>1670</v>
      </c>
      <c r="E399" s="5" t="s">
        <v>1657</v>
      </c>
      <c r="F399" s="5" t="s">
        <v>1658</v>
      </c>
      <c r="G399" s="5" t="s">
        <v>1671</v>
      </c>
      <c r="H399" s="5" t="s">
        <v>12</v>
      </c>
      <c r="I399" s="5" t="s">
        <v>40</v>
      </c>
      <c r="J399" s="5" t="s">
        <v>41</v>
      </c>
      <c r="K399" s="5"/>
    </row>
    <row r="400" spans="1:11">
      <c r="A400" s="5" t="s">
        <v>1641</v>
      </c>
      <c r="B400" s="5" t="s">
        <v>1672</v>
      </c>
      <c r="C400" s="5" t="s">
        <v>35</v>
      </c>
      <c r="D400" s="5" t="s">
        <v>1673</v>
      </c>
      <c r="E400" s="5" t="s">
        <v>1674</v>
      </c>
      <c r="F400" s="5" t="s">
        <v>1658</v>
      </c>
      <c r="G400" s="5" t="s">
        <v>1675</v>
      </c>
      <c r="H400" s="5" t="s">
        <v>12</v>
      </c>
      <c r="I400" s="5" t="s">
        <v>40</v>
      </c>
      <c r="J400" s="5" t="s">
        <v>41</v>
      </c>
      <c r="K400" s="5"/>
    </row>
    <row r="401" spans="1:11">
      <c r="A401" s="5" t="s">
        <v>1641</v>
      </c>
      <c r="B401" s="5" t="s">
        <v>1676</v>
      </c>
      <c r="C401" s="5" t="s">
        <v>35</v>
      </c>
      <c r="D401" s="5" t="s">
        <v>1677</v>
      </c>
      <c r="E401" s="5" t="s">
        <v>1678</v>
      </c>
      <c r="F401" s="5" t="s">
        <v>855</v>
      </c>
      <c r="G401" s="5" t="s">
        <v>1679</v>
      </c>
      <c r="H401" s="5" t="s">
        <v>12</v>
      </c>
      <c r="I401" s="5" t="s">
        <v>40</v>
      </c>
      <c r="J401" s="5" t="s">
        <v>41</v>
      </c>
      <c r="K401" s="5"/>
    </row>
    <row r="402" spans="1:11">
      <c r="A402" s="5" t="s">
        <v>1641</v>
      </c>
      <c r="B402" s="5" t="s">
        <v>1680</v>
      </c>
      <c r="C402" s="5" t="s">
        <v>35</v>
      </c>
      <c r="D402" s="5" t="s">
        <v>1681</v>
      </c>
      <c r="E402" s="5" t="s">
        <v>1682</v>
      </c>
      <c r="F402" s="5" t="s">
        <v>855</v>
      </c>
      <c r="G402" s="5" t="s">
        <v>1683</v>
      </c>
      <c r="H402" s="5" t="s">
        <v>12</v>
      </c>
      <c r="I402" s="5" t="s">
        <v>40</v>
      </c>
      <c r="J402" s="5" t="s">
        <v>41</v>
      </c>
      <c r="K402" s="5"/>
    </row>
    <row r="403" spans="1:11">
      <c r="A403" s="5" t="s">
        <v>1641</v>
      </c>
      <c r="B403" s="5" t="s">
        <v>1684</v>
      </c>
      <c r="C403" s="5" t="s">
        <v>35</v>
      </c>
      <c r="D403" s="5" t="s">
        <v>1685</v>
      </c>
      <c r="E403" s="5" t="s">
        <v>1686</v>
      </c>
      <c r="F403" s="5" t="s">
        <v>855</v>
      </c>
      <c r="G403" s="5" t="s">
        <v>1687</v>
      </c>
      <c r="H403" s="5" t="s">
        <v>12</v>
      </c>
      <c r="I403" s="5" t="s">
        <v>40</v>
      </c>
      <c r="J403" s="5" t="s">
        <v>41</v>
      </c>
      <c r="K403" s="5"/>
    </row>
    <row r="404" spans="1:11">
      <c r="A404" s="5" t="s">
        <v>1641</v>
      </c>
      <c r="B404" s="5" t="s">
        <v>1688</v>
      </c>
      <c r="C404" s="5" t="s">
        <v>35</v>
      </c>
      <c r="D404" s="5" t="s">
        <v>1689</v>
      </c>
      <c r="E404" s="5" t="s">
        <v>1690</v>
      </c>
      <c r="F404" s="5" t="s">
        <v>1691</v>
      </c>
      <c r="G404" s="5" t="s">
        <v>1692</v>
      </c>
      <c r="H404" s="5" t="s">
        <v>12</v>
      </c>
      <c r="I404" s="5" t="s">
        <v>40</v>
      </c>
      <c r="J404" s="5" t="s">
        <v>41</v>
      </c>
      <c r="K404" s="5"/>
    </row>
    <row r="405" spans="1:11">
      <c r="A405" s="5" t="s">
        <v>1641</v>
      </c>
      <c r="B405" s="5" t="s">
        <v>1693</v>
      </c>
      <c r="C405" s="5" t="s">
        <v>35</v>
      </c>
      <c r="D405" s="5" t="s">
        <v>1694</v>
      </c>
      <c r="E405" s="5" t="s">
        <v>1695</v>
      </c>
      <c r="F405" s="5" t="s">
        <v>396</v>
      </c>
      <c r="G405" s="5" t="s">
        <v>1696</v>
      </c>
      <c r="H405" s="5" t="s">
        <v>12</v>
      </c>
      <c r="I405" s="5" t="s">
        <v>40</v>
      </c>
      <c r="J405" s="5" t="s">
        <v>41</v>
      </c>
      <c r="K405" s="5"/>
    </row>
  </sheetData>
  <phoneticPr fontId="5" type="noConversion"/>
  <conditionalFormatting sqref="H1:H995">
    <cfRule type="expression" dxfId="4" priority="1">
      <formula>$H1="PASS"</formula>
    </cfRule>
    <cfRule type="expression" dxfId="3" priority="2">
      <formula>$H1="FAIL"</formula>
    </cfRule>
    <cfRule type="expression" dxfId="2" priority="3">
      <formula>$H1="SKIP"</formula>
    </cfRule>
    <cfRule type="expression" dxfId="1" priority="4">
      <formula>$H1="UNTEST"</formula>
    </cfRule>
  </conditionalFormatting>
  <conditionalFormatting sqref="I1:I995">
    <cfRule type="expression" dxfId="0" priority="5">
      <formula>$I1="NO"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TestCases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osr</cp:lastModifiedBy>
  <dcterms:created xsi:type="dcterms:W3CDTF">2026-06-30T01:38:07Z</dcterms:created>
  <dcterms:modified xsi:type="dcterms:W3CDTF">2026-06-30T08:53:15Z</dcterms:modified>
</cp:coreProperties>
</file>