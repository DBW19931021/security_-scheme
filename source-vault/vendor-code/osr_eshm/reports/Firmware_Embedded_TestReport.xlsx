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at\4019\python_embedded_tests\"/>
    </mc:Choice>
  </mc:AlternateContent>
  <bookViews>
    <workbookView xWindow="0" yWindow="0" windowWidth="28800" windowHeight="10155" activeTab="1"/>
  </bookViews>
  <sheets>
    <sheet name="Summary" sheetId="1" r:id="rId1"/>
    <sheet name="TestCases" sheetId="2" r:id="rId2"/>
  </sheets>
  <calcPr calcId="152511"/>
</workbook>
</file>

<file path=xl/calcChain.xml><?xml version="1.0" encoding="utf-8"?>
<calcChain xmlns="http://schemas.openxmlformats.org/spreadsheetml/2006/main">
  <c r="I10" i="1" l="1"/>
  <c r="H10" i="1"/>
  <c r="G10" i="1"/>
  <c r="F10" i="1"/>
  <c r="E10" i="1"/>
</calcChain>
</file>

<file path=xl/sharedStrings.xml><?xml version="1.0" encoding="utf-8"?>
<sst xmlns="http://schemas.openxmlformats.org/spreadsheetml/2006/main" count="8153" uniqueCount="3385">
  <si>
    <t>ehsm_fw Embedded Test Report</t>
  </si>
  <si>
    <t>Test date</t>
  </si>
  <si>
    <t>2026/06/29 21:38:05</t>
  </si>
  <si>
    <t>Test purpose</t>
  </si>
  <si>
    <t>pytest自动化测试报告 - ehsm_fw</t>
  </si>
  <si>
    <t>Test Report made by</t>
  </si>
  <si>
    <t>System setup</t>
  </si>
  <si>
    <t>Software version</t>
  </si>
  <si>
    <t>No</t>
  </si>
  <si>
    <t>Tested Items</t>
  </si>
  <si>
    <t>Tester</t>
  </si>
  <si>
    <t>Test Sheet</t>
  </si>
  <si>
    <t>PASS</t>
  </si>
  <si>
    <t>FAIL</t>
  </si>
  <si>
    <t>UNTEST</t>
  </si>
  <si>
    <t>SKIP</t>
  </si>
  <si>
    <t>Summary</t>
  </si>
  <si>
    <t>Comment</t>
  </si>
  <si>
    <t>1</t>
  </si>
  <si>
    <t>Check the functions of ehsm_fw.</t>
  </si>
  <si>
    <t>TestCases</t>
  </si>
  <si>
    <t>history</t>
  </si>
  <si>
    <t>分类</t>
  </si>
  <si>
    <t>测试用例ID</t>
  </si>
  <si>
    <t>前置条件和配置</t>
  </si>
  <si>
    <t>用例目的</t>
  </si>
  <si>
    <t>测试步骤</t>
  </si>
  <si>
    <t>预期结果</t>
  </si>
  <si>
    <t>测试脚本</t>
  </si>
  <si>
    <t>测试结果</t>
  </si>
  <si>
    <t>是否选择</t>
  </si>
  <si>
    <t>执行日期</t>
  </si>
  <si>
    <t>备注</t>
  </si>
  <si>
    <t>baud</t>
  </si>
  <si>
    <t>EHSM-1641</t>
  </si>
  <si>
    <t>无特殊前置条件</t>
  </si>
  <si>
    <t>在Test模式下，测试baudrate设置功能</t>
  </si>
  <si>
    <t>1、配置生命周期为Test模式；并重启生效；
2、打开串口工具：设置对应设备端口号波特率为38400；
3、设置波特率为cfg_data.TEST_CPU_FREQ_HZ / 38400；
4、检查下位机串口工具打印的日志；
5、检查配置baudrate后寄存器写入的值；</t>
  </si>
  <si>
    <t>1、生命周期配置成功；
2、设置成功；
3、波特率设置成功；
4、下位机串口工具日志打印：set baudrate 38400；
5、UART_BRR中的值为：cfg_data.TEST_CPU_FREQ_HZ / 38400；</t>
  </si>
  <si>
    <t>test_baud.py::test_ehsm_1641</t>
  </si>
  <si>
    <t>YES</t>
  </si>
  <si>
    <t>2026/06/30</t>
  </si>
  <si>
    <t>EHSM-1642</t>
  </si>
  <si>
    <t>在Dev模式下，测试baudrate设置功能</t>
  </si>
  <si>
    <t>1、配置生命周期为Dev模式；并重启生效；
2、打开串口工具：设置对应设备端口号波特率为56000；
3、设置波特率为cfg_data.TEST_CPU_FREQ_HZ / 56000；
4、检查下位机串口工具打印的日志；
5、检查配置baudrate后寄存器写入的值；</t>
  </si>
  <si>
    <t>1、生命周期配置成功；
2、设置成功；
3、波特率设置成功；
4、下位机串口工具日志打印：set baudrate 56000；
5、UART_BRR中的值为：cfg_data.TEST_CPU_FREQ_HZ / 56000；</t>
  </si>
  <si>
    <t>test_baud.py::test_ehsm_1642</t>
  </si>
  <si>
    <t>EHSM-1643</t>
  </si>
  <si>
    <t>在Manu模式下，测试baudrate设置功能</t>
  </si>
  <si>
    <t>1、配置生命周期为Manu模式；并重启生效；
2、打开串口工具：设置对应设备端口号波特率为230400；
3、设置波特率为EHSM_CLK_FREQ / 230400；
4、检查下位机串口工具打印的日志；
5、检查配置baudrate后寄存器写入的值；</t>
  </si>
  <si>
    <t>1、生命周期配置成功；
2、设置成功；
3、波特率设置成功；
4、下位机串口工具日志打印：set baudrate 230400；
5、UART_BRR中的值为：EHSM_CLK_FREQ / 230400；</t>
  </si>
  <si>
    <t>test_baud.py::test_ehsm_1643</t>
  </si>
  <si>
    <t>EHSM-1644</t>
  </si>
  <si>
    <t>在User模式下，测试baudrate设置功能</t>
  </si>
  <si>
    <t>1、配置生命周期为User模式；并重启生效；
2、打开串口工具：设置对应设备端口号波特率为115200；
3、设置波特率为cfg_data.TEST_CPU_FREQ_HZ / 115200；
4、检查下位机串口工具打印的日志；
5、检查配置baudrate后寄存器写入的值；</t>
  </si>
  <si>
    <t>1、生命周期配置成功；
2、设置成功；
3、波特率设置成功；
4、下位机串口工具日志打印：set baudrate 115200；
5、UART_BRR中的值为：cfg_data.TEST_CPU_FREQ_HZ / 115200；</t>
  </si>
  <si>
    <t>test_baud.py::test_ehsm_1644</t>
  </si>
  <si>
    <t>EHSM-1645</t>
  </si>
  <si>
    <t>在Debug模式下，测试baudrate设置功能</t>
  </si>
  <si>
    <t>1、配置生命周期为Debug模式；并重启生效；
2、打开串口工具：设置对应设备端口号波特率为128000；
3、设置波特率为cfg_data.TEST_CPU_FREQ_HZ / 128000；
4、检查下位机串口工具打印的日志；
5、检查配置baudrate后寄存器写入的值；</t>
  </si>
  <si>
    <t>1、生命周期配置成功；
2、设置成功；
3、波特率设置成功；
4、下位机串口工具日志打印：set baudrate 128000；
5、UART_BRR中的值为：cfg_data.TEST_CPU_FREQ_HZ / 128000；</t>
  </si>
  <si>
    <t>test_baud.py::test_ehsm_1645</t>
  </si>
  <si>
    <t>EHSM-1675</t>
  </si>
  <si>
    <t>在dev模式下，测试设置波特率命令对异常参数的处理</t>
  </si>
  <si>
    <t>1、配置生命周期为Dev模式；并重启生效；
2、设置波特率为16；
3、设置波特率为15；
4、设置波特率为EHSM_CLK_FREQ / 56000；</t>
  </si>
  <si>
    <t>1、生命周期配置成功；
2、设置成功；
3、设置波特率异常参数时返回预期错误码；
4、设置成功；</t>
  </si>
  <si>
    <t>test_baud.py::test_ehsm_1675</t>
  </si>
  <si>
    <t>ctrl_field</t>
  </si>
  <si>
    <t>EHSM-831</t>
  </si>
  <si>
    <t>在Test模式下，修改HW control field</t>
  </si>
  <si>
    <t>1、配置OTP 生命周期Test模式；
2、重启eHSM，并检查启动状态；
3、发送 change_control命令，修改HW control field；
4、重启eHSM，并检查启动状态和control field；</t>
  </si>
  <si>
    <t>1、配置成功；
2、重启成功，状态正常；
3、发送成功；
4、重启成功，状态正常；</t>
  </si>
  <si>
    <t>test_ctrl_field.py::test_ehsm_831</t>
  </si>
  <si>
    <t>EHSM-832</t>
  </si>
  <si>
    <t>在Test模式下，修改EHSM control field</t>
  </si>
  <si>
    <t>1、配置OTP 生命周期Test模式；
2、重启eHSM，并检查启动状态；
3、发送 change_control命令，修改EHSM control field；
4、重启eHSM，并检查启动状态和control field；</t>
  </si>
  <si>
    <t>test_ctrl_field.py::test_ehsm_832</t>
  </si>
  <si>
    <t>EHSM-833</t>
  </si>
  <si>
    <t>在Test模式下，修改SOC control field</t>
  </si>
  <si>
    <t>1、配置OTP 生命周期Test模式；
2、重启eHSM，并检查启动状态；
3、发送 change_control命令，修改SOC control field；
4、重启eHSM，并检查启动状态和control field；</t>
  </si>
  <si>
    <t>test_ctrl_field.py::test_ehsm_833</t>
  </si>
  <si>
    <t>EHSM-834</t>
  </si>
  <si>
    <t>在Dev模式下，修改HW control field</t>
  </si>
  <si>
    <t>1、配置OTP 生命周期Dev模式；
2、重启eHSM，并检查启动状态；
3、发送 change_control命令，修改HW control field；
4、重启eHSM，并检查启动状态和control field；</t>
  </si>
  <si>
    <t>test_ctrl_field.py::test_ehsm_834</t>
  </si>
  <si>
    <t>EHSM-835</t>
  </si>
  <si>
    <t>在Dev模式下，修改EHSM control field</t>
  </si>
  <si>
    <t>1、配置OTP 生命周期Dev模式；
2、重启eHSM，并检查启动状态；
3、发送 change_control命令，修改EHSM control field；
4、重启eHSM，并检查启动状态和control field；</t>
  </si>
  <si>
    <t>test_ctrl_field.py::test_ehsm_835</t>
  </si>
  <si>
    <t>EHSM-836</t>
  </si>
  <si>
    <t>在Dev模式下，修改SOC control field</t>
  </si>
  <si>
    <t>1、配置OTP 生命周期Dev模式；
2、重启eHSM，并检查启动状态；
3、发送 change_control命令，修改SOC control field；
4、重启eHSM，并检查启动状态和control field；</t>
  </si>
  <si>
    <t>test_ctrl_field.py::test_ehsm_836</t>
  </si>
  <si>
    <t>EHSM-837</t>
  </si>
  <si>
    <t>在Manu模式下，修改HW control field</t>
  </si>
  <si>
    <t>1、配置OTP 生命周期Manu模式；
2、重启eHSM，并检查启动状态；
3、发送 change_control命令，修改HW control field；
4、重启eHSM，并检查启动状态和control field；</t>
  </si>
  <si>
    <t>1、配置成功；
2、重启成功，状态正常；
3、manu模式下向OTP区域写入数据受到生命周期限制；
4、重启成功，状态正常；</t>
  </si>
  <si>
    <t>test_ctrl_field.py::test_ehsm_837</t>
  </si>
  <si>
    <t>EHSM-838</t>
  </si>
  <si>
    <t>在Manu模式下，修改EHSM control field</t>
  </si>
  <si>
    <t>1、配置OTP 生命周期Manu模式；
2、重启eHSM，并检查启动状态；
3、发送 change_control命令，修改EHSM control field；
4、重启eHSM，并检查启动状态和control field；</t>
  </si>
  <si>
    <t>test_ctrl_field.py::test_ehsm_838</t>
  </si>
  <si>
    <t>EHSM-839</t>
  </si>
  <si>
    <t>在Manu模式下，修改SOC control field</t>
  </si>
  <si>
    <t>1、配置OTP 生命周期Manu模式；
2、重启eHSM，并检查启动状态；
3、发送 change_control命令，修改SOC control field；
4、重启eHSM，并检查启动状态和control field；</t>
  </si>
  <si>
    <t>test_ctrl_field.py::test_ehsm_839</t>
  </si>
  <si>
    <t>EHSM-840</t>
  </si>
  <si>
    <t>在User模式下，修改HW control field</t>
  </si>
  <si>
    <t>1、配置OTP 生命周期User模式；
2、重启eHSM，并检查启动状态；
3、发送 change_control命令，修改HW control field；
4、重启eHSM，并检查启动状态和control field；</t>
  </si>
  <si>
    <t>1、配置成功；
2、重启成功，状态正常；
3、user模式下向OTP区域写入数据受到生命周期限制；
4、重启成功，状态正常；</t>
  </si>
  <si>
    <t>test_ctrl_field.py::test_ehsm_840</t>
  </si>
  <si>
    <t>EHSM-841</t>
  </si>
  <si>
    <t>在User模式下，修改EHSM control field</t>
  </si>
  <si>
    <t>1、配置OTP 生命周期User模式；
2、重启eHSM，并检查启动状态；
3、发送 change_control命令，修改EHSM control field；
4、重启eHSM，并检查启动状态和control field；</t>
  </si>
  <si>
    <t>test_ctrl_field.py::test_ehsm_841</t>
  </si>
  <si>
    <t>EHSM-842</t>
  </si>
  <si>
    <t>在User模式下，修改SOC control field</t>
  </si>
  <si>
    <t>1、配置OTP 生命周期User模式；
2、重启eHSM，并检查启动状态；
3、发送 change_control命令，修改SOC control field；
4、重启eHSM，并检查启动状态和control field；</t>
  </si>
  <si>
    <t>test_ctrl_field.py::test_ehsm_842</t>
  </si>
  <si>
    <t>EHSM-843</t>
  </si>
  <si>
    <t>在Debug模式下，修改HW control field</t>
  </si>
  <si>
    <t>1、配置OTP 生命周期Debug模式；
2、重启eHSM，并检查启动状态；
3、发送 change_control命令，修改HW control field；
4、重启eHSM，并检查启动状态和control field；</t>
  </si>
  <si>
    <t>1、配置成功；
2、重启成功，状态正常；
3、debug模式下向OTP区域写入数据受到生命周期限制；
4、重启成功，状态正常；</t>
  </si>
  <si>
    <t>test_ctrl_field.py::test_ehsm_843</t>
  </si>
  <si>
    <t>EHSM-844</t>
  </si>
  <si>
    <t>在Debug模式下，修改EHSM control field</t>
  </si>
  <si>
    <t>1、配置OTP 生命周期Debug模式；
2、重启eHSM，并检查启动状态；
3、发送 change_control命令，修改EHSM control field；
4、重启eHSM，并检查启动状态和control field；</t>
  </si>
  <si>
    <t>test_ctrl_field.py::test_ehsm_844</t>
  </si>
  <si>
    <t>EHSM-845</t>
  </si>
  <si>
    <t>在Debug模式下，修改SOC control field</t>
  </si>
  <si>
    <t>1、配置OTP 生命周期Debug模式；
2、重启eHSM，并检查启动状态；
3、发送 change_control命令，修改SOC control field；
4、重启eHSM，并检查启动状态和control field；</t>
  </si>
  <si>
    <t>test_ctrl_field.py::test_ehsm_845</t>
  </si>
  <si>
    <t>EHSM-846</t>
  </si>
  <si>
    <t>在Test模式下，对修改control field 进行异常参数处理</t>
  </si>
  <si>
    <t>1、配置OTP 生命周期Test模式；
2、重启eHSM，并检查启动状态；
3、发送 change_control命令，修改非法 control field 类型；
4、发送 change_control命令，修改value 为 NULL；</t>
  </si>
  <si>
    <t>1、配置成功；
2、重启成功，状态正常；
3、TEST模式下传入异常参数返回预期的错误码；
5、Test模式下传入空地址时返回预期的错误码；</t>
  </si>
  <si>
    <t>test_ctrl_field.py::test_ehsm_846</t>
  </si>
  <si>
    <t>EHSM-C001</t>
  </si>
  <si>
    <t>在Test模式下，测试control_field异常参数</t>
  </si>
  <si>
    <t>1、配置OTP 生命周期Test模式；
2、重启eHSM，并检查启动状态；
3、发送 change_control命令，修改value地址为none；
4、重启eHSM，并检查启动状态和control field；
5、发送 change_control命令，修改type为保留值；
6、重启eHSM，并检查启动状态和control field；</t>
  </si>
  <si>
    <t>1、配置成功；
2、重启成功，状态正常；
3、发送失败；
4、重启成功，状态正常；
3、发送失败；
4、重启成功，状态正常；</t>
  </si>
  <si>
    <t>test_ctrl_field.py::test_ehsm_c001</t>
  </si>
  <si>
    <t>debug_auth</t>
  </si>
  <si>
    <t>EHSM-1292</t>
  </si>
  <si>
    <t>在Destroy模式下，使用 SM4-CMAC 算法方式，测试 eHSM 类型的异常鉴权过程</t>
  </si>
  <si>
    <t>1、配置OTP 生命周期Destroy模式，调试鉴权算法密钥eHSM Debug Key配置SM4 CMAC预置密钥和对应属性，其它默认；
2、重启eHSM，并检查启动状态；</t>
  </si>
  <si>
    <t>1、配置成功；
2、重启检查状态成功；</t>
  </si>
  <si>
    <t>test_debug_auth.py::test_ehsm_1292</t>
  </si>
  <si>
    <t>EHSM-1637</t>
  </si>
  <si>
    <t>在Test 模式下，使用 RSA-2048算法方式，测试 eHSM 类型的正常鉴权过程</t>
  </si>
  <si>
    <t>1、配置OTP 生命周期Test模式，调试鉴权算法密钥eHSM Debug Key配置RSA-2048预置值公钥hash和对应属性，其它默认；
2、重启eHSM，并检查启动状态；
3、使用 get_challenge 接口，获取挑战字；
4、调用上层接口对挑战字进行hash计算，RSA-2048算法使用预置公钥，计算签名；
5、将签名好的数据和公钥传入 debug_auth 接口，进行鉴权；
6、检查eHSM 状态，确认eHSM 鉴权成功；
7、关闭调试鉴权；</t>
  </si>
  <si>
    <t>1、配置成功；
2、重启检查状态成功；
3、获取挑战字成功；
4、计算成功；
5、鉴权成功；
6、检查通过；
7、执行成功；</t>
  </si>
  <si>
    <t>test_debug_auth.py::test_ehsm_1637</t>
  </si>
  <si>
    <t>EHSM-1638</t>
  </si>
  <si>
    <t>在Test 模式下，使用 RSA-3072算法方式，测试 eHSM 类型的正常鉴权过程</t>
  </si>
  <si>
    <t>1、配置OTP 生命周期Test模式，调试鉴权算法密钥eHSM Debug Key配置RSA-3072预置值公钥hash和对应属性，其它默认；
2、重启eHSM，并检查启动状态；
3、使用 get_challenge 接口，获取挑战字；
4、调用上层接口对挑战字进行hash计算，RSA-3072算法使用预置私钥，计算签名；
5、将签名好的数据和公钥传入 debug_auth 接口，进行鉴权；
6、检查eHSM 状态，确认eHSM 鉴权成功；
7、关闭调试鉴权；</t>
  </si>
  <si>
    <t>test_debug_auth.py::test_ehsm_1638</t>
  </si>
  <si>
    <t>EHSM-1639</t>
  </si>
  <si>
    <t>在Test 模式下，使用 RSA-2048 算法方式，测试 SOC 类型的正常鉴权过程</t>
  </si>
  <si>
    <t>1、配置OTP 生命周期Test模式，调试鉴权算法密钥SOC Debug Key配置RSA-2048预置值公钥hash和对应属性，其它默认；
2、重启eHSM，并检查启动状态；
3、使用 get_challenge 接口，获取挑战字；
4、调用上层接口对挑战字进行hash计算，RSA-2048算法使用预置私钥，计算签名；
5、将签名好的数据和公钥传入 debug_auth 接口，进行鉴权；
6、检查SOC 状态，确认SOC 鉴权成功；
7、关闭调试鉴权；</t>
  </si>
  <si>
    <t>test_debug_auth.py::test_ehsm_1639</t>
  </si>
  <si>
    <t>EHSM-1640</t>
  </si>
  <si>
    <t>在Test 模式下，使用 RSA-3072 算法方式，测试 SOC 类型的正常鉴权过程</t>
  </si>
  <si>
    <t>1、配置OTP 生命周期Test模式，调试鉴权算法密钥SOC Debug Key配置RSA-3072预置值公钥hash和对应属性，其它默认；
2、重启eHSM，并检查启动状态；
3、使用 get_challenge 接口，获取挑战字；
4、调用上层接口对挑战字进行hash计算，RSA-3072算法使用预置私钥，计算签名；
5、将签名好的数据和公钥传入 debug_auth 接口，进行鉴权；
6、检查SOC 状态，确认SOC 鉴权成功；
7、关闭调试鉴权；</t>
  </si>
  <si>
    <t>test_debug_auth.py::test_ehsm_1640</t>
  </si>
  <si>
    <t>EHSM-731</t>
  </si>
  <si>
    <t>在Test 模式下，使用 SHA256-SECP256R1 算法方式，测试 eHSM 类型的正常鉴权过程</t>
  </si>
  <si>
    <t>1、配置OTP 生命周期Test模式，调试鉴权算法密钥eHSM Debug Key配置SHA256-SECP256R1预置值公钥hash和对应属性，其它默认；
2、重启eHSM，并检查启动状态；
3、使用 get_challenge 接口，获取挑战字；
4、调用上层接口对挑战字进行hash计算，ECC算法使用预置ecc 私钥，计算签名；
5、将签名好的数据和公钥传入 debug_auth 接口，进行鉴权；
6、检查eHSM 状态，确认eHSM 鉴权成功；</t>
  </si>
  <si>
    <t>1、配置成功；
2、重启检查状态成功；
3、获取挑战字成功；
4、签名成功；
5、鉴权成功；
6、检查通过；</t>
  </si>
  <si>
    <t>test_debug_auth.py::test_ehsm_731</t>
  </si>
  <si>
    <t>EHSM-732</t>
  </si>
  <si>
    <t>在Test 模式下，使用 SM3-SM2 算法方式，测试 eHSM 类型的正常鉴权过程</t>
  </si>
  <si>
    <t>1、配置OTP 生命周期Test模式，调试鉴权算法密钥eHSM Debug Key配置SM3算法预置值公钥hash和对应属性，其它默认；
2、重启eHSM，并检查启动状态；
3、使用 get_challenge 接口，获取挑战字；
4、调用上层接口对挑战字进行SM3计算，SM2算法使用预置SM2公私钥，计算签名；
5、将签名好的数据和公钥传入 debug_auth 接口，进行鉴权；
6、检查eHSM 状态，确认eHSM 鉴权成功；</t>
  </si>
  <si>
    <t>test_debug_auth.py::test_ehsm_732</t>
  </si>
  <si>
    <t>EHSM-734</t>
  </si>
  <si>
    <t>在Test 模式下，使用 AES-CMAC 算法方式，测试 eHSM 类型的正常鉴权过程</t>
  </si>
  <si>
    <t>1、配置OTP 生命周期Test模式，调试鉴权算法密钥eHSM Debug Key配置AES-128-CMAC算法密钥预置值和对应属性，其它默认；
2、重启eHSM，并检查启动状态；
3、使用 get_challenge 接口，获取挑战字；
4、调用上层接口对挑战字进行CMAC计算，AES-128-CMAC算法使用预置密钥钥，计算CMAC；
5、将计算好的CMAC和公钥传入 debug_auth 接口，进行鉴权；
6、检查eHSM 状态，确认eHSM 鉴权成功；
7、关闭调试鉴权；</t>
  </si>
  <si>
    <t>1、配置成功；
2、重启检查状态成功；
3、获取挑战字成功；
4、签名成功；
5、鉴权成功；
6、检查通过；
7、执行成功；</t>
  </si>
  <si>
    <t>test_debug_auth.py::test_ehsm_734</t>
  </si>
  <si>
    <t>EHSM-735</t>
  </si>
  <si>
    <t>在Test 模式下，使用 SM4-CMAC 算法方式，测试 eHSM 类型的正常鉴权过程</t>
  </si>
  <si>
    <t>1、配置OTP 生命周期Test模式，调试鉴权算法密钥eHSM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6、检查eHSM 状态，确认eHSM 鉴权成功；
7、关闭调试鉴权；</t>
  </si>
  <si>
    <t>test_debug_auth.py::test_ehsm_735</t>
  </si>
  <si>
    <t>EHSM-736</t>
  </si>
  <si>
    <t>在Dev 模式下，使用 SM4-CMAC 算法方式，测试 eHSM 类型的正常鉴权过程</t>
  </si>
  <si>
    <t>1、配置OTP 生命周期Dev模式，调试鉴权算法密钥eHSM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6、检查eHSM 状态，确认eHSM 鉴权成功；
7、关闭调试鉴权；</t>
  </si>
  <si>
    <t>test_debug_auth.py::test_ehsm_736</t>
  </si>
  <si>
    <t>EHSM-737</t>
  </si>
  <si>
    <t>在Manu 模式下，使用 SM4-CMAC 算法方式，测试 eHSM 类型的正常鉴权过程</t>
  </si>
  <si>
    <t>1、配置OTP 生命周期Manu模式，调试鉴权算法密钥eHSM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6、检查eHSM 状态，确认eHSM 鉴权成功；</t>
  </si>
  <si>
    <t>test_debug_auth.py::test_ehsm_737</t>
  </si>
  <si>
    <t>EHSM-738</t>
  </si>
  <si>
    <t>在User 模式下，使用 SM4-CMAC 算法方式，测试 eHSM 类型的鉴权限制功能</t>
  </si>
  <si>
    <t>1、配置OTP 生命周期User模式，调试鉴权算法密钥eHSM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6、确认eHSM调试鉴权状态为失败；</t>
  </si>
  <si>
    <t>1、配置成功；
2、重启检查状态成功；
3、获取挑战字成功；
4、签名成功；
5、鉴权成功；
6、执行成功；</t>
  </si>
  <si>
    <t>test_debug_auth.py::test_ehsm_738</t>
  </si>
  <si>
    <t>EHSM-739</t>
  </si>
  <si>
    <t>在Debug 模式下，使用 SM4-CMAC 算法方式，测试 eHSM 类型的正常鉴权过程</t>
  </si>
  <si>
    <t>1、配置OTP 生命周期Debug模式，调试鉴权算法密钥eHSM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6、检查eHSM 状态，确认eHSM 鉴权成功；</t>
  </si>
  <si>
    <t>test_debug_auth.py::test_ehsm_739</t>
  </si>
  <si>
    <t>EHSM-740</t>
  </si>
  <si>
    <t>在Test 模式下，使用 SHA256-SECP256R1 算法方式，测试 SOC 类型的正常鉴权过程</t>
  </si>
  <si>
    <t>1、配置OTP 生命周期Test模式，调试鉴权算法密钥SOC Debug Key配置SHA256-SECP256R1预置值公钥hash和对应属性，其它默认；
2、重启eHSM，并检查启动状态；
3、使用 get_challenge 接口，获取挑战字；
4、调用上层接口对挑战字进行hash计算，ECC算法使用预置ecc 私钥，计算签名；
5、将签名好的数据和公钥传入 debug_auth 接口，进行鉴权；
6、检查SOC 状态，确认SOC 鉴权成功；
7、关闭调试鉴权；</t>
  </si>
  <si>
    <t>test_debug_auth.py::test_ehsm_740</t>
  </si>
  <si>
    <t>EHSM-741</t>
  </si>
  <si>
    <t>在Test 模式下，使用 SM3-SM2 算法方式，测试 SOC 类型的正常鉴权过程</t>
  </si>
  <si>
    <t>1、配置OTP 生命周期Test模式，调试鉴权算法密钥SOC Debug Key配置SM3算法预置值公钥hash和对应属性，其它默认；
2、重启eHSM，并检查启动状态；
3、使用 get_challenge 接口，获取挑战字；
4、调用上层接口对挑战字进行SM3计算，SM2算法使用预置SM2公私钥，计算签名；
5、将签名好的数据和公钥传入 debug_auth 接口，进行鉴权；
6、检查SOC 状态，确认SOC 鉴权成功；</t>
  </si>
  <si>
    <t>test_debug_auth.py::test_ehsm_741</t>
  </si>
  <si>
    <t>EHSM-743</t>
  </si>
  <si>
    <t>在Test 模式下，使用 AES-CMAC 算法方式，测试 SOC 类型的正常鉴权过程</t>
  </si>
  <si>
    <t>1、配置OTP 生命周期Test模式，调试鉴权算法密钥SOC Debug Key配置AES-128-CMAC算法密钥预置值和对应属性，其它默认；
2、重启eHSM，并检查启动状态；
3、使用 get_challenge 接口，获取挑战字；
4、调用上层接口对挑战字进行CMAC计算，AES-128-CMAC算法使用预置密钥钥，计算CMAC；
5、将计算好的CMAC和公钥传入 debug_auth 接口，进行鉴权；
6、检查SOC 状态，确认SOC 鉴权成功；</t>
  </si>
  <si>
    <t>test_debug_auth.py::test_ehsm_743</t>
  </si>
  <si>
    <t>EHSM-744</t>
  </si>
  <si>
    <t>在Test 模式下，使用 SM4-CMAC 算法方式，测试 SOC 类型的正常鉴权过程</t>
  </si>
  <si>
    <t>1、配置OTP 生命周期Test模式，调试鉴权算法密钥SOC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6、检查SOC 状态，确认SOC 鉴权成功；
7、关闭调试鉴权；</t>
  </si>
  <si>
    <t>test_debug_auth.py::test_ehsm_744</t>
  </si>
  <si>
    <t>EHSM-745</t>
  </si>
  <si>
    <t>在Dev 模式下，使用 SM4-CMAC 算法方式，测试 SOC 类型的正常鉴权过程</t>
  </si>
  <si>
    <t>1、配置OTP 生命周期Dev模式，调试鉴权算法密钥SOC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6、检查SOC 状态，确认SOC 鉴权成功；</t>
  </si>
  <si>
    <t>test_debug_auth.py::test_ehsm_745</t>
  </si>
  <si>
    <t>EHSM-746</t>
  </si>
  <si>
    <t>在Manu 模式下，使用 SM4-CMAC 算法方式，测试 SOC 类型的正常鉴权过程</t>
  </si>
  <si>
    <t>1、配置OTP 生命周期Manu模式，调试鉴权算法密钥SOC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6、检查SOC 状态，确认SOC 鉴权成功；</t>
  </si>
  <si>
    <t>test_debug_auth.py::test_ehsm_746</t>
  </si>
  <si>
    <t>EHSM-747</t>
  </si>
  <si>
    <t>在User 模式下，使用 SM4-CMAC 算法方式，测试 SOC 类型的正常鉴权过程</t>
  </si>
  <si>
    <t>1、配置OTP 生命周期User模式，调试鉴权算法密钥SOC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t>
  </si>
  <si>
    <t>1、配置成功；
2、重启检查状态成功；
3、获取挑战字成功；
4、签名成功；
5、鉴权成功；</t>
  </si>
  <si>
    <t>test_debug_auth.py::test_ehsm_747</t>
  </si>
  <si>
    <t>EHSM-748</t>
  </si>
  <si>
    <t>在Debug 模式下，使用 SM4-CMAC 算法方式，测试 SOC 类型的正常鉴权过程</t>
  </si>
  <si>
    <t>1、配置OTP 生命周期Debug模式，调试鉴权算法密钥SOC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5、将计算好的CMAC和公钥传入 debug_auth 接口，进行鉴权；
6、检查SOC 状态，确认SOC 鉴权成功；</t>
  </si>
  <si>
    <t>test_debug_auth.py::test_ehsm_748</t>
  </si>
  <si>
    <t>EHSM-749</t>
  </si>
  <si>
    <t>在User模式下，测试Firmware eHSM get_challenge 功能</t>
  </si>
  <si>
    <t>1、配置OTP 生命周期User模式，其它默认；
2、重启eHSM，并检查启动状态；
3、使用 get_challenge 接口，传入eHSM 类型，获取挑战字；</t>
  </si>
  <si>
    <t>1、配置成功；
2、重启检查状态成功；
3、获取挑战字成功；</t>
  </si>
  <si>
    <t>test_debug_auth.py::test_ehsm_749</t>
  </si>
  <si>
    <t>EHSM-750</t>
  </si>
  <si>
    <t>在User模式下，测试Firmware SOC get_challenge 功能</t>
  </si>
  <si>
    <t>1、配置OTP 生命周期User模式，其它默认；
2、重启eHSM，并检查启动状态；
3、使用 get_challenge 接口，传入SOC 类型，获取挑战字；</t>
  </si>
  <si>
    <t>test_debug_auth.py::test_ehsm_750</t>
  </si>
  <si>
    <t>EHSM-751</t>
  </si>
  <si>
    <t>在User模式下，测试Firmware User get_challenge 功能</t>
  </si>
  <si>
    <t>1、配置OTP 生命周期User模式，其它默认；
2、重启eHSM，并检查启动状态；
3、使用 get_challenge 接口，传入User 类型，获取挑战字；</t>
  </si>
  <si>
    <t>test_debug_auth.py::test_ehsm_751</t>
  </si>
  <si>
    <t>EHSM-752</t>
  </si>
  <si>
    <t>在Dev模式下，关闭 eHSM 鉴权，并检查鉴权状态</t>
  </si>
  <si>
    <t>1、配置OTP 生命周期Dev模式，调试鉴权算法密钥eHSM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5、将计算好的CMAC值传入 debug_auth 接口，进行鉴权；
6、检查eHSM鉴权状态，确认鉴权成功；
7、调用接口关闭debug 鉴权；
8、检查鉴权状态，确认鉴权已关闭；</t>
  </si>
  <si>
    <t>1、配置成功；
2、重启检查状态成功；
3、获取挑战字成功；
4、签名成功；
5、发送成功；
6、检查通过；
7、执行成功；
8、检查通过；</t>
  </si>
  <si>
    <t>test_debug_auth.py::test_ehsm_752</t>
  </si>
  <si>
    <t>EHSM-753</t>
  </si>
  <si>
    <t>在Dev模式下，关闭 SOC 鉴权，并检查鉴权状态</t>
  </si>
  <si>
    <t>1、配置OTP 生命周期Dev模式，调试鉴权算法密钥SOC Debug Key配置SM4-128-CMAC算法密钥预置值和对应属性，其它默认；
2、重启eHSM，并检查启动状态；
3、使用 get_challenge 接口，获取挑战字；
4、调用上层接口对挑战字进行CMAC计算，SM4-128-CMAC算法使用预置密钥钥，计算CMAC；
5、将计算好的CMAC值传入 debug_auth 接口，进行鉴权；
6、检查SOC鉴权状态，确认鉴权成功；
7、调用接口关闭SOC debug 鉴权；
8、检查SOC鉴权状态，确认鉴权已关闭；</t>
  </si>
  <si>
    <t>test_debug_auth.py::test_ehsm_753</t>
  </si>
  <si>
    <t>EHSM-754</t>
  </si>
  <si>
    <t>在 debug 模式下，使用 SM4-CMAC 算法方式，测试 eHSM 类型的鉴权过程中使用错误的CMAC值</t>
  </si>
  <si>
    <t>1、配置OTP 生命周期 debug 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4、调用上层接口对挑战字进行CMAC计算，SM4-128-CMAC算法使用预置密钥钥，计算CMAC，并修改CMAC值；
5、将修改的CMAC值传入 debug_auth 接口，进行鉴权；
6、确认eHSM调试鉴权状态为失败；</t>
  </si>
  <si>
    <t>1、配置成功；
2、重启检查状态成功；
3、获取挑战字成功；
4、计算成功；
5、发送成功；
6、执行成功；</t>
  </si>
  <si>
    <t>test_debug_auth.py::test_ehsm_754</t>
  </si>
  <si>
    <t>EHSM-755</t>
  </si>
  <si>
    <t>在 dev 模式下，使用 SHA256‑SECP256R1 算法方式，测试 eHSM 类型的鉴权过程中使用与OTP不匹配的公钥hash</t>
  </si>
  <si>
    <t>1、配置OTP 生命周期 dev 模式，调试鉴权算法密钥eHSM Debug Key配置SHA256-SECP256R1预置值公钥hash和对应属性，其它默认；
2、重启eHSM，并检查启动状态；
3、使用 get_challenge 接口，获取挑战字；
4、调用上层接口对挑战字进行hash计算，ECC算法使用预置ecc 私钥，计算签名；
5、将签名好的数据和非法公钥传入 debug_auth 接口，进行鉴权；
6、确认eHSM鉴权状态为失败；</t>
  </si>
  <si>
    <t>1、配置成功；
2、重启检查状态成功；
3、获取挑战字成功；
4、签名成功；
5、发送成功；
6、执行成功；</t>
  </si>
  <si>
    <t>test_debug_auth.py::test_ehsm_755</t>
  </si>
  <si>
    <t>EHSM-756</t>
  </si>
  <si>
    <t>在 debug 模式下，使用 SM4-CMAC 算法方式，测试 eHSM 类型的鉴权过程中使用错误的CMAC值进行鉴权后再使用正确的CMAC值进行鉴权。</t>
  </si>
  <si>
    <t>1、配置OTP 生命周期 debug 模式，调试鉴权算法密钥eHSM Debug Key配置SM4-128-CMAC算法密钥预置值和对应属性，其它默认；
2、重启eHSM，并检查启动状态；
3、使用 get_challenge 接口，获取挑战字；
4、调用上层接口对挑战字进行CMAC计算，SM4-128-CMAC算法使用预置密钥钥，计算CMAC；
5、将修改错误的CMAC值传入 debug_auth 接口，进行鉴权；
6、鉴权失败后需要使用 get_challenge 接口，重新获取挑战字；
7、调用上层接口对挑战字进行CMAC计算，SM4-128-CMAC算法使用预置密钥钥，计算CMAC；
8、将重新计算好的CMAC值传入 debug_auth 接口，进行鉴权；
7、检查鉴权状态，确认鉴权成功；</t>
  </si>
  <si>
    <t>1、配置成功；
2、重启检查状态成功；
3、获取挑战字成功；
4、签名成功；
5、发送成功；
6、读取成功，数据正确；
7、计算成功；
8、发送成功；
9、检查通过；</t>
  </si>
  <si>
    <t>test_debug_auth.py::test_ehsm_756</t>
  </si>
  <si>
    <t>EHSM-757</t>
  </si>
  <si>
    <t>在User 模式下，使用非法鉴权命令参数进行鉴权测试</t>
  </si>
  <si>
    <t>1、输入非法鉴权类型，进行鉴权；
2、输入非法鉴权算法，进行鉴权；
3、输入非法签名地址或size，进行鉴权；</t>
  </si>
  <si>
    <t>1、鉴权失败，返回对应错误码；
2、鉴权失败，返回对应错误码；
3、鉴权失败，返回对应错误码；</t>
  </si>
  <si>
    <t>test_debug_auth.py::test_ehsm_757</t>
  </si>
  <si>
    <t>EHSM-758</t>
  </si>
  <si>
    <t>在Test 模式下，使用 SHA256-SECP256R1 算法，测试UART方式的 eHSM鉴权功能</t>
  </si>
  <si>
    <t>1、配置OTP 生命周期Test模式，调试鉴权算法密钥eHSM Debug Key配置SHA256-SECP256R1预置值公钥hash和对应属性，其它默认；
2、重启eHSM，并检查启动状态；
3、使用串口调试工具发送 REQ21@ 字符串，获取挑战字；
4、将获取到的挑战字进行hash计算，ECC算法使用预置ecc 私钥，计算签名；
5、将签名好的数据和公钥组合成字符串格式RSP+type+alg:+public key:+signature+@,并通过串口发送，进行鉴权；</t>
  </si>
  <si>
    <t>1、配置成功；
2、重启检查状态成功；
3、读取成功，数据正确；
4、读取成功，数据正确；
5、发送成功；</t>
  </si>
  <si>
    <t>test_debug_auth.py::test_ehsm_758</t>
  </si>
  <si>
    <t>EHSM-759</t>
  </si>
  <si>
    <t>在Test 模式下，使用 SM2-SM2 算法方式，测试UART方式的 eHSM 类型的正常鉴权过程</t>
  </si>
  <si>
    <t>1、配置OTP 生命周期Test模式，调试鉴权算法密钥eHSM Debug Key配置SM3算法预置值公钥hash和对应属性，其它默认；
2、重启eHSM，并检查启动状态；
3、使用串口调试工具发送 REQ21@ 字符串，获取挑战字；
4、调用上层接口对挑战字进行SM3计算，SM2算法使用预置SM2公私钥，计算签名；
5、将签名好的数据和公钥组合成字符串格式 RSP+type+alg:+public key:+signature+@,并通过串口发送，进行鉴权；</t>
  </si>
  <si>
    <t>1、配置成功；
2、重启检查状态成功；
3、读取成功，数据正确；
4、签名成功；
5、发送成功；</t>
  </si>
  <si>
    <t>test_debug_auth.py::test_ehsm_759</t>
  </si>
  <si>
    <t>EHSM-761</t>
  </si>
  <si>
    <t>在Test 模式下，使用 AES-CMAC 算法方式，测试UART方式的 eHSM 类型的正常鉴权过程</t>
  </si>
  <si>
    <t>1、配置OTP 生命周期Test模式，调试鉴权算法密钥eHSM Debug Key配置AES-128-CMAC算法密钥预置值和对应属性，其它默认；
2、重启eHSM，并检查启动状态；
3、使用串口调试工具发送 REQ21@ 字符串，获取挑战字；
4、调用上层接口对挑战字进行CMAC计算，AES-128-CMAC算法使用预置密钥钥，计算CMAC；
5、将计算好的CMAC和公钥组合成字符串格式 RSP+type+alg:+public key:+signature+@,并通过串口发送，，进行鉴权；</t>
  </si>
  <si>
    <t>test_debug_auth.py::test_ehsm_761</t>
  </si>
  <si>
    <t>EHSM-762</t>
  </si>
  <si>
    <t>在Test 模式下，使用 SM4-CMAC 算法方式，测试UART方式的 eHSM 类型的正常鉴权过程</t>
  </si>
  <si>
    <t>1、配置OTP 生命周期Test模式，调试鉴权算法密钥eHSM Debug Key配置SM4-128-CMAC算法密钥预置值和对应属性，其它默认；
2、重启eHSM，并检查启动状态；
3、使用串口调试工具发送 REQ21@ 字符串，获取挑战字；
4、调用上层接口对挑战字进行CMAC计算，SM4-128-CMAC算法使用预置密钥钥，计算CMAC；
5、将计算好的CMAC和公钥组合成字符串格式 RSP+type+alg:+public key:+signature+@,并通过串口发送，，进行鉴权；</t>
  </si>
  <si>
    <t>test_debug_auth.py::test_ehsm_762</t>
  </si>
  <si>
    <t>EHSM_D005</t>
  </si>
  <si>
    <t>通过UART字符协议获取eHSM+RSA2048挑战值</t>
  </si>
  <si>
    <t>1、配置OTP为Test模式，配置eHSM Debug Key为RSA2048公钥；
2、重启eHSM，并检查启动状态；
3、通过UART发送REQ15@，获取挑战值；</t>
  </si>
  <si>
    <t>1、配置成功；
2、重启成功；
3、返回48字节挑战值；</t>
  </si>
  <si>
    <t>test_debug_auth.py::test_ehsm_d005</t>
  </si>
  <si>
    <t>EHSM_D022</t>
  </si>
  <si>
    <t>通过UART字符协议进行eHSM+RSA2048签名校验</t>
  </si>
  <si>
    <t>1、配置OTP为Test模式，配置eHSM Debug Key为RSA2048公钥；
2、重启eHSM，并检查启动状态；
3、通过UART发送REQ15@，获取挑战值；
4、使用RSA2048私钥对挑战值进行签名；
5、通过UART发送RSP指令进行签名校验；
6、检查eHSM鉴权状态，确认鉴权成功；</t>
  </si>
  <si>
    <t>1、配置成功；
2、重启成功；
3、获取成功；
4、签名成功；
5、返回ENDPASS@；
6、检查通过；</t>
  </si>
  <si>
    <t>test_debug_auth.py::test_ehsm_d022</t>
  </si>
  <si>
    <t>EHSM_D023</t>
  </si>
  <si>
    <t>通过UART字符协议进行eHSM+RSA3072签名校验</t>
  </si>
  <si>
    <t>1、配置OTP为Test模式，配置eHSM Debug Key为RSA3072公钥；
2、重启eHSM，并检查启动状态；
3、通过UART发送REQ15@，获取挑战值；
4、使用RSA3072私钥对挑战值进行签名；
5、通过UART发送RSP指令进行签名校验；
6、检查eHSM鉴权状态，确认鉴权成功；
7、重置RSA密钥大小为默认值；</t>
  </si>
  <si>
    <t>1、配置成功；
2、重启成功；
3、获取成功；
4、签名成功；
5、返回ENDPASS@；
6、检查通过；
7、重置成功；</t>
  </si>
  <si>
    <t>test_debug_auth.py::test_ehsm_d023</t>
  </si>
  <si>
    <t>EHSM_D006</t>
  </si>
  <si>
    <t>通过UART字符协议获取SOC+SM3-SM2挑战值</t>
  </si>
  <si>
    <t>1、配置OTP为Test模式，配置SOC Debug Key为SM2公钥；
2、重启eHSM，并检查启动状态；
3、通过UART发送REQ31@，获取挑战值；</t>
  </si>
  <si>
    <t>test_debug_auth.py::test_ehsm_d006</t>
  </si>
  <si>
    <t>EHSM_D024</t>
  </si>
  <si>
    <t>通过UART字符协议进行SOC+SM3-SM2签名校验</t>
  </si>
  <si>
    <t>1、配置OTP为Dev模式，配置SOC Debug Key为SM2公钥；
2、重启eHSM，并检查启动状态；
3、通过UART发送REQ31@，获取挑战值；
4、使用SM2私钥对挑战值进行签名；
5、通过UART发送RSP指令进行签名校验；
6、检查SOC鉴权状态，确认鉴权成功；
7、检查SOC调试端口bitmap寄存器；</t>
  </si>
  <si>
    <t>1、配置成功；
2、重启成功；
3、获取成功；
4、签名成功；
5、返回ENDPASS@；
6、检查通过；
7、检查通过；</t>
  </si>
  <si>
    <t>test_debug_auth.py::test_ehsm_d024</t>
  </si>
  <si>
    <t>EHSM_D025</t>
  </si>
  <si>
    <t>通过UART字符协议进行SOC+SHA256-SECP256R1签名校验</t>
  </si>
  <si>
    <t>1、配置OTP为Dev模式，配置SOC Debug Key为ECC256公钥；
2、重启eHSM，并检查启动状态；
3、通过UART发送REQ32@，获取挑战值；
4、使用SECP256R1私钥对挑战值进行签名；
5、通过UART发送RSP指令进行签名校验；
6、检查SOC鉴权状态，确认鉴权成功；
7、检查SOC调试端口bitmap寄存器；</t>
  </si>
  <si>
    <t>test_debug_auth.py::test_ehsm_d025</t>
  </si>
  <si>
    <t>EHSM_D026</t>
  </si>
  <si>
    <t>通过UART字符协议进行SOC+SM4-CMAC签名校验</t>
  </si>
  <si>
    <t>1、配置OTP为Dev模式，配置SOC Debug Key为SM4密钥；
2、重启eHSM，并检查启动状态；
3、通过UART发送REQ33@，获取挑战值；
4、使用SM4密钥对挑战值进行CMAC计算；
5、通过UART发送RSP指令进行签名校验；
6、检查SOC鉴权状态，确认鉴权成功；
7、检查SOC调试端口bitmap寄存器；</t>
  </si>
  <si>
    <t>1、配置成功；
2、重启成功；
3、获取成功；
4、计算成功；
5、返回ENDPASS@；
6、检查通过；
7、检查通过；</t>
  </si>
  <si>
    <t>test_debug_auth.py::test_ehsm_d026</t>
  </si>
  <si>
    <t>EHSM_D027</t>
  </si>
  <si>
    <t>通过UART字符协议进行SOC+AES128-CMAC签名校验</t>
  </si>
  <si>
    <t>1、配置OTP为Dev模式，配置SOC Debug Key为AES128密钥；
2、重启eHSM，并检查启动状态；
3、通过UART发送REQ34@，获取挑战值；
4、使用AES128密钥对挑战值进行CMAC计算；
5、通过UART发送RSP指令进行签名校验；
6、检查SOC鉴权状态，确认鉴权成功；
7、检查SOC调试端口bitmap寄存器；</t>
  </si>
  <si>
    <t>test_debug_auth.py::test_ehsm_d027</t>
  </si>
  <si>
    <t>EHSM_D028</t>
  </si>
  <si>
    <t>通过UART字符协议进行SOC+RSA2048签名校验</t>
  </si>
  <si>
    <t>1、配置OTP为Dev模式，配置SOC Debug Key为RSA2048公钥；
2、重启eHSM，并检查启动状态；
3、通过UART发送REQ35@，获取挑战值；
4、使用RSA2048私钥对挑战值进行签名；
5、通过UART发送RSP指令进行签名校验；
6、检查SOC鉴权状态，确认鉴权成功；
7、检查SOC调试端口bitmap寄存器；</t>
  </si>
  <si>
    <t>test_debug_auth.py::test_ehsm_d028</t>
  </si>
  <si>
    <t>EHSM_D029</t>
  </si>
  <si>
    <t>通过UART字符协议进行SOC+RSA3072签名校验</t>
  </si>
  <si>
    <t>1、配置OTP为Dev模式，配置SOC Debug Key为RSA3072公钥；
2、重启eHSM，并检查启动状态；
3、通过UART发送REQ35@，获取挑战值；
4、使用RSA3072私钥对挑战值进行签名；
5、通过UART发送RSP指令进行签名校验；
6、检查SOC鉴权状态，确认鉴权成功；
7、检查SOC调试端口bitmap寄存器；
8、重置RSA密钥大小为默认值；</t>
  </si>
  <si>
    <t>1、配置成功；
2、重启成功；
3、获取成功；
4、签名成功；
5、返回ENDPASS@；
6、检查通过；
7、检查通过；
8、重置成功；</t>
  </si>
  <si>
    <t>test_debug_auth.py::test_ehsm_d029</t>
  </si>
  <si>
    <t>EHSM_D043</t>
  </si>
  <si>
    <t>通过UART字符协议测试eHSM鉴权成功后关闭调试</t>
  </si>
  <si>
    <t>1、配置OTP为dev模式，配置eHSM Debug Key为SM2公钥；
2、重启eHSM，并检查启动状态；
3、通过UART完成eHSM鉴权流程；
4、检查eHSM鉴权状态，确认已鉴权；
5、通过UART发送DIS1@关闭eHSM调试；</t>
  </si>
  <si>
    <t>1、配置成功；
2、重启成功；
3、鉴权成功；
4、检查通过；
5、返回ENDPASS@；</t>
  </si>
  <si>
    <t>test_debug_auth.py::test_ehsm_d043</t>
  </si>
  <si>
    <t>EHSM_D044</t>
  </si>
  <si>
    <t>通过UART字符协议测试SOC鉴权成功后关闭调试</t>
  </si>
  <si>
    <t>1、配置OTP为Dev模式，配置SOC Debug Key为SM4密钥；
2、重启eHSM，并检查启动状态；
3、通过UART完成SOC鉴权流程；
4、检查SOC鉴权状态，确认已鉴权；
5、通过UART发送DIS3@关闭SOC调试；</t>
  </si>
  <si>
    <t>test_debug_auth.py::test_ehsm_d044</t>
  </si>
  <si>
    <t>EHSM_D049</t>
  </si>
  <si>
    <t>通过UART字符协议测试TEST指令基本回显功能</t>
  </si>
  <si>
    <t>1、配置OTP为Test模式；
2、重启eHSM，并检查启动状态；
3、通过UART发送TESTabcd@测试回显；</t>
  </si>
  <si>
    <t>1、配置成功；
2、重启成功；
3、返回TESTabcd@；</t>
  </si>
  <si>
    <t>test_debug_auth.py::test_ehsm_d049</t>
  </si>
  <si>
    <t>EHSM_D050</t>
  </si>
  <si>
    <t>通过UART字符协议测试TEST指令空内容</t>
  </si>
  <si>
    <t>1、配置OTP为Test模式；
2、重启eHSM，并检查启动状态；
3、通过UART发送TEST@测试空内容回显；</t>
  </si>
  <si>
    <t>1、配置成功；
2、重启成功；
3、返回TEST@；</t>
  </si>
  <si>
    <t>test_debug_auth.py::test_ehsm_d050</t>
  </si>
  <si>
    <t>EHSM_D051</t>
  </si>
  <si>
    <t>通过UART字符协议测试TEST指令长字符串</t>
  </si>
  <si>
    <t>1、配置OTP为Test模式；
2、重启eHSM，并检查启动状态；
3、通过UART发送长字符串测试回显；</t>
  </si>
  <si>
    <t>1、配置成功；
2、重启成功；
3、原样回显；</t>
  </si>
  <si>
    <t>test_debug_auth.py::test_ehsm_d051</t>
  </si>
  <si>
    <t>EHSM_D053</t>
  </si>
  <si>
    <t>测试eHSM完整UART鉴权流程: REQ-&gt;RSP-&gt;DIS</t>
  </si>
  <si>
    <t>1、配置OTP为dev模式，配置eHSM Debug Key；
2、重启eHSM，并检查启动状态；
3、通过UART发送REQ12@获取挑战值；
4、对挑战值进行签名；
5、通过UART发送RSP指令完成鉴权；
6、检查eHSM鉴权状态；
7、通过UART发送DIS1@关闭调试；</t>
  </si>
  <si>
    <t>1、配置成功；
2、重启成功；
3、获取成功；
4、签名成功；
5、鉴权成功；
6、已鉴权；
7、关闭成功；</t>
  </si>
  <si>
    <t>test_debug_auth.py::test_ehsm_d053</t>
  </si>
  <si>
    <t>EHSM_D054</t>
  </si>
  <si>
    <t>测试SOC完整UART鉴权流程: REQ-&gt;RSP-&gt;DIS</t>
  </si>
  <si>
    <t>1、配置OTP为dev模式，配置SOC Debug Key；
2、重启eHSM，并检查启动状态；
3、通过UART发送REQ34@获取挑战值；
4、对挑战值进行CMAC计算；
5、通过UART发送RSP指令完成鉴权；
6、检查SOC鉴权状态；
7、检查SOC调试端口bitmap寄存器；
8、通过UART发送DIS3@关闭调试；</t>
  </si>
  <si>
    <t>1、配置成功；
2、重启成功；
3、获取成功；
4、计算成功；
5、鉴权成功；
6、已鉴权；
7、检查通过；
8、关闭成功；</t>
  </si>
  <si>
    <t>test_debug_auth.py::test_ehsm_d054</t>
  </si>
  <si>
    <t>EHSM_D001</t>
  </si>
  <si>
    <t>通过UART字符协议获取eHSM+SM3-SM2挑战值</t>
  </si>
  <si>
    <t>1、配置OTP为Test模式，配置eHSM Debug Key为SM2公钥；
2、重启eHSM，并检查启动状态；
3、通过UART发送REQ11@，获取挑战值；</t>
  </si>
  <si>
    <t>test_debug_auth.py::test_ehsm_d001</t>
  </si>
  <si>
    <t>EHSM_D002</t>
  </si>
  <si>
    <t>通过UART字符协议获取eHSM+SHA256-SECP256R1挑战值</t>
  </si>
  <si>
    <t>1、配置OTP为Test模式，配置eHSM Debug Key为ECC256公钥；
2、重启eHSM，并检查启动状态；
3、通过UART发送REQ12@，获取挑战值；</t>
  </si>
  <si>
    <t>test_debug_auth.py::test_ehsm_d002</t>
  </si>
  <si>
    <t>EHSM_D003</t>
  </si>
  <si>
    <t>通过UART字符协议获取eHSM+SM4-CMAC挑战值</t>
  </si>
  <si>
    <t>1、配置OTP为Test模式，配置eHSM Debug Key为SM4密钥；
2、重启eHSM，并检查启动状态；
3、通过UART发送REQ13@，获取挑战值；</t>
  </si>
  <si>
    <t>test_debug_auth.py::test_ehsm_d003</t>
  </si>
  <si>
    <t>EHSM_D004</t>
  </si>
  <si>
    <t>通过UART字符协议获取eHSM+AES128-CMAC挑战值</t>
  </si>
  <si>
    <t>1、配置OTP为Test模式，配置eHSM Debug Key为AES128密钥；
2、重启eHSM，并检查启动状态；
3、通过UART发送REQ14@，获取挑战值；</t>
  </si>
  <si>
    <t>test_debug_auth.py::test_ehsm_d004</t>
  </si>
  <si>
    <t>EHSM_D007</t>
  </si>
  <si>
    <t>通过UART字符协议获取SOC+SHA256-SECP256R1挑战值</t>
  </si>
  <si>
    <t>1、配置OTP为Test模式，配置SOC Debug Key为ECC256公钥；
2、重启eHSM，并检查启动状态；
3、通过UART发送REQ32@，获取挑战值；</t>
  </si>
  <si>
    <t>test_debug_auth.py::test_ehsm_d007</t>
  </si>
  <si>
    <t>EHSM_D008</t>
  </si>
  <si>
    <t>通过UART字符协议获取SOC+SM4-CMAC挑战值</t>
  </si>
  <si>
    <t>1、配置OTP为Test模式，配置SOC Debug Key为SM4密钥；
2、重启eHSM，并检查启动状态；
3、通过UART发送REQ33@，获取挑战值；</t>
  </si>
  <si>
    <t>test_debug_auth.py::test_ehsm_d008</t>
  </si>
  <si>
    <t>EHSM_D009</t>
  </si>
  <si>
    <t>通过UART字符协议获取SOC+AES128-CMAC挑战值</t>
  </si>
  <si>
    <t>1、配置OTP为Test模式，配置SOC Debug Key为AES128密钥；
2、重启eHSM，并检查启动状态；
3、通过UART发送REQ34@，获取挑战值；</t>
  </si>
  <si>
    <t>1、配置成功；
2、重启成功；
3、获取成功；</t>
  </si>
  <si>
    <t>test_debug_auth.py::test_ehsm_d009</t>
  </si>
  <si>
    <t>EHSM_D010</t>
  </si>
  <si>
    <t>通过UART字符协议获取SOC+RSA2048挑战值</t>
  </si>
  <si>
    <t>1、配置OTP为Test模式，配置SOC Debug Key为RSA2048公钥；
2、重启eHSM，并检查启动状态；
3、通过UART发送REQ35@，获取挑战值；</t>
  </si>
  <si>
    <t>test_debug_auth.py::test_ehsm_d010</t>
  </si>
  <si>
    <t>EHSM_D018</t>
  </si>
  <si>
    <t>通过UART字符协议进行eHSM+SM3-SM2签名校验</t>
  </si>
  <si>
    <t>1、配置OTP为Test模式，配置eHSM Debug Key为SM2公钥；
2、重启eHSM，并检查启动状态；
3、通过UART发送REQ11@，获取挑战值；
4、使用SM2私钥对挑战值进行签名；
5、通过UART发送RSP指令进行签名校验；
6、检查eHSM鉴权状态，确认鉴权成功；</t>
  </si>
  <si>
    <t>test_debug_auth.py::test_ehsm_d018</t>
  </si>
  <si>
    <t>EHSM_D019</t>
  </si>
  <si>
    <t>通过UART字符协议进行eHSM+SHA256-SECP256R1签名校验</t>
  </si>
  <si>
    <t>1、配置OTP为Test模式，配置eHSM Debug Key为ECC256公钥；
2、重启eHSM，并检查启动状态；
3、通过UART发送REQ12@，获取挑战值；
4、使用SECP256R1私钥对挑战值进行签名；
5、通过UART发送RSP指令进行签名校验；
6、检查eHSM鉴权状态，确认鉴权成功；</t>
  </si>
  <si>
    <t>test_debug_auth.py::test_ehsm_d019</t>
  </si>
  <si>
    <t>EHSM_D020</t>
  </si>
  <si>
    <t>通过UART字符协议进行eHSM+SM4-CMAC签名校验</t>
  </si>
  <si>
    <t>1、配置OTP为Test模式，配置eHSM Debug Key为SM4密钥；
2、重启eHSM，并检查启动状态；
3、通过UART发送REQ13@，获取挑战值；
4、使用SM4密钥对挑战值进行CMAC计算；
5、通过UART发送RSP指令进行签名校验；
6、检查eHSM鉴权状态，确认鉴权成功；</t>
  </si>
  <si>
    <t>1、配置成功；
2、重启成功；
3、获取成功；
4、计算成功；
5、返回ENDPASS@；
6、检查通过；</t>
  </si>
  <si>
    <t>test_debug_auth.py::test_ehsm_d020</t>
  </si>
  <si>
    <t>EHSM_D021</t>
  </si>
  <si>
    <t>通过UART字符协议进行eHSM+AES128-CMAC签名校验</t>
  </si>
  <si>
    <t>1、配置OTP为Test模式，配置eHSM Debug Key为AES128密钥；
2、重启eHSM，并检查启动状态；
3、通过UART发送REQ14@，获取挑战值；
4、使用AES128密钥对挑战值进行CMAC计算；
5、通过UART发送RSP指令进行签名校验；
6、检查eHSM鉴权状态，确认鉴权成功；</t>
  </si>
  <si>
    <t>test_debug_auth.py::test_ehsm_d021</t>
  </si>
  <si>
    <t>EHSM_D041</t>
  </si>
  <si>
    <t>通过UART字符协议测试基本关闭eHSM调试功能</t>
  </si>
  <si>
    <t>1、配置OTP为Dev模式；
2、重启eHSM，并检查启动状态；
3、通过UART发送DIS1@关闭eHSM调试；</t>
  </si>
  <si>
    <t>1、配置成功；
2、重启成功；
3、返回ENDPASS@；</t>
  </si>
  <si>
    <t>test_debug_auth.py::test_ehsm_d041</t>
  </si>
  <si>
    <t>EHSM_D042</t>
  </si>
  <si>
    <t>通过UART字符协议测试基本关闭SOC调试功能</t>
  </si>
  <si>
    <t>1、配置OTP为Dev模式；
2、重启eHSM，并检查启动状态；
3、通过UART发送DIS3@关闭SOC调试；</t>
  </si>
  <si>
    <t>test_debug_auth.py::test_ehsm_d042</t>
  </si>
  <si>
    <t>EHSM_D058</t>
  </si>
  <si>
    <t>在Test生命周期模式下测试完整UART调试鉴权流程</t>
  </si>
  <si>
    <t>1、配置OTP为Test模式；
2、重启eHSM，并检查启动状态；
3、通过UART获取挑战值；
4、对挑战值进行CMAC计算；
5、通过UART发送RSP指令完成鉴权；
6、检查eHSM鉴权状态；
7、通过UART关闭调试；</t>
  </si>
  <si>
    <t>1、配置成功；
2、重启成功；
3、获取成功；
4、计算成功；
5、鉴权成功；
6、已鉴权；
7、关闭成功；</t>
  </si>
  <si>
    <t>test_debug_auth.py::test_ehsm_d058</t>
  </si>
  <si>
    <t>EHSM_D059</t>
  </si>
  <si>
    <t>在Dev生命周期模式下测试完整UART调试鉴权流程</t>
  </si>
  <si>
    <t>1、配置OTP为Dev模式；
2、重启eHSM，并检查启动状态；
3、通过UART获取挑战值；
4、对挑战值进行CMAC计算；
5、通过UART发送RSP指令完成鉴权；
6、检查eHSM鉴权状态；
7、通过UART关闭调试；</t>
  </si>
  <si>
    <t>test_debug_auth.py::test_ehsm_d059</t>
  </si>
  <si>
    <t>EHSM_D060</t>
  </si>
  <si>
    <t>在Manu生命周期模式下测试完整UART调试鉴权流程</t>
  </si>
  <si>
    <t>1、配置OTP为Manu模式；
2、重启eHSM，并检查启动状态；
3、通过UART获取挑战值；
4、对挑战值进行CMAC计算；
5、通过UART发送RSP指令完成鉴权；
6、检查eHSM鉴权状态；</t>
  </si>
  <si>
    <t>1、配置成功；
2、重启成功；
3、获取成功；
4、计算成功；
5、鉴权成功；
6、已鉴权；</t>
  </si>
  <si>
    <t>test_debug_auth.py::test_ehsm_d060</t>
  </si>
  <si>
    <t>EHSM_D062</t>
  </si>
  <si>
    <t>在Debug生命周期模式下测试完整UART调试鉴权流程</t>
  </si>
  <si>
    <t>1、配置OTP为Debug模式；
2、重启eHSM，并检查启动状态；
3、通过UART获取挑战值；
4、对挑战值进行CMAC计算；
5、通过UART发送RSP指令完成鉴权；
6、检查eHSM鉴权状态；</t>
  </si>
  <si>
    <t>test_debug_auth.py::test_ehsm_d062</t>
  </si>
  <si>
    <t>EHSM_D061</t>
  </si>
  <si>
    <t>在User生命周期模式下测试UART调试鉴权限制</t>
  </si>
  <si>
    <t>1、配置OTP为User模式；
2、重启eHSM，并检查启动状态；
3、尝试通过UART获取挑战值；</t>
  </si>
  <si>
    <t>1、配置成功；
2、重启成功；
3、应失败或受限；</t>
  </si>
  <si>
    <t>test_debug_auth.py::test_ehsm_d061</t>
  </si>
  <si>
    <t>EHSM_D011</t>
  </si>
  <si>
    <t>测试REQ指令使用非法type参数</t>
  </si>
  <si>
    <t>1、配置OTP为Dev模式并重启；
2、通过UART发送REQ91@(非法type=9)；</t>
  </si>
  <si>
    <t>1、配置成功；
2、返回错误响应或无响应；</t>
  </si>
  <si>
    <t>test_debug_auth.py::test_ehsm_d011</t>
  </si>
  <si>
    <t>EHSM_D012</t>
  </si>
  <si>
    <t>测试REQ指令使用非法alg参数</t>
  </si>
  <si>
    <t>1、配置OTP为Dev模式并重启；
2、通过UART发送REQ19@(非法alg=9)；</t>
  </si>
  <si>
    <t>test_debug_auth.py::test_ehsm_d012</t>
  </si>
  <si>
    <t>EHSM_D013</t>
  </si>
  <si>
    <t>测试REQ指令缺少@结束符</t>
  </si>
  <si>
    <t>1、配置OTP为Dev模式并重启；
2、通过UART发送REQ11(缺少@)；</t>
  </si>
  <si>
    <t>1、配置成功；
2、无响应或超时；</t>
  </si>
  <si>
    <t>test_debug_auth.py::test_ehsm_d013</t>
  </si>
  <si>
    <t>EHSM_D014</t>
  </si>
  <si>
    <t>测试REQ指令格式错误-参数不完整</t>
  </si>
  <si>
    <t>1、配置OTP为Dev模式并重启；
2、通过UART发送REQ1@(缺少alg)；</t>
  </si>
  <si>
    <t>1、配置成功；
2、返回错误响应；</t>
  </si>
  <si>
    <t>test_debug_auth.py::test_ehsm_d014</t>
  </si>
  <si>
    <t>EHSM_D015</t>
  </si>
  <si>
    <t>测试REQ指令格式错误-只有REQ</t>
  </si>
  <si>
    <t>1、配置OTP为Dev模式并重启；
2、通过UART发送REQ@(缺少type和alg)；</t>
  </si>
  <si>
    <t>test_debug_auth.py::test_ehsm_d015</t>
  </si>
  <si>
    <t>EHSM_D030</t>
  </si>
  <si>
    <t>测试RSP指令使用错误的签名值</t>
  </si>
  <si>
    <t>1、配置OTP为Dev模式并重启；
2、通过UART获取挑战值；
3、计算正确的签名并修改其中一个字节；
4、通过UART发送错误的签名；</t>
  </si>
  <si>
    <t>1、配置成功；
2、获取成功；
3、修改成功；
4、返回END_DATA_FAIL@或END_VERIFY_FAIL@；</t>
  </si>
  <si>
    <t>test_debug_auth.py::test_ehsm_d030</t>
  </si>
  <si>
    <t>EHSM_D031</t>
  </si>
  <si>
    <t>测试RSP指令使用错误的公钥</t>
  </si>
  <si>
    <t>1、配置OTP为Dev模式，配置eHSM Debug Key为ECC256公钥；
2、重启eHSM，并检查启动状态；
3、通过UART获取挑战值；
4、使用正确私钥签名，但使用错误的公钥；
5、通过UART发送错误的公钥；</t>
  </si>
  <si>
    <t>1、配置成功；
2、重启成功；
3、获取成功；
4、签名成功；
5、返回END_PUBKEY_FAIL@；</t>
  </si>
  <si>
    <t>test_debug_auth.py::test_ehsm_d031</t>
  </si>
  <si>
    <t>EHSM_D032</t>
  </si>
  <si>
    <t>测试RSP指令签名长度错误</t>
  </si>
  <si>
    <t>1、配置OTP为Dev模式并重启；
2、通过UART获取挑战值；
3、计算正确的签名并截断长度；
4、通过UART发送长度错误的签名；</t>
  </si>
  <si>
    <t>1、配置成功；
2、获取成功；
3、修改成功；
4、返回错误响应；</t>
  </si>
  <si>
    <t>test_debug_auth.py::test_ehsm_d032</t>
  </si>
  <si>
    <t>EHSM_D033</t>
  </si>
  <si>
    <t>测试RSP指令公钥长度错误</t>
  </si>
  <si>
    <t>1、配置OTP为Dev模式并重启；
2、通过UART获取挑战值；
3、计算正确的签名；
4、通过UART发送长度错误的公钥；</t>
  </si>
  <si>
    <t>1、配置成功；
2、获取成功；
3、签名成功；
4、返回END_PUBKEY_FAIL@；</t>
  </si>
  <si>
    <t>test_debug_auth.py::test_ehsm_d033</t>
  </si>
  <si>
    <t>EHSM_D036</t>
  </si>
  <si>
    <t>测试RSP指令缺少冒号分隔符</t>
  </si>
  <si>
    <t>1、配置OTP为Dev模式并重启；
2、通过UART获取挑战值；
3、计算正确的签名；
4、构造缺少冒号的RSP指令并发送；</t>
  </si>
  <si>
    <t>1、配置成功；
2、获取成功；
3、签名成功；
4、返回END_PARAMETER_FAIL@；</t>
  </si>
  <si>
    <t>test_debug_auth.py::test_ehsm_d036</t>
  </si>
  <si>
    <t>EHSM_D038</t>
  </si>
  <si>
    <t>测试RSP指令包含非十六进制字符</t>
  </si>
  <si>
    <t>1、配置OTP为Dev模式并重启；
2、通过UART获取挑战值；
3、计算正确的签名；
4、构造包含非法字符的RSP指令并发送；</t>
  </si>
  <si>
    <t>1、配置成功；
2、获取成功；
3、签名成功；
4、返回END_DATA_FAIL@；</t>
  </si>
  <si>
    <t>test_debug_auth.py::test_ehsm_d038</t>
  </si>
  <si>
    <t>EHSM_D039</t>
  </si>
  <si>
    <t>测试RSP指令缺少@结束符</t>
  </si>
  <si>
    <t>1、配置OTP为Dev模式并重启；
2、通过UART获取挑战值；
3、计算正确的签名；
4、构造缺少@的RSP指令并发送；</t>
  </si>
  <si>
    <t>1、配置成功；
2、获取成功；
3、签名成功；
4、无响应或超时；</t>
  </si>
  <si>
    <t>test_debug_auth.py::test_ehsm_d039</t>
  </si>
  <si>
    <t>EHSM_D040</t>
  </si>
  <si>
    <t>测试RSP指令type/alg参数错误</t>
  </si>
  <si>
    <t>1、配置OTP为Dev模式并重启；
2、通过UART获取挑战值；
3、计算正确的签名；
4、使用非法type发送RSP指令；
5、使用非法alg发送RSP指令；</t>
  </si>
  <si>
    <t>1、配置成功；
2、获取成功；
3、签名成功；
4、返回END_PARAMETER_FAIL@；
5、返回END_PARAMETER_FAIL@；</t>
  </si>
  <si>
    <t>test_debug_auth.py::test_ehsm_d040</t>
  </si>
  <si>
    <t>EHSM_D046</t>
  </si>
  <si>
    <t>测试DIS指令使用非法type参数</t>
  </si>
  <si>
    <t>1、配置OTP为Dev模式并重启；
2、通过UART发送DIS9@(非法type=9)；</t>
  </si>
  <si>
    <t>1、配置成功；
2、返回END_PARAMETER_FAIL@；</t>
  </si>
  <si>
    <t>test_debug_auth.py::test_ehsm_d046</t>
  </si>
  <si>
    <t>EHSM_D047</t>
  </si>
  <si>
    <t>测试DIS指令缺少type参数</t>
  </si>
  <si>
    <t>1、配置OTP为Dev模式并重启；
2、通过UART发送DIS@(缺少type)；</t>
  </si>
  <si>
    <t>test_debug_auth.py::test_ehsm_d047</t>
  </si>
  <si>
    <t>EHSM_D055</t>
  </si>
  <si>
    <t>测试连续多次获取挑战值</t>
  </si>
  <si>
    <t>1、配置OTP为Dev模式并重启；
2、连续3次获取挑战值；
3、验证每次获取的挑战值不同；</t>
  </si>
  <si>
    <t>1、配置成功；
2、每次都应该成功；
3、挑战值应该不同；</t>
  </si>
  <si>
    <t>test_debug_auth.py::test_ehsm_d055</t>
  </si>
  <si>
    <t>EHSM_D056</t>
  </si>
  <si>
    <t>测试鉴权失败后重新鉴权</t>
  </si>
  <si>
    <t>1、配置OTP为Dev模式并重启；
2、通过UART发送DIS1@关闭eHSM调试；
3、检查eHSM鉴权状态，确认已关闭；
4、获取挑战值；
5、计算正确的签名并修改；
6、使用错误签名鉴权；
7、重新获取挑战值；
8、使用正确签名重新鉴权；</t>
  </si>
  <si>
    <t>1、配置成功；
2、返回ENDPASS@；
3、eHSM调试鉴权关闭；
4、获取成功；
5、修改成功；
6、鉴权失败；
7、获取成功；
8、鉴权成功；</t>
  </si>
  <si>
    <t>test_debug_auth.py::test_ehsm_d056</t>
  </si>
  <si>
    <t>EHSM_D016</t>
  </si>
  <si>
    <t>测试REQ指令包含多余字符</t>
  </si>
  <si>
    <t>1、配置OTP为Dev模式并重启；
2、通过UART发送REQ11X@(包含多余字符X)；</t>
  </si>
  <si>
    <t>1、配置成功；
2、返回错误响应或被忽略；</t>
  </si>
  <si>
    <t>test_debug_auth.py::test_ehsm_d016</t>
  </si>
  <si>
    <t>EHSM_D017</t>
  </si>
  <si>
    <t>测试REQ指令发送空字符串</t>
  </si>
  <si>
    <t>1、配置OTP为Dev模式并重启；
2、通过UART发送仅@符号；</t>
  </si>
  <si>
    <t>1、配置成功；
2、无响应或错误响应；</t>
  </si>
  <si>
    <t>test_debug_auth.py::test_ehsm_d017</t>
  </si>
  <si>
    <t>EHSM_D034</t>
  </si>
  <si>
    <t>测试RSP指令使用空签名</t>
  </si>
  <si>
    <t>1、配置OTP为Dev模式并重启；
2、通过UART获取挑战值；
3、构造空签名的RSP指令并发送；</t>
  </si>
  <si>
    <t>1、配置成功；
2、获取成功；
3、返回END_DATA_FAIL@；</t>
  </si>
  <si>
    <t>test_debug_auth.py::test_ehsm_d034</t>
  </si>
  <si>
    <t>EHSM_D035</t>
  </si>
  <si>
    <t>测试RSP指令使用空公钥(非对称算法)</t>
  </si>
  <si>
    <t>1、配置OTP为Dev模式并重启；
2、通过UART获取挑战值；
3、计算正确的签名；
4、构造空公钥的RSP指令并发送；</t>
  </si>
  <si>
    <t>test_debug_auth.py::test_ehsm_d035</t>
  </si>
  <si>
    <t>EHSM_D037</t>
  </si>
  <si>
    <t>测试RSP指令包含多余的冒号</t>
  </si>
  <si>
    <t>1、配置OTP为Dev模式并重启；
2、通过UART获取挑战值；
3、计算正确的签名；
4、构造包含多余冒号的RSP指令并发送；</t>
  </si>
  <si>
    <t>1、配置成功；
2、获取成功；
3、签名成功；
4、返回错误响应；</t>
  </si>
  <si>
    <t>test_debug_auth.py::test_ehsm_d037</t>
  </si>
  <si>
    <t>EHSM_D048</t>
  </si>
  <si>
    <t>测试DIS指令缺少@结束符</t>
  </si>
  <si>
    <t>1、配置OTP为Dev模式并重启；
2、通过UART发送DIS1(缺少@)；</t>
  </si>
  <si>
    <t>test_debug_auth.py::test_ehsm_d048</t>
  </si>
  <si>
    <t>EHSM_D052</t>
  </si>
  <si>
    <t>测试TEST指令包含特殊字符</t>
  </si>
  <si>
    <t>1、配置OTP为Dev模式并重启；
2、发送包含特殊字符的TEST指令；</t>
  </si>
  <si>
    <t>1、配置成功；
2、原样回显；</t>
  </si>
  <si>
    <t>test_debug_auth.py::test_ehsm_d052</t>
  </si>
  <si>
    <t>EHSM_D057</t>
  </si>
  <si>
    <t>测试快速连续发送多个命令</t>
  </si>
  <si>
    <t>1、配置OTP为Dev模式并重启；
2、快速连续发送5个REQ命令；</t>
  </si>
  <si>
    <t>1、配置成功；
2、观察系统响应；</t>
  </si>
  <si>
    <t>test_debug_auth.py::test_ehsm_d057</t>
  </si>
  <si>
    <t>EHSM_D063</t>
  </si>
  <si>
    <t>测试get_challenge接口type参数为无效值</t>
  </si>
  <si>
    <t>1、配置OTP为Test模式，调试鉴权算法配置为ECC256，并重启；
2、使用get_challenge接口，传入非法的challenge_type参数（超出有效范围）；</t>
  </si>
  <si>
    <t>1、配置成功；
2、返回参数错误码；</t>
  </si>
  <si>
    <t>test_debug_auth.py::test_ehsm_d063</t>
  </si>
  <si>
    <t>EHSM_D064</t>
  </si>
  <si>
    <t>测试get_challenge接口addr参数为NULL</t>
  </si>
  <si>
    <t>1、配置OTP为Test模式，调试鉴权算法配置为ECC256，并重启；
2、调用ehsm_get_challenge_error接口，传入ctx_addr=0（空指针）；</t>
  </si>
  <si>
    <t>test_debug_auth.py::test_ehsm_d064</t>
  </si>
  <si>
    <t>EHSM_D065</t>
  </si>
  <si>
    <t>测试debug_auth接口challenge_type参数为无效值</t>
  </si>
  <si>
    <t>1、配置OTP为Test模式，调试鉴权算法配置为ECC256，并重启；
2、调用debug_auth接口，传入无效的challenge_type参数(0)；</t>
  </si>
  <si>
    <t>1、配置成功；
2、返回错误；</t>
  </si>
  <si>
    <t>test_debug_auth.py::test_ehsm_d065</t>
  </si>
  <si>
    <t>EHSM_D066</t>
  </si>
  <si>
    <t>测试debug_auth接口algo参数为无效算法类型</t>
  </si>
  <si>
    <t>1、配置OTP为Test模式，调试鉴权算法配置为ECC256，并重启；
2、调用debug_auth接口，传入无效的algo参数(99)；</t>
  </si>
  <si>
    <t>test_debug_auth.py::test_ehsm_d066</t>
  </si>
  <si>
    <t>EHSM_D067</t>
  </si>
  <si>
    <t>测试debug_auth接口sig_size参数为0</t>
  </si>
  <si>
    <t>1、配置OTP为Test模式，调试鉴权算法配置为ECC256，并重启；
2、调用debug_auth接口，传入sig_size=0；</t>
  </si>
  <si>
    <t>test_debug_auth.py::test_ehsm_d067</t>
  </si>
  <si>
    <t>EHSM_D068</t>
  </si>
  <si>
    <t>测试debug_auth接口pub_key参数为None(非对称算法)</t>
  </si>
  <si>
    <t>1、配置OTP为Test模式，调试鉴权算法配置为ECC256，并重启；
2、调用debug_auth接口，传入pub_key=None(非对称算法需要公钥)；</t>
  </si>
  <si>
    <t>test_debug_auth.py::test_ehsm_d068</t>
  </si>
  <si>
    <t>EHSM_D069</t>
  </si>
  <si>
    <t>测试debug_auth接口sig_size参数与实际签名长度不匹配</t>
  </si>
  <si>
    <t>1、配置OTP为Test模式，调试鉴权算法配置为ECC256，并重启；
2、调用debug_auth接口，传入错误的sig_size(实际长度+10)；</t>
  </si>
  <si>
    <t>test_debug_auth.py::test_ehsm_d069</t>
  </si>
  <si>
    <t>EHSM_D070</t>
  </si>
  <si>
    <t>测试close_debug接口type参数为无效值</t>
  </si>
  <si>
    <t>1、配置OTP为Dev模式，调试鉴权算法配置为SM4-CMAC，并重启；
2、完成eHSM调试鉴权；
3、调用close_debug接口，传入无效的type参数(99)；</t>
  </si>
  <si>
    <t>1、配置成功；
2、鉴权成功；
3、返回错误；</t>
  </si>
  <si>
    <t>test_debug_auth.py::test_ehsm_d070</t>
  </si>
  <si>
    <t>EHSM_D071</t>
  </si>
  <si>
    <t>对称算法调试鉴权 sign_size=384（上界），正常执行</t>
  </si>
  <si>
    <t>1、配置OTP 生命周期Test模式，调试鉴权算法密钥eHSM Debug Key配置AES-128-CMAC算法密钥预置值；
2、重启eHSM，并检查启动状态；
3、使用 get_challenge 接口，获取挑战字；
4、调用上层接口对挑战字进行CMAC计算，AES-128-CMAC算法使用预置密钥，计算CMAC；
5、将 sig_size 设置为 384 字节，传入 debug_auth 接口，进行鉴权；
6、检查eHSM 状态，确认鉴权状态符合预期；</t>
  </si>
  <si>
    <t>1、配置成功；
2、重启检查状态成功；
3、获取挑战字成功；
4、签名成功；
5、鉴权不应因长度被拒绝；
6、检查通过；</t>
  </si>
  <si>
    <t>test_debug_auth.py::test_ehsm_d071</t>
  </si>
  <si>
    <t>EHSM_D072</t>
  </si>
  <si>
    <t>对称算法调试鉴权 sign_size=385（超界），返回错误</t>
  </si>
  <si>
    <t>1、配置OTP 生命周期Test模式，调试鉴权算法密钥eHSM Debug Key配置SM4-CMAC算法密钥预置值；
2、重启eHSM，并检查启动状态；
3、使用 get_challenge 接口，获取挑战字；
4、调用上层接口对挑战字进行CMAC计算，SM4-CMAC算法使用预置密钥，计算CMAC；
5、将 sig_size 设置为 385 字节，传入 debug_auth 接口，进行鉴权；</t>
  </si>
  <si>
    <t>1、配置成功；
2、重启检查状态成功；
3、获取挑战字成功；
4、签名成功；
5、返回 EHSM_ERR_PARAM_ERROR；</t>
  </si>
  <si>
    <t>test_debug_auth.py::test_ehsm_d072</t>
  </si>
  <si>
    <t>EHSM_D073</t>
  </si>
  <si>
    <t>对称算法调试鉴权 sign_size=0，返回错误</t>
  </si>
  <si>
    <t>1、配置OTP 生命周期Test模式，并重启；
2、获取挑战字并计算签名；
3、将 sig_size 设置为 0，传入 debug_auth 接口；</t>
  </si>
  <si>
    <t>1、配置成功；
2、获取挑战字成功；
3、返回 EHSM_ERR_WRONG_DATA_LENGTH；</t>
  </si>
  <si>
    <t>test_debug_auth.py::test_ehsm_d073</t>
  </si>
  <si>
    <t>EHSM_D074</t>
  </si>
  <si>
    <t>对称算法调试鉴权 sign_size=0xFFFFFFFF，返回错误，无溢出</t>
  </si>
  <si>
    <t>1、配置OTP 生命周期Test模式，并重启；
2、获取挑战字并计算签名；
3、将 sig_size 设置为 0xFFFFFFFF，传入 debug_auth 接口；</t>
  </si>
  <si>
    <t>1、配置成功；
2、获取挑战字成功；
3、返回 EHSM_ERR_PARAM_ERROR；</t>
  </si>
  <si>
    <t>test_debug_auth.py::test_ehsm_d074</t>
  </si>
  <si>
    <t>EHSM_D075</t>
  </si>
  <si>
    <t>对称算法 sign_size=1（下界），正常执行</t>
  </si>
  <si>
    <t>1、配置OTP 生命周期Test模式，并重启；
2、获取挑战字并计算签名，构造 1 字节数据；
3、将 sig_size 设置为 1，传入 debug_auth 接口；</t>
  </si>
  <si>
    <t>1、配置成功；
2、获取挑战字成功；
3、鉴权不应因长度被拒绝；</t>
  </si>
  <si>
    <t>test_debug_auth.py::test_ehsm_d075</t>
  </si>
  <si>
    <t>EHSM_D076</t>
  </si>
  <si>
    <t>非对称算法调试鉴权 sign_size超界，同样被拒绝</t>
  </si>
  <si>
    <t>1、配置OTP 生命周期Test模式，调试鉴权算法密钥eHSM Debug Key配置ECC256公钥；
2、重启eHSM，并检查启动状态；
3、获取挑战字并计算签名；
4、将 sig_size 设置为 385 字节，传入 debug_auth 接口；</t>
  </si>
  <si>
    <t>1、配置成功；
2、重启检查状态成功；
2、获取挑战字成功；
4、返回 EHSM_ERR_PARAM_ERROR；</t>
  </si>
  <si>
    <t>test_debug_auth.py::test_ehsm_d076</t>
  </si>
  <si>
    <t>emu</t>
  </si>
  <si>
    <t>EHSM-1294</t>
  </si>
  <si>
    <t>检查 WFI 指令的响应，进入 WFI 后会出现 SOC_WFI 信号，再次发送命令后，WFI 信号清除</t>
  </si>
  <si>
    <t>1、判断 WFI 信号清除状态；
2、使用命令进入 WFI 状态；
3、发起mailbox 指令 get_emu；
4、检查 WFI 状态是否退出；</t>
  </si>
  <si>
    <t>1、WFI 状态清除；
2、WFI 状态进入；
3、执行成功；
4、WFI 状态清除；</t>
  </si>
  <si>
    <t>test_emu.py::test_ehsm_1294</t>
  </si>
  <si>
    <t>EHSM-814</t>
  </si>
  <si>
    <t>获取 EMU 状态</t>
  </si>
  <si>
    <t>1、发送 get_emu_status mailbox 指令；并打印状态值；
2、检查获取的 EMU 状态值与 HOST 侧寄存器值是否一致；</t>
  </si>
  <si>
    <t>1、发送成功；
2、检查通过；</t>
  </si>
  <si>
    <t>test_emu.py::test_ehsm_814</t>
  </si>
  <si>
    <t>EHSM-e026</t>
  </si>
  <si>
    <t>测试emu_addr为0时，get_emu指令能否正常执行</t>
  </si>
  <si>
    <t>test_emu.py::test_ehsm_e026</t>
  </si>
  <si>
    <t>hash</t>
  </si>
  <si>
    <t>EHSM-551</t>
  </si>
  <si>
    <t>分别使用Stream和SingleCall方式测试 HASH 算法 SHA1 , 对比计算摘要是否和测试数据一致</t>
  </si>
  <si>
    <t>1、生成 {alg} 算法，输入长度为 {input_size} 的测试数据；
2、将hash数据传到算法命令中计算hash值；
3、取出计算数据和测试目标数据对比；
4、生成 {alg} 算法，输入长度为 {input_size} 的测试数据；
5、将hash数据传到算法命令中计算hash值；
6、将hash数据传到算法命令中计算hash值；
7、取出计算数据和测试目标数据对比；</t>
  </si>
  <si>
    <t>1、计算成功；
2、计算成功；
3、计算成功；
4、计算成功；
5、计算成功；</t>
  </si>
  <si>
    <t>test_hash.py::test_ehsm_551</t>
  </si>
  <si>
    <t>EHSM-552</t>
  </si>
  <si>
    <t>分别使用Stream和SingleCall方式测试 HASH 算法 SHA2-224 , 对比计算摘要是否和测试数据一致</t>
  </si>
  <si>
    <t>test_hash.py::test_ehsm_552</t>
  </si>
  <si>
    <t>EHSM-553</t>
  </si>
  <si>
    <t>分别使用Stream和SingleCall方式测试 HASH 算法 SHA2-256 , 对比计算摘要是否和测试数据一致</t>
  </si>
  <si>
    <t>test_hash.py::test_ehsm_553</t>
  </si>
  <si>
    <t>EHSM-554</t>
  </si>
  <si>
    <t>分别使用Stream和SingleCall方式测试 HASH 算法 SHA2-384 , 对比计算摘要是否和测试数据一致</t>
  </si>
  <si>
    <t>test_hash.py::test_ehsm_554</t>
  </si>
  <si>
    <t>EHSM-555</t>
  </si>
  <si>
    <t>分别使用Stream和SingleCall方式测试 HASH 算法 SHA2-512 , 对比计算摘要是否和测试数据一致</t>
  </si>
  <si>
    <t>test_hash.py::test_ehsm_555</t>
  </si>
  <si>
    <t>EHSM-556</t>
  </si>
  <si>
    <t>分别使用Stream和SingleCall方式测试 HASH 算法 SHA2-512-224 , 对比计算摘要是否和测试数据一致</t>
  </si>
  <si>
    <t>test_hash.py::test_ehsm_556</t>
  </si>
  <si>
    <t>EHSM-557</t>
  </si>
  <si>
    <t>分别使用Stream和SingleCall方式测试 HASH 算法 SHA2-512-256 , 对比计算摘要是否和测试数据一致</t>
  </si>
  <si>
    <t>test_hash.py::test_ehsm_557</t>
  </si>
  <si>
    <t>EHSM-558</t>
  </si>
  <si>
    <t>分别使用Stream和SingleCall方式测试 HASH 算法 SHA3-224 , 对比计算摘要是否和测试数据一致</t>
  </si>
  <si>
    <t>test_hash.py::test_ehsm_558</t>
  </si>
  <si>
    <t>EHSM-559</t>
  </si>
  <si>
    <t>分别使用Stream和SingleCall方式测试 HASH 算法 SHA3-256 , 对比计算摘要是否和测试数据一致</t>
  </si>
  <si>
    <t>test_hash.py::test_ehsm_559</t>
  </si>
  <si>
    <t>EHSM-560</t>
  </si>
  <si>
    <t>分别使用Stream和SingleCall方式测试 HASH 算法 SHA3-384 , 对比计算摘要是否和测试数据一致</t>
  </si>
  <si>
    <t>test_hash.py::test_ehsm_560</t>
  </si>
  <si>
    <t>EHSM-561</t>
  </si>
  <si>
    <t>分别使用Stream和SingleCall方式测试 HASH 算法 SHA3-512 , 对比计算摘要是否和测试数据一致</t>
  </si>
  <si>
    <t>test_hash.py::test_ehsm_561</t>
  </si>
  <si>
    <t>EHSM-562</t>
  </si>
  <si>
    <t>分别使用Stream和SingleCall方式测试 HASH 算法 SM3, 对比计算摘要是否和测试数据一致</t>
  </si>
  <si>
    <t>test_hash.py::test_ehsm_562</t>
  </si>
  <si>
    <t>EHSM-563</t>
  </si>
  <si>
    <t>分别使用Stream和SingleCall方式测试 HASH 算法 MD5, 对比计算摘要是否和测试数据一致</t>
  </si>
  <si>
    <t>test_hash.py::test_ehsm_563</t>
  </si>
  <si>
    <t>EHSM-564</t>
  </si>
  <si>
    <t>分别使用Stream和SingleCall方式测试 HASH 算法 HMAC-SHA1 , 对比计算摘要是否和测试数据一致</t>
  </si>
  <si>
    <t>1、生成 {alg} 算法，密钥长度为 {key_size} 输入长度为 {input_size} 的测试数据；
2、导入hmac密钥；
3、将hmac数据传到算法命令中计算hmac值, onepass；
4、取出计算hmac数据和测试目标数据对比；
5、将hmac数据传到算法命令中验证hmac值, onepass；
6、删除hmac密钥；
7、生成 {alg} 算法，密钥长度为 {key_size} 输入长度为 {input_size} 的测试数据；
8、导入hmac密钥；
9、将hmac数据传到算法命令中计算hmac值, init；
10、将hmac数据传到算法命令中计算hmac值, update；
11、将hmac数据传到算法命令中计算hmac值, finish；
12、取出计算hmac数据和测试目标数据对比；
13、将hmac数据传到算法命令中验证hmac值, init；
14、将hmac数据传到算法命令中计算验证hmac值, update；
15、将hmac数据传到算法命令中验证hmac值, finish；
16、删除hmac密钥；</t>
  </si>
  <si>
    <t>1、执行成功；
2、计算成功；
3、计算成功；
4、检查通过；
5、执行成功；
6、执行成功；
7、计算成功；
8、计算成功；
9、计算成功；
10、计算成功；
11、检查通过；
12、检查通过；
13、检查通过；
14、执行成功；</t>
  </si>
  <si>
    <t>test_hash.py::test_ehsm_564</t>
  </si>
  <si>
    <t>EHSM-565</t>
  </si>
  <si>
    <t>分别使用Stream和SingleCall方式测试 HASH 算法 HMAC-SHA2-224 , 对比计算摘要是否和测试数据一致</t>
  </si>
  <si>
    <t>test_hash.py::test_ehsm_565</t>
  </si>
  <si>
    <t>EHSM-566</t>
  </si>
  <si>
    <t>分别使用Stream和SingleCall方式测试 HASH 算法 HMAC-SHA2-256 , 对比计算摘要是否和测试数据一致</t>
  </si>
  <si>
    <t>test_hash.py::test_ehsm_566</t>
  </si>
  <si>
    <t>EHSM-567</t>
  </si>
  <si>
    <t>分别使用Stream和SingleCall方式测试 HASH 算法 HMAC-SHA2-384 , 对比计算摘要是否和测试数据一致</t>
  </si>
  <si>
    <t>test_hash.py::test_ehsm_567</t>
  </si>
  <si>
    <t>EHSM-568</t>
  </si>
  <si>
    <t>分别使用Stream和SingleCall方式测试 HASH 算法 HMAC-SHA2-512 , 对比计算摘要是否和测试数据一致</t>
  </si>
  <si>
    <t>test_hash.py::test_ehsm_568</t>
  </si>
  <si>
    <t>EHSM-569</t>
  </si>
  <si>
    <t>分别使用Stream和SingleCall方式测试 HASH 算法 HMAC-SHA2-512-224 , 对比计算摘要是否和测试数据一致</t>
  </si>
  <si>
    <t>test_hash.py::test_ehsm_569</t>
  </si>
  <si>
    <t>EHSM-570</t>
  </si>
  <si>
    <t>分别使用Stream和SingleCall方式测试 HASH 算法 HMAC-SHA2-512-256 , 对比计算摘要是否和测试数据一致</t>
  </si>
  <si>
    <t>test_hash.py::test_ehsm_570</t>
  </si>
  <si>
    <t>EHSM-571</t>
  </si>
  <si>
    <t>分别使用Stream和SingleCall方式测试 HASH 算法 HMAC-SHA3-224 , 对比计算摘要是否和测试数据一致</t>
  </si>
  <si>
    <t>test_hash.py::test_ehsm_571</t>
  </si>
  <si>
    <t>EHSM-572</t>
  </si>
  <si>
    <t>分别使用Stream和SingleCall方式测试 HASH 算法 HMAC-SHA3-256 , 对比计算摘要是否和测试数据一致</t>
  </si>
  <si>
    <t>test_hash.py::test_ehsm_572</t>
  </si>
  <si>
    <t>EHSM-573</t>
  </si>
  <si>
    <t>分别使用Stream和SingleCall方式测试 HASH 算法 HMAC-SHA3-384 , 对比计算摘要是否和测试数据一致</t>
  </si>
  <si>
    <t>test_hash.py::test_ehsm_573</t>
  </si>
  <si>
    <t>EHSM-574</t>
  </si>
  <si>
    <t>分别使用Stream和SingleCall方式测试 HASH 算法 HMAC-SHA3-512 , 对比计算摘要是否和测试数据一致</t>
  </si>
  <si>
    <t>test_hash.py::test_ehsm_574</t>
  </si>
  <si>
    <t>EHSM-575</t>
  </si>
  <si>
    <t>分别使用Stream和SingleCall方式测试 HASH 算法 HMAC-SM3, 对比计算摘要是否和测试数据一致</t>
  </si>
  <si>
    <t>test_hash.py::test_ehsm_575</t>
  </si>
  <si>
    <t>EHSM-576</t>
  </si>
  <si>
    <t>分别使用Stream和SingleCall方式测试 HASH 算法 HMAC-MD5, 对比计算摘要是否和测试数据一致</t>
  </si>
  <si>
    <t>test_hash.py::test_ehsm_576</t>
  </si>
  <si>
    <t>EHSM-577</t>
  </si>
  <si>
    <t>对HASH 命令输入异常参数测试，如错误算法、空地址、错误size</t>
  </si>
  <si>
    <t>1、生成 {alg} 算法，输入长度为 {input_size} 的测试数据；
1、传入非法算法，其它参数保持正常；
2、传入非法模式，其它参数保持正常；
3、传入非法数据地址，其它参数正常；
4、传入非法数据长度，其它参数正常；
5、将测试数据存放到mailbox 通道，并发送到eHSM；并在发送前后获取定时器计数，并计算时间；</t>
  </si>
  <si>
    <t>1、发送成功；
2、发送成功；
3、发送成功；
4、发送成功；
5、读取成功，数据正确；</t>
  </si>
  <si>
    <t>test_hash.py::test_ehsm_577</t>
  </si>
  <si>
    <t>EHSM-578</t>
  </si>
  <si>
    <t>对HMAC 命令输入异常参数测试，如错误算法、空地址、错误size</t>
  </si>
  <si>
    <t>1、传入非法算法，其它参数保持正常；
2、传入非法模式，其它参数保持正常；
3、传入非法数据地址，其它参数正常；
4、传入非法数据长度，其它参数正常；
5、将测试数据存放到mailbox 通道，并发送到eHSM；并在发送前后获取定时器计数，并计算时间；
6、 删除hmac密钥；</t>
  </si>
  <si>
    <t>1、发送成功；
2、发送成功；
3、发送成功；
4、发送成功；
5、读取成功，数据正确；
6、执行成功；</t>
  </si>
  <si>
    <t>test_hash.py::test_ehsm_578</t>
  </si>
  <si>
    <t>EHSM-H009</t>
  </si>
  <si>
    <t>分别使用Stream和SingleCall方式测试 HASH 算法 SM3 , 在data异常时，对比计算摘要是否和测试数据一致</t>
  </si>
  <si>
    <t>1、生成 {alg} 算法，输入长度为 {n} 的测试数据；
2、onepass处理下，测试参数data异常时（None）的摘要计算功能；
3、onepass处理下，测试参数data异常时（None/正常长度）的摘要计算功能；
4、onepass处理下，测试参数data异常时（正常数据/0）的摘要计算功能；
5、三段式处理下，测试参数data异常时（None/0）的摘要计算功能；
6、三段式处理下，测试参数data异常时（None/正常长度）的摘要计算功能；
7、三段式处理下，测试参数data异常时（正常数据/0）的摘要计算功能；</t>
  </si>
  <si>
    <t>1、计算异常；
2、计算异常；
3、计算正常；
4、计算异常；
5、计算异常；
6、计算异常；</t>
  </si>
  <si>
    <t>test_hash.py::test_ehsm_h009</t>
  </si>
  <si>
    <t>EHSM-H010</t>
  </si>
  <si>
    <t>分别使用Stream和SingleCall方式测试 HASH 算法 SM3 , 在hash_ctx异常时，对比计算摘要是否和测试数据一致</t>
  </si>
  <si>
    <t>1、生成 {alg} 算法，输入长度为 {n} 的测试数据；
2、三段式处理下，测试参数hash_ctx异常时（0地址）的摘要计算功能；</t>
  </si>
  <si>
    <t>1、计算异常；</t>
  </si>
  <si>
    <t>test_hash.py::test_ehsm_h010</t>
  </si>
  <si>
    <t>EHSM-H011</t>
  </si>
  <si>
    <t>分别使用Stream和SingleCall方式测试 HASH 算法 MD5 , 在data异常时，对比计算摘要是否和测试数据一致</t>
  </si>
  <si>
    <t>1、生成 {alg} 算法，输入长度为 {n} 的测试数据；
2、onepass处理下，测试参数data异常时（None/0）的摘要计算功能；
3、onepass处理下，测试参数data异常时（None/正常长度）的摘要计算功能；
4、onepass处理下，测试参数data异常时（正常数据/0）的摘要计算功能；
5、三段式处理下，测试参数data异常时（None/0）的摘要计算功能；
6、三段式处理下，测试参数data异常时（None/正常长度）的摘要计算功能；
7、三段式处理下，测试参数data异常时（正常数据/0）的摘要计算功能；</t>
  </si>
  <si>
    <t>test_hash.py::test_ehsm_h011</t>
  </si>
  <si>
    <t>EHSM-H012</t>
  </si>
  <si>
    <t>分别使用Stream和SingleCall方式测试 HASH 算法 MD5 , 在hash_ctx异常时，对比计算摘要是否和测试数据一致</t>
  </si>
  <si>
    <t>1、生成 {alg} 算法，输入长度为 {n} 的测试数据；
2、三段式处理下，测试参数data异常时（None/0）的摘要计算功能；</t>
  </si>
  <si>
    <t>test_hash.py::test_ehsm_h012</t>
  </si>
  <si>
    <t>EHSM-H015</t>
  </si>
  <si>
    <t>分别使用Stream和SingleCall方式测试 HASH 算法 SHA1, 在data异常时，对比计算摘要是否和测试数据一致</t>
  </si>
  <si>
    <t>test_hash.py::test_ehsm_h015</t>
  </si>
  <si>
    <t>EHSM-H016</t>
  </si>
  <si>
    <t>分别使用Stream和SingleCall方式测试 HASH 算法 SHA1 , 在hash_ctx异常时，对比计算摘要是否和测试数据一致</t>
  </si>
  <si>
    <t>1、生成 {alg} 算法，输入长度为 {n} 的测试数据；
2、三段式处理下，测试参数hash_ctx异常时（None/0）的摘要计算功能；</t>
  </si>
  <si>
    <t>test_hash.py::test_ehsm_h016</t>
  </si>
  <si>
    <t>EHSM-H013</t>
  </si>
  <si>
    <t>分别使用Stream和SingleCall方式测试 HASH 算法 SHA2(224/256/384/512/512-224/512-256) , 在data异常时，对比计算摘要是否和测试数据一致</t>
  </si>
  <si>
    <t>test_hash.py::test_ehsm_h013</t>
  </si>
  <si>
    <t>EHSM-H014</t>
  </si>
  <si>
    <t>分别使用Stream和SingleCall方式测试 HASH 算法 SHA2(224/256/384/512/512-224/512-256)  , 在hash_ctx异常时，对比计算摘要是否和测试数据一致</t>
  </si>
  <si>
    <t>test_hash.py::test_ehsm_h014</t>
  </si>
  <si>
    <t>EHSM-H017</t>
  </si>
  <si>
    <t>分别使用Stream和SingleCall方式测试 HASH 算法 SHA3(224/256/384/512), 在data异常时，对比计算摘要是否和测试数据一致</t>
  </si>
  <si>
    <t>test_hash.py::test_ehsm_h017</t>
  </si>
  <si>
    <t>EHSM-H018</t>
  </si>
  <si>
    <t>分别使用Stream和SingleCall方式测试 HASH 算法 SHA3(224/256/384/512) , 在hash_ctx异常时，对比计算摘要是否和测试数据一致</t>
  </si>
  <si>
    <t>test_hash.py::test_ehsm_h018</t>
  </si>
  <si>
    <t>EHSM-H019</t>
  </si>
  <si>
    <t>分别使用Stream和SingleCall方式测试算法 HMAC-SM3, 在data异常时，测试生成签名和验签功能</t>
  </si>
  <si>
    <t>1、生成 HMAC-{alg} 算法，密钥长度为 {m} 输入长度为 {n} 的测试数据；
2、onepass处理下，测试参数data异常时（None/0）的hmac计算功能；
3、onepass处理下，测试参数data异常时（None/正常长度）的hmac计算功能；
4、onepass处理下，测试参数data异常时（正常数据/0）的hmac计算功能；
5、三段式处理下，测试参数data异常时（None/0）的hmac计算功能；
6、三段式处理下，测试参数data异常时（None/正常长度）的hmac计算功能；
7、三段式处理下，测试参数data异常时（正常数据/0）的hmac计算功能；</t>
  </si>
  <si>
    <t>test_hash.py::test_ehsm_h019</t>
  </si>
  <si>
    <t>EHSM-H020</t>
  </si>
  <si>
    <t>分别使用Stream和SingleCall方式测试算法 HMAC-SM3, 在hash_ctx异常时，测试生成签名和验签功能</t>
  </si>
  <si>
    <t>1、生成 HMAC-{alg} 算法，密钥长度为 {m} 输入长度为 {n} 的测试数据；
2、三段式处理下，测试参数hash_ctx异常时（0）的hmac生成功能；
3、三段式处理下，测试参数hash_ctx异常时（0）的hmac验证功能；</t>
  </si>
  <si>
    <t>1、计算异常；
2、验证异常；</t>
  </si>
  <si>
    <t>test_hash.py::test_ehsm_h020</t>
  </si>
  <si>
    <t>EHSM-H021</t>
  </si>
  <si>
    <t>分别使用Stream和SingleCall方式测试算法 HMAC-MD5, 在data异常时，测试生成签名和验签功能</t>
  </si>
  <si>
    <t>test_hash.py::test_ehsm_h021</t>
  </si>
  <si>
    <t>EHSM-H022</t>
  </si>
  <si>
    <t>分别使用Stream和SingleCall方式测试算法 HMAC-MD5, 在hash_ctx异常时，测试生成签名和验签功能</t>
  </si>
  <si>
    <t>test_hash.py::test_ehsm_h022</t>
  </si>
  <si>
    <t>EHSM-H023</t>
  </si>
  <si>
    <t>分别使用Stream和SingleCall方式测试算法 HMAC-SHA2(224/256/384/512), 在data异常时，测试生成签名和验签功能</t>
  </si>
  <si>
    <t>test_hash.py::test_ehsm_h023</t>
  </si>
  <si>
    <t>EHSM-H024</t>
  </si>
  <si>
    <t>分别使用Stream和SingleCall方式测试算法 HMAC-SHA2(224/256/384/512), 在hash_ctx异常时，测试生成签名和验签功能</t>
  </si>
  <si>
    <t>test_hash.py::test_ehsm_h024</t>
  </si>
  <si>
    <t>EHSM-H025</t>
  </si>
  <si>
    <t>分别使用Stream和SingleCall方式测试算法 HMAC-SHA1, 在data异常时，测试生成签名和验签功能</t>
  </si>
  <si>
    <t>test_hash.py::test_ehsm_h025</t>
  </si>
  <si>
    <t>EHSM-H026</t>
  </si>
  <si>
    <t>分别使用Stream和SingleCall方式测试算法 HMAC-SHA1, 在hash_ctx异常时，测试生成签名和验签功能</t>
  </si>
  <si>
    <t>test_hash.py::test_ehsm_h026</t>
  </si>
  <si>
    <t>EHSM-H027</t>
  </si>
  <si>
    <t>分别使用Stream和SingleCall方式测试算法 HMAC-SHA2-512/224和SHA2-512/256, 在data异常时，测试生成签名和验签功能</t>
  </si>
  <si>
    <t>test_hash.py::test_ehsm_h027</t>
  </si>
  <si>
    <t>EHSM-H028</t>
  </si>
  <si>
    <t>分别使用Stream和SingleCall方式测试算法 HMAC-SHA2-512/224和SHA2-512/256, 在hash_ctx异常时，测试生成签名和验签功能</t>
  </si>
  <si>
    <t>test_hash.py::test_ehsm_h028</t>
  </si>
  <si>
    <t>EHSM-H029</t>
  </si>
  <si>
    <t>分别使用Stream和SingleCall方式测试算法 HMAC-SHA3(224/256/384/512), 在data异常时，测试生成签名和验签功能</t>
  </si>
  <si>
    <t>test_hash.py::test_ehsm_h029</t>
  </si>
  <si>
    <t>EHSM-H030</t>
  </si>
  <si>
    <t>分别使用Stream和SingleCall方式测试算法 HMAC-SHA3(224/256/384/512), 在hash_ctx异常时，测试生成签名和验签功能</t>
  </si>
  <si>
    <t>test_hash.py::test_ehsm_h030</t>
  </si>
  <si>
    <t>EHSM_H048</t>
  </si>
  <si>
    <t>HMAC-SHA256 GEN完整输出（32B），正确（BUG-12正路径）</t>
  </si>
  <si>
    <t>1、HMAC-SHA256 digest_size=32（完整输出）GEN；
2、用生成的摘要做 VERIFY 闭环；</t>
  </si>
  <si>
    <t>1、生成32字节MAC，无越界；
2、VERIFY应通过，数据正确；</t>
  </si>
  <si>
    <t>test_hash.py::test_ehsm_h048</t>
  </si>
  <si>
    <t>EHSM_H049</t>
  </si>
  <si>
    <t>HMAC-SHA256 GEN截断输出（16B），写入正确（BUG-12 P0核心验证）</t>
  </si>
  <si>
    <t>1、用同一密钥分别请求完整32B和截断16B，验证前16字节一致；</t>
  </si>
  <si>
    <t>1、BUG-12核心；</t>
  </si>
  <si>
    <t>test_hash.py::test_ehsm_h049</t>
  </si>
  <si>
    <t>EHSM_H050</t>
  </si>
  <si>
    <t>HMAC-SHA256 GEN截断输出（1B），写入正确（BUG-12）</t>
  </si>
  <si>
    <t>1、用同一密钥请求完整32B和截断1B，验证长度正确；</t>
  </si>
  <si>
    <t>1、写入1字节，无越界；</t>
  </si>
  <si>
    <t>test_hash.py::test_ehsm_h050</t>
  </si>
  <si>
    <t>EHSM_H051</t>
  </si>
  <si>
    <t>HMAC VERIFY路径不受BUG-12影响（回归）</t>
  </si>
  <si>
    <t>1、先生成HMAC-SHA256完整摘要并验证；</t>
  </si>
  <si>
    <t>1、生成+验证成功；</t>
  </si>
  <si>
    <t>test_hash.py::test_ehsm_h051</t>
  </si>
  <si>
    <t>EHSM_H052</t>
  </si>
  <si>
    <t>HMAC-SM3 GEN截断（16B），写入正确（BUG-12 SM3路径）</t>
  </si>
  <si>
    <t>1、用同一SM3密钥请求完整32B和截断16B，验证前16字节一致；</t>
  </si>
  <si>
    <t>1、写入16字节，无溢出；</t>
  </si>
  <si>
    <t>test_hash.py::test_ehsm_h052</t>
  </si>
  <si>
    <t>EHSM_H053</t>
  </si>
  <si>
    <t>HMAC-SHA512 GEN截断（32B），写入正确（BUG-12 SHA512路径）</t>
  </si>
  <si>
    <t>1、用同一SHA512密钥请求完整64B和截断32B，验证前32字节一致；</t>
  </si>
  <si>
    <t>1、写入32字节，无溢出；</t>
  </si>
  <si>
    <t>test_hash.py::test_ehsm_h053</t>
  </si>
  <si>
    <t>EHSM_H070</t>
  </si>
  <si>
    <t>HMAC-SHA256 完整输出32B，哨兵[32]未被覆盖（BUG-12正路径基准）</t>
  </si>
  <si>
    <t>1、HMAC-SHA256 digest_size=32（无截断），哨兵[32]应为0xFF；</t>
  </si>
  <si>
    <t>1、哨兵未被覆盖；</t>
  </si>
  <si>
    <t>test_hash.py::test_ehsm_h070</t>
  </si>
  <si>
    <t>EHSM_H071</t>
  </si>
  <si>
    <t>HMAC-SHA256 截断输出16B，哨兵[16]未被覆盖（BUG-12 P0核心哨兵验证）</t>
  </si>
  <si>
    <t>1、HMAC-SHA256 digest_size=16（截断），哨兵[16]应为0xFF；</t>
  </si>
  <si>
    <t>1、哨兵未被覆盖，DMA未越界；</t>
  </si>
  <si>
    <t>test_hash.py::test_ehsm_h071</t>
  </si>
  <si>
    <t>EHSM_H072</t>
  </si>
  <si>
    <t>HMAC-SHA256 截断输出8B（最小合法值），哨兵[8]未被覆盖（BUG-12）</t>
  </si>
  <si>
    <t>1、HMAC-SHA256 digest_size=8（最小合法截断），哨兵[8]应为0xFF；</t>
  </si>
  <si>
    <t>test_hash.py::test_ehsm_h072</t>
  </si>
  <si>
    <t>EHSM_H073</t>
  </si>
  <si>
    <t>HMAC-SHA256 VERIFY路径不受BUG-12影响，验证成功（回归）</t>
  </si>
  <si>
    <t>1、先生成 HMAC-SHA256（完整32B）；
2、VERIFY；</t>
  </si>
  <si>
    <t>1、生成成功；
2、验证成功，VERIFY路径不受BUG-12影响；</t>
  </si>
  <si>
    <t>test_hash.py::test_ehsm_h073</t>
  </si>
  <si>
    <t>EHSM_H074</t>
  </si>
  <si>
    <t>HMAC-SM3 截断输出16B，哨兵[16]未被覆盖（BUG-12 SM3路径）</t>
  </si>
  <si>
    <t>1、HMAC-SM3 digest_size=16（SM3 block_size=32截断），哨兵[16]应为0xFF；</t>
  </si>
  <si>
    <t>test_hash.py::test_ehsm_h074</t>
  </si>
  <si>
    <t>EHSM_H075</t>
  </si>
  <si>
    <t>HMAC-SHA512 截断输出32B，哨兵[32]未被覆盖（BUG-12 SHA512路径）</t>
  </si>
  <si>
    <t>1、HMAC-SHA512 digest_size=32（SHA512 block_size=64截断），哨兵[32]应为0xFF；</t>
  </si>
  <si>
    <t>test_hash.py::test_ehsm_h075</t>
  </si>
  <si>
    <t>EHSM_H082</t>
  </si>
  <si>
    <t>HMAC-SHA256 OnePass 截断输出，覆盖 12/10/9/7/1B，GEN内容正确且VERIFY通过</t>
  </si>
  <si>
    <t>1、测试EHSM_H082: HMAC-SHA256 OnePass 截断（12/10/9/7/1B）；</t>
  </si>
  <si>
    <t>1、测试成功；</t>
  </si>
  <si>
    <t>test_hash.py::test_ehsm_h082</t>
  </si>
  <si>
    <t>EHSM_H083</t>
  </si>
  <si>
    <t>HMAC-SM3 OnePass 截断输出，覆盖 12/10/9/7/1B，GEN内容正确且VERIFY通过</t>
  </si>
  <si>
    <t>1、测试EHSM_H083: HMAC-SM3 OnePass 截断（12/10/9/7/1B）；</t>
  </si>
  <si>
    <t>test_hash.py::test_ehsm_h083</t>
  </si>
  <si>
    <t>EHSM_H084</t>
  </si>
  <si>
    <t>HMAC-SHA512 OnePass 截断输出，覆盖 12/10/9/7/1B，GEN内容正确且VERIFY通过</t>
  </si>
  <si>
    <t>1、测试EHSM_H084: HMAC-SHA512 OnePass 截断（12/10/9/7/1B）；</t>
  </si>
  <si>
    <t>test_hash.py::test_ehsm_h084</t>
  </si>
  <si>
    <t>EHSM_H085</t>
  </si>
  <si>
    <t>HMAC-SHA256 三段式截断输出，覆盖 12/10/9/7/1B，GEN内容正确且VERIFY通过</t>
  </si>
  <si>
    <t>1、测试EHSM_H085: HMAC-SHA256 三段式截断（12/10/9/7/1B）；</t>
  </si>
  <si>
    <t>test_hash.py::test_ehsm_h085</t>
  </si>
  <si>
    <t>EHSM_H086</t>
  </si>
  <si>
    <t>HMAC-SM3 三段式截断输出，覆盖 12/10/9/7/1B，GEN内容正确且VERIFY通过</t>
  </si>
  <si>
    <t>1、测试EHSM_H086: HMAC-SM3 三段式截断（12/10/9/7/1B）；</t>
  </si>
  <si>
    <t>test_hash.py::test_ehsm_h086</t>
  </si>
  <si>
    <t>EHSM_H087</t>
  </si>
  <si>
    <t>HMAC-SHA512 三段式截断输出，覆盖 12/10/9/7/1B，GEN内容正确且VERIFY通过</t>
  </si>
  <si>
    <t>1、测试EHSM_H087: HMAC-SHA512 三段式截断（12/10/9/7/1B）；</t>
  </si>
  <si>
    <t>test_hash.py::test_ehsm_h087</t>
  </si>
  <si>
    <t>kms</t>
  </si>
  <si>
    <t>EHSM-648</t>
  </si>
  <si>
    <t>生成 RANDOM 密钥，配置最大长度 512</t>
  </si>
  <si>
    <t>1、准备生成密钥指令，配置密钥算法ID为RANDOM, 密钥长度为512，生成句柄h1；
2、导出明文h1密钥数据，保存为m1；
3、重复1/2 步骤，对比两次导出的数据进行对比；</t>
  </si>
  <si>
    <t>1、密钥生成成功；
2、导出成功；
3、对比不一致；</t>
  </si>
  <si>
    <t>test_kms.py::test_ehsm_648</t>
  </si>
  <si>
    <t>EHSM-649</t>
  </si>
  <si>
    <t>生成 RANDOM 密钥，配置长度（非法值）</t>
  </si>
  <si>
    <t>1、准备生成密钥指令，配置密钥算法ID为RANDOM, 密钥长度为非法值，生成句柄h1；</t>
  </si>
  <si>
    <t>1、密钥生成失败；</t>
  </si>
  <si>
    <t>test_kms.py::test_ehsm_649</t>
  </si>
  <si>
    <t>EHSM-650</t>
  </si>
  <si>
    <t>生成 DES 密钥，并使用密钥进行加解密运算</t>
  </si>
  <si>
    <t>1、第{i+1}次循环: 1、生成带有加解密和删除权限的密钥；
2、第{i+1}次循环: 2、导出明文密钥，与上一次生成的密钥做对比；
3、第{i+1}次循环: 3、使用生成的密钥进行加密，使用数据m进行加密，得到加密数据c；
4、第{i+1}次循环: 4、使用加密数据c，再使用生成的密钥进行解密，得到解密数据m；
5、第{i+1}次循环: 5、对比m；
6、第{i+1}次循环: 6、删除密钥句柄；</t>
  </si>
  <si>
    <t>1、密钥生成成功，返回密钥handle；
2、导出成功，且与上一次生成的密钥不同；
3、加密成功；
6、删除成功；</t>
  </si>
  <si>
    <t>test_kms.py::test_ehsm_650</t>
  </si>
  <si>
    <t>EHSM-651</t>
  </si>
  <si>
    <t>分别生成 TDES 128/192 密钥，并使用密钥进行加解密运算</t>
  </si>
  <si>
    <t>1、准备生成密钥指令，配置密钥算法ID为TDES，权限为加解密，生成句柄h1；
2、准备SKE加密指令，配置算法为TDES_ECB，传入加密数据m和密钥句柄h1；
3、获取加密后的数据c，准备SKE解密指令，配置算法为TDES_ECB，传入加密后的数据c和密钥句柄h1；
5、获取解密后的数据m；
6、删除密钥h1；</t>
  </si>
  <si>
    <t>1、密钥生成成功，返回密钥handle；
2、加密成功；获取加密后的数据；
3、解密成功；获取解密后的数据；
6、删除密钥成功；</t>
  </si>
  <si>
    <t>test_kms.py::test_ehsm_651</t>
  </si>
  <si>
    <t>EHSM-652</t>
  </si>
  <si>
    <t>分别生成 AES 128/192/256 密钥，并使用密钥进行加解密运算</t>
  </si>
  <si>
    <t>1、准备生成密钥指令，配置密钥算法ID为AES_128，权限为加解密，生成句柄h1；
2、准备SKE加密指令，配置算法为AES_ECB，传入加密数据m和密钥句柄h1；
3、获取加密后的数据c，准备SKE解密指令，配置算法为AES_ECB，传入加密后的数据c和密钥句柄h1；
4、获取解密后的数据m；
5、删除密钥h1；</t>
  </si>
  <si>
    <t>1、密钥生成成功，返回密钥handle；
2、加密成功；获取加密后的数据；
3、解密成功；获取解密后的数据；
5、删除密钥成功；</t>
  </si>
  <si>
    <t>test_kms.py::test_ehsm_652</t>
  </si>
  <si>
    <t>EHSM-653</t>
  </si>
  <si>
    <t>生成 SM4 密钥，并使用密钥进行加解密运算</t>
  </si>
  <si>
    <t>1、准备生成密钥指令，配置密钥算法ID为SM4，权限为加解密，生成句柄h1；
2、导出密钥；
3、将测试数据存放到mailbox 通道，并发送到eHSM；并在发送前后获取定时器计数，并计算时间；
4、重复1.2；对两次导出的密钥进行比较；
5、删除密钥h1；</t>
  </si>
  <si>
    <t>1、密钥生成成功，返回密钥handle；
2、导出密钥成功；
3、发送数据成功；时间小于200ms；
4、数据对比不一致；
5、删除密钥成功；</t>
  </si>
  <si>
    <t>test_kms.py::test_ehsm_653</t>
  </si>
  <si>
    <t>EHSM-654</t>
  </si>
  <si>
    <t>分别生成 AES-XTS 128/192/256 密钥，并使用密钥进行加解密运算</t>
  </si>
  <si>
    <t>1、准备生成密钥指令，配置密钥算法ID为AES_XTS，权限为加解密，生成句柄h1；
2、导出密钥；
3、使用加密数据c，再使用生成的密钥进行解密，得到解密数据m，与标量数据对比；
4、删除密钥；</t>
  </si>
  <si>
    <t>1、密钥生成成功，返回密钥handle；
2、导出密钥成功；
3、比较结果一致；
4、删除密钥成功；</t>
  </si>
  <si>
    <t>test_kms.py::test_ehsm_654</t>
  </si>
  <si>
    <t>EHSM-656</t>
  </si>
  <si>
    <t>生成 HMAC 密钥，并使用密钥进行MAC运算</t>
  </si>
  <si>
    <t>1、准备生成密钥指令，配置密钥算法ID为HMAC，权限为加解密，生成句柄h1；
2、导出明文h1密钥数据，保存为m1；
3、使用HMAC 算法进行计算 digest；
4、 使用标准算法库计算HMAC，对比与ehsm计算结果是否一致；
5、删除密钥h1；</t>
  </si>
  <si>
    <t>1、密钥生成成功，返回密钥handle；
2、导出成功；
3、计算digest 成功；
4、计算结果一致；
5、删除密钥成功；</t>
  </si>
  <si>
    <t>test_kms.py::test_ehsm_656</t>
  </si>
  <si>
    <t>EHSM-657</t>
  </si>
  <si>
    <t>生成RSA_1024/2048/3072密钥对，进行加解密运算</t>
  </si>
  <si>
    <t>1、准备生成密钥指令，配置密钥算法ID为RSA_1024，权限为加解密，生成句柄h1；
2、导出明文密钥；
3、导出明文后，与上一次生成的密钥做对比；
4、删除密钥；</t>
  </si>
  <si>
    <t>1、密钥生成成功，返回密钥handle；
2、导出成功；
3、比较结果不一致；
4、删除密钥成功；</t>
  </si>
  <si>
    <t>test_kms.py::test_ehsm_657</t>
  </si>
  <si>
    <t>EHSM-658</t>
  </si>
  <si>
    <t>生成RSA_CRT_1024/2048/3072密钥对，进行加解密运算</t>
  </si>
  <si>
    <t>1、准备生成密钥指令，配置密钥算法ID为AES_CRT，权限为加解密，生成句柄h1；
2、生成RSA_CRT_1024/2048/3072/4096密钥对, 导出明文后，与上一次生成的密钥做对比；
2、导出密钥；
3、重复1.2；对两次导出的密钥进行比较；
4、删除密钥；</t>
  </si>
  <si>
    <t>1、密钥生成成功，返回密钥handle；
2、比较结果一致；
2、导出密钥成功；
3、数据对比不一致；
4、删除密钥成功；</t>
  </si>
  <si>
    <t>test_kms.py::test_ehsm_658</t>
  </si>
  <si>
    <t>EHSM-659</t>
  </si>
  <si>
    <t>生成DH密钥对，进行密钥交换</t>
  </si>
  <si>
    <t>1、准备生成密钥指令，配置密钥算法ID为DH，权限为加解密，生成句柄h1；
2、生成DH密钥对 第{i+1}次，导出明文后，与上一次生成的密钥做对比；
2、导出密钥；
3、重复1.2；对两次导出的密钥进行比较；
4、删除密钥；</t>
  </si>
  <si>
    <t>1、密钥生成成功，返回密钥handle；
2、导出密钥成功；
3、数据对比不一致；
4、删除密钥成功；</t>
  </si>
  <si>
    <t>test_kms.py::test_ehsm_659</t>
  </si>
  <si>
    <t>EHSM-660</t>
  </si>
  <si>
    <t>生成SM2密钥对，进行加解密运算</t>
  </si>
  <si>
    <t>1、准备生成密钥指令，配置密钥算法ID为SM2，权限为加解密，生成句柄h1；
2、导出密钥；
3、重复1.2；对两次导出的密钥进行比较；
4、删除密钥；</t>
  </si>
  <si>
    <t>test_kms.py::test_ehsm_660</t>
  </si>
  <si>
    <t>EHSM-661</t>
  </si>
  <si>
    <t>生成ECC brainpool密钥对，进行签名校验</t>
  </si>
  <si>
    <t>1、准备生成密钥指令，配置密钥算法ID为brainpool，权限为加解密，生成句柄h1；
2、ECC brainpool, 导出明文后，与上一次生成的密钥做对比；</t>
  </si>
  <si>
    <t>1、密钥生成成功，返回密钥handle；
2、比较结果不一致；</t>
  </si>
  <si>
    <t>test_kms.py::test_ehsm_661</t>
  </si>
  <si>
    <t>EHSM-662</t>
  </si>
  <si>
    <t>生成ECC SEC算法密钥对，进行签名校验</t>
  </si>
  <si>
    <t>1、测试算法 {key_alg[alg_cnt].name}:；
2、第{i+1}次循环: 1、生成带有签名校验和删除权限的密钥；
3、第{i+1}次循环: 导出密钥，验证与上一次生成的密钥不同；
4、第{i+1}次循环: 2、使用ECDSA进行签名，传入签名数据m和密钥句柄；
5、第{i+1}次循环: 3、使用ECDSA进行校验，传入签名后的数据s和密钥句柄；
6、第{i+1}次循环: 4、获取校验的结果；
7、第{i+1}次循环: 5、删除密钥；</t>
  </si>
  <si>
    <t>1、密钥生成成功，返回密钥handle；
2、导出成功，且密钥不同；
2、签名成功；获取签名数据；
3、校验成功；
4、校验通过；
5、删除密钥成功；</t>
  </si>
  <si>
    <t>test_kms.py::test_ehsm_662</t>
  </si>
  <si>
    <t>EHSM-663</t>
  </si>
  <si>
    <t>生成没有签名权限的密钥，并使用该密钥进行签名</t>
  </si>
  <si>
    <t>1、准备密钥生成命令，配置没有签名权限，生成密钥；
2、使用生成的密钥进行签名；
3、删除密钥；</t>
  </si>
  <si>
    <t>1、生成密钥成功；
2、签名失败，返回权限不匹配错误；
3、删除密钥成功；</t>
  </si>
  <si>
    <t>test_kms.py::test_ehsm_663</t>
  </si>
  <si>
    <t>EHSM-664</t>
  </si>
  <si>
    <t>生成没有校验权限的密钥，并使用该密钥进行校验</t>
  </si>
  <si>
    <t>1、准备密钥生成命令，配置没有校验权限，生成密钥；
2、使用生成的密钥进行校验；
3、删除密钥；</t>
  </si>
  <si>
    <t>1、生成密钥成功；
2、校验失败，返回权限不匹配错误；
3、删除密钥成功；</t>
  </si>
  <si>
    <t>test_kms.py::test_ehsm_664</t>
  </si>
  <si>
    <t>EHSM-665</t>
  </si>
  <si>
    <t>生成没有加密权限的密钥，并使用该密钥进行加密</t>
  </si>
  <si>
    <t>1、准备密钥生成命令，配置没有加密权限，生成密钥；
2、使用生成的密钥进行加密；</t>
  </si>
  <si>
    <t>1、生成密钥成功；
2、加密失败；</t>
  </si>
  <si>
    <t>test_kms.py::test_ehsm_665</t>
  </si>
  <si>
    <t>EHSM-666</t>
  </si>
  <si>
    <t>生成没有解密权限的密钥，并使用该密钥进行解密</t>
  </si>
  <si>
    <t>1、准备密钥生成命令，配置没有解密权限，生成密钥；
2、使用生成的密钥进行解密；</t>
  </si>
  <si>
    <t>1、生成密钥成功；
2、解密失败；</t>
  </si>
  <si>
    <t>test_kms.py::test_ehsm_666</t>
  </si>
  <si>
    <t>EHSM-667</t>
  </si>
  <si>
    <t>指定key_handle创建密钥，使用该密钥进行加密</t>
  </si>
  <si>
    <t>1、准备生成密钥指令，配置密钥算法ID为AES_128，权限为加解密，key_id为 RAM_Key_ID= 0x100088；
2、验证生成的句柄就是指定的句柄值；
2、准备SKE加密指令，配置算法为AES_ECB，传入加密数据和密钥句柄；
3、获取加密后的数据，准备SKE解密指令，配置算法为AES_ECB，传入加密后的数据和密钥句柄；
4、获取解密后的数据，与步骤2数据进行对比；
5、删除密钥；</t>
  </si>
  <si>
    <t>1、密钥生成成功，返回密钥handle；
2、生成的句柄值和预期一致；
2、加密成功；获取加密后的数据；
3、解密成功；获取解密后的数据；
4、数据对比一致；
5、删除密钥成功；</t>
  </si>
  <si>
    <t>test_kms.py::test_ehsm_667</t>
  </si>
  <si>
    <t>EHSM-668</t>
  </si>
  <si>
    <t>配置TPK权限，创建密钥</t>
  </si>
  <si>
    <t>1、准备密钥生成命令，配置TPK权限，生成密钥；</t>
  </si>
  <si>
    <t>1、生成密钥失败；</t>
  </si>
  <si>
    <t>test_kms.py::test_ehsm_668</t>
  </si>
  <si>
    <t>EHSM-669</t>
  </si>
  <si>
    <t>生成没有密钥写保护权限的密钥h1后，重新基于该h1生成密钥</t>
  </si>
  <si>
    <t>1、准备密钥生成命令，不配置写保护权限，生成密钥h1；
2、获取密钥句柄h1，并使用该句柄h1重新生成新密钥；</t>
  </si>
  <si>
    <t>1、生成密钥成功；
2、生成新密钥成功；</t>
  </si>
  <si>
    <t>test_kms.py::test_ehsm_669</t>
  </si>
  <si>
    <t>EHSM-670</t>
  </si>
  <si>
    <t>使用配置了写保护密钥的handle，重新生成密钥</t>
  </si>
  <si>
    <t>1、准备密钥生成命令，配置写保护权限，生成密钥h1；
2、获取密钥句柄h1，并使用该句柄h1重新生成新密钥；</t>
  </si>
  <si>
    <t>1、生成密钥成功；
2、生成新密钥失败；</t>
  </si>
  <si>
    <t>test_kms.py::test_ehsm_670</t>
  </si>
  <si>
    <t>EHSM-671</t>
  </si>
  <si>
    <t>使用非法参数进行密钥生成指令测试</t>
  </si>
  <si>
    <t>1、非法算法；
2、输入错误密钥权限；
3、非法key_handle，如0xf0000;</t>
  </si>
  <si>
    <t>1、生成密钥失败；
2、返回预期错误码；
3、生成密钥失败；</t>
  </si>
  <si>
    <t>test_kms.py::test_ehsm_671</t>
  </si>
  <si>
    <t>EHSM-672</t>
  </si>
  <si>
    <t>导入明文密钥，再导出该明文密钥</t>
  </si>
  <si>
    <t>1、准备密钥导入命令，配置密钥和加密及明文导出权限，获取导入后密钥句柄；
2、准备密钥导出命令，配置导出地址，获取导出后的数据；
4、将导出的数据和导入的数据做对比；
5、删除密钥；</t>
  </si>
  <si>
    <t>1、导入成功；
2、导出成功；
4、数据对比一致；
5、删除密钥成功；</t>
  </si>
  <si>
    <t>test_kms.py::test_ehsm_672</t>
  </si>
  <si>
    <t>EHSM-673</t>
  </si>
  <si>
    <t>导入加密密钥，再导出该加密密钥</t>
  </si>
  <si>
    <t>1、准备带有TPK权限的OTP密钥key句柄h1和密钥值与h1相同的具有加解密权限的OTP密钥h2；
2、使用h2默认算法和OTP密钥key加密数据m；得到数据c；
3、准备导入密钥命令，密钥数据为c，配置加密密钥h1，得到密钥句柄h3；
4、导出密钥句柄h3，加密句柄配置h1，得到导出后的数据c；
6、将导出后的数据c；
7、删除密钥句柄h3；</t>
  </si>
  <si>
    <t>1、None；
2、加密成功；
3、导入密钥成功；
7、删除密钥成功；</t>
  </si>
  <si>
    <t>test_kms.py::test_ehsm_673</t>
  </si>
  <si>
    <t>EHSM-674</t>
  </si>
  <si>
    <t>导入签名密钥，再导出签名密钥</t>
  </si>
  <si>
    <t>1、准备带有TPK权限的OTP密钥key句柄h1和密钥值与h1相同的具有签名校验权限的OTP密钥h2；
2、使用h2默认算法和OTP密钥key，签名整个密钥结构；得到签名数据mac；
3、准备导入密钥命令，密钥数据为key_data，配置认证密钥h1(TPK)，和签名数据mac，得到密钥句柄h3；
4、导出密钥句柄h3明文和带签名两种方式；
5、验证导出的明文密钥数据与原始数据m一致；
6、删除密钥句柄h3；</t>
  </si>
  <si>
    <t>1、配置成功；
2、签名成功；
3、导入密钥成功；
4、导出密钥成功；
5、验证成功；
6、删除密钥成功；</t>
  </si>
  <si>
    <t>test_kms.py::test_ehsm_674</t>
  </si>
  <si>
    <t>EHSM-675</t>
  </si>
  <si>
    <t>导入加密签名密钥 ；再导出加密签名密钥；</t>
  </si>
  <si>
    <t>1、准备带有TPK权限的OTP密钥key句柄h1和密钥值与h1相同的具有加解密权限的OTP密钥h2；
2、构建密钥结构，对其签名；然后加密明文数据m；得到加密数据c和签名mac；
3、准备导入密钥命令，密钥数据为c（加密后），配置加密密钥h1(TPK)，签名密钥h1(TPK)，得到密钥句柄h3；
4、三种方式导出密钥：仅加密、加密+签名、明文；
5、验证导出数据：加密+签名导出应等于c，明文导出应等于m；
6、删除密钥句柄h3；</t>
  </si>
  <si>
    <t>1、配置成功；
2、加密和签名成功；
3、导入密钥成功；
4、导出密钥成功；
5、验证成功；
6、删除密钥成功；</t>
  </si>
  <si>
    <t>test_kms.py::test_ehsm_675</t>
  </si>
  <si>
    <t>EHSM-676</t>
  </si>
  <si>
    <t>导入加密密钥，对导入密钥的加密算法AES CBC进行测试（反向用例，预期失败）</t>
  </si>
  <si>
    <t>1、准备OTP密钥（配置为SM4算法）；
2、尝试使用AES算法加密明文密钥k1；
3、测试结论：由于OTP密钥配置为SM4，使用AES算法失败符合预期；</t>
  </si>
  <si>
    <t>1、配置成功；
2、预期失败（OTP配置的是SM4）；
3、反向测试通过；</t>
  </si>
  <si>
    <t>test_kms.py::test_ehsm_676</t>
  </si>
  <si>
    <t>EHSM-677</t>
  </si>
  <si>
    <t>导入加密密钥，对导入密钥的加密算法SM4 CBC进行测试（正向用例，预期成功）</t>
  </si>
  <si>
    <t>1、准备OTP密钥（配置为SM4算法）；
2、导入明文密钥k1，得到密钥句柄h2，算法SM4，并使用h2计算数据m的加密结果c；
3、使用TPK导出密钥h2（加密导出）；得到导出密钥数据k2；
4、将k2导入（使用TPK解密），得到密钥句柄h3；
5、使用h3加密相同的数据m，得到c；
6、删除密钥句柄h2和h3；</t>
  </si>
  <si>
    <t>1、配置成功；
2、导入密钥成功；加密成功；
3、导出密钥成功；
4、导入密钥成功；
6、删除密钥成功；</t>
  </si>
  <si>
    <t>test_kms.py::test_ehsm_677</t>
  </si>
  <si>
    <t>EHSM-678</t>
  </si>
  <si>
    <t>导入签名密钥，对导入密钥的签名算法AES CMAC进行测试（反向用例，预期失败）</t>
  </si>
  <si>
    <t>1、准备OTP密钥（配置为SM4算法）；
2、尝试使用AES CMAC算法生成签名；
3、测试结论：反向测试通过；</t>
  </si>
  <si>
    <t>1、OTP配置成功；
2、预期失败，算法不匹配；
3、AES CMAC在SM4配置的OTP密钥上失败；</t>
  </si>
  <si>
    <t>test_kms.py::test_ehsm_678</t>
  </si>
  <si>
    <t>EHSM-679</t>
  </si>
  <si>
    <t>导入签名密钥，对导入密钥的签名算法SM4 CMAC进行测试（正向用例，预期成功）</t>
  </si>
  <si>
    <t>1、准备OTP密钥（配置为SM4算法）；
2、导入明文密钥k1，得到密钥句柄h2，并使用h2计算测试数据的CMAC签名；
3、使用TPK导出密钥h2（带签名导出）；
4、将k2导入（使用TPK验签），得到密钥句柄h3；
5、使用h3对相同数据生成CMAC签名，验证与h2生成的签名一致；
6、删除密钥句柄h2和h3；
7、测试结论：正向测试通过；</t>
  </si>
  <si>
    <t>1、OTP配置成功；
2、导入成功，签名生成成功；
3、导出成功；
4、导入成功；
5、签名验证成功，密钥功能保持一致；
6、删除成功；
7、SM4 CMAC在SM4配置的OTP密钥上成功完成完整循环；</t>
  </si>
  <si>
    <t>test_kms.py::test_ehsm_679</t>
  </si>
  <si>
    <t>EHSM-680</t>
  </si>
  <si>
    <t>导入一个明文密钥，配置TPK权限</t>
  </si>
  <si>
    <t>1、准备明文导入数据，配置密钥权限TPK；</t>
  </si>
  <si>
    <t>1、导入密钥失败；</t>
  </si>
  <si>
    <t>test_kms.py::test_ehsm_680</t>
  </si>
  <si>
    <t>EHSM-681</t>
  </si>
  <si>
    <t>对已配置密钥写保护密钥handle再次导入新密钥</t>
  </si>
  <si>
    <t>1、生成带有写保护属性的密钥，获取句柄h1；
2、配置密钥数据k1，导入到h1；
3、将测试数据存放到mailbox 通道，并发送到eHSM；并在发送前后获取定时器计数，并计算时间；</t>
  </si>
  <si>
    <t>1、生成成功；
2、导入失败；
3、发送数据成功；时间小于200ms；</t>
  </si>
  <si>
    <t>test_kms.py::test_ehsm_681</t>
  </si>
  <si>
    <t>EHSM-682</t>
  </si>
  <si>
    <t>生成一个不具有导入权限的密钥，获取handle，然后重新导入密钥到该handle</t>
  </si>
  <si>
    <t>1、创建一个普通RAM密钥，不配置导入权限，获取密钥句柄h1；
2、准备密钥数据，导入密钥句柄h1；
3、删除密钥；</t>
  </si>
  <si>
    <t>1、生成成功；
2、导入失败；
3、删除成功；</t>
  </si>
  <si>
    <t>test_kms.py::test_ehsm_682</t>
  </si>
  <si>
    <t>EHSM-683</t>
  </si>
  <si>
    <t>创建一个没有TPK权限的密钥，使用其作为导入密钥的解密密钥</t>
  </si>
  <si>
    <t>1、创建一个普通RAM密钥，不配置TPK，获取密钥句柄h1；
2、准备密钥数据，密钥加密句柄配置h1，导入该密钥；</t>
  </si>
  <si>
    <t>1、生成成功；
2、导入失败；</t>
  </si>
  <si>
    <t>test_kms.py::test_ehsm_683</t>
  </si>
  <si>
    <t>EHSM-684</t>
  </si>
  <si>
    <t>创建一个没有TPK权限的密钥，使用其作为导入密钥的验签密钥</t>
  </si>
  <si>
    <t>1、导入一个明文密钥，配置可加密和校验，不配置TPK权限，获取句柄h1；
2、重新导入该明文密钥，并使用该密钥对自身签名，导入该密钥，并配置签名密钥h1；</t>
  </si>
  <si>
    <t>test_kms.py::test_ehsm_684</t>
  </si>
  <si>
    <t>EHSM-686</t>
  </si>
  <si>
    <t>使用非法参数进行密钥导入指令测试</t>
  </si>
  <si>
    <t>1、非法密钥句柄，非法加密.校验密钥句柄；
2、传入错误tk handle；
3、传入错误ak handle；
4、传入错误key长度；
5、传入错误mac签名长度;
6、将key_data_addr设置为None；
7、将key_data_size设置为超长2349字节；</t>
  </si>
  <si>
    <t>1、导入密钥失败；
2、导入密钥失败；
3、导入密钥失败；
4、导入密钥失败；
5、导入密钥失败；
5、导入密钥失败；
6、导入密钥失败；</t>
  </si>
  <si>
    <t>test_kms.py::test_ehsm_686</t>
  </si>
  <si>
    <t>EHSM-687</t>
  </si>
  <si>
    <t>使用带有创建新密钥权限的OTP密钥派生一个TPK权限和导出权限的密钥（反向用例，预期失败）</t>
  </si>
  <si>
    <t>1、使用OTP密钥派生一个带TPK权限和导出权限的密钥h1；</t>
  </si>
  <si>
    <t>1、派生失败，不允许创建TPK权限密钥；</t>
  </si>
  <si>
    <t>test_kms.py::test_ehsm_687</t>
  </si>
  <si>
    <t>EHSM-688</t>
  </si>
  <si>
    <t>使用带有创建新密钥权限的OTP密钥派生密钥后导出测试（TPK导出限制验证）</t>
  </si>
  <si>
    <t>1、使用OTP密钥尝试派生一个带TPK权限的密钥h1；
2、如果派生成功，尝试导出该TPK密钥；</t>
  </si>
  <si>
    <t>1、可能成功或失败；
2、导出失败（TPK不应被导出）；</t>
  </si>
  <si>
    <t>test_kms.py::test_ehsm_688</t>
  </si>
  <si>
    <t>EHSM-689</t>
  </si>
  <si>
    <t>创建一个没有导出权限的密钥，然后导出</t>
  </si>
  <si>
    <t>1、生成一个密钥，不配置导出权限，获取密钥h1；
2、导出该密钥；</t>
  </si>
  <si>
    <t>1、生成成功；
2、导出失败；</t>
  </si>
  <si>
    <t>test_kms.py::test_ehsm_689</t>
  </si>
  <si>
    <t>EHSM-690</t>
  </si>
  <si>
    <t>创建一个没有TPK权限的密钥，使用其作为导出密钥的加密密钥</t>
  </si>
  <si>
    <t>1、创建2个随机密钥h1, h2，均不配置TPK权限；
2、将h1导出，配置导出密钥的加密密钥为h2；</t>
  </si>
  <si>
    <t>test_kms.py::test_ehsm_690</t>
  </si>
  <si>
    <t>EHSM-691</t>
  </si>
  <si>
    <t>创建一个没有TPK权限的密钥，使用其作为导出密钥的签名密钥</t>
  </si>
  <si>
    <t>1、创建2个随机密钥h1, h2，均不配置TPK权限；
2、将h1导出，配置导出密钥的签名密钥为h2；</t>
  </si>
  <si>
    <t>test_kms.py::test_ehsm_691</t>
  </si>
  <si>
    <t>EHSM-694</t>
  </si>
  <si>
    <t>使用非法参数进行密钥导出指令测试</t>
  </si>
  <si>
    <t>1、生成一个随机密钥；
1、非法密钥句柄，非法加密和校验句柄；
2、非法密钥类型；
3、非法地址和非法size；
4、key_data_addr设置为None；
5、key_data_size设置为0；
6、删除密钥；</t>
  </si>
  <si>
    <t>1、生成成功；
1、失败；
2、失败；
3、失败；
4、失败；
5、失败；
6、删除成功；</t>
  </si>
  <si>
    <t>test_kms.py::test_ehsm_694</t>
  </si>
  <si>
    <t>EHSM-695</t>
  </si>
  <si>
    <t>创建一个RAM密钥，并配置REMOVE属性，对该密钥进行删除</t>
  </si>
  <si>
    <t>1、创建一个RAM密钥，指定句柄，配置REMOVE权限；
2、将创建的密钥句柄传入密钥删除指令；</t>
  </si>
  <si>
    <t>1、创建成功；
2、删除成功；</t>
  </si>
  <si>
    <t>test_kms.py::test_ehsm_695</t>
  </si>
  <si>
    <t>EHSM-696</t>
  </si>
  <si>
    <t>对OTP 密钥进行删除</t>
  </si>
  <si>
    <t>1、将 OTP 密钥句柄传入密钥删除指令；</t>
  </si>
  <si>
    <t>1、删除失败；</t>
  </si>
  <si>
    <t>test_kms.py::test_ehsm_696</t>
  </si>
  <si>
    <t>EHSM-698</t>
  </si>
  <si>
    <t>创建一个RAM密钥，不配置REMOVE属性，对该密钥进行删除</t>
  </si>
  <si>
    <t>1、创建一个RAM密钥，指定句柄，不配置REMOVE权限；
2、将创建的密钥句柄传入密钥删除指令；</t>
  </si>
  <si>
    <t>1、创建成功；
2、删除失败；</t>
  </si>
  <si>
    <t>test_kms.py::test_ehsm_698</t>
  </si>
  <si>
    <t>EHSM-699</t>
  </si>
  <si>
    <t>使用非法参数进行密钥删除指令测试</t>
  </si>
  <si>
    <t>1、将非法句柄传入密钥删除指令；</t>
  </si>
  <si>
    <t>1、返回失败；</t>
  </si>
  <si>
    <t>test_kms.py::test_ehsm_699</t>
  </si>
  <si>
    <t>EHSM-700</t>
  </si>
  <si>
    <t>直接使用根密码数值password key方式，X963算法派生密钥，派生密钥存放在RAM</t>
  </si>
  <si>
    <t>1、派生算法选择KDFX963，方式选择 use password，密钥输出选择RAM，权限选择加密或解密，发送派生指令；
3、导出派生密钥，对比算法和权限是否一致；
4、删除密钥；</t>
  </si>
  <si>
    <t>1、派生成功，获取密钥h1；
3、导出密钥成功；
4、删除密钥成功；</t>
  </si>
  <si>
    <t>test_kms.py::test_ehsm_700</t>
  </si>
  <si>
    <t>EHSM-701</t>
  </si>
  <si>
    <t>直接使用根密码数值password key方式，PBKDF2算法派生密钥，派生密钥存放在RAM</t>
  </si>
  <si>
    <t>1、派生算法选择PBKDF2，方式选择 use password，密钥输出选择RAM，权限选择加密或解密，发送派生指令；
3、导出派生密钥，对比算法和权限是否一致；
4、删除密钥；</t>
  </si>
  <si>
    <t>test_kms.py::test_ehsm_701</t>
  </si>
  <si>
    <t>EHSM-702</t>
  </si>
  <si>
    <t>根密码使用key_handle传入方式，X963算法派生密钥，派生密钥存放在KMU</t>
  </si>
  <si>
    <t>1、派生算法选择KDFX963，方式选择 use parent key,密钥输出选择KMU,权限选择加密或解密，发送派生指令；</t>
  </si>
  <si>
    <t>1、派生失败，无法使用非BPKDF2方式和OTP密钥派生新密钥；</t>
  </si>
  <si>
    <t>test_kms.py::test_ehsm_702</t>
  </si>
  <si>
    <t>EHSM-703</t>
  </si>
  <si>
    <t>直接使用密钥方式，PBKDF2算法派生密钥，派生密钥存放在RAM</t>
  </si>
  <si>
    <t>1、派生算法选择PBKDF2，方式选择 use password，密钥输出选择KMS，权限选择加密和导出，发送派生指令；
2、导出派生密钥，对比密钥数据是否与标准测试向量一致；
3、删除密钥；</t>
  </si>
  <si>
    <t>1、派生成功，获取密钥句柄；
2、导出密钥成功，密钥值匹配；
3、删除密钥成功；</t>
  </si>
  <si>
    <t>test_kms.py::test_ehsm_703</t>
  </si>
  <si>
    <t>EHSM-704</t>
  </si>
  <si>
    <t>使用password key方式派生具有加解密和传输密钥权限TPK的密钥</t>
  </si>
  <si>
    <t>1、使用password key 方式，并填充pw_data_addr，密钥权限选择加解密和TPK，发送派生命令；</t>
  </si>
  <si>
    <t>1、派生失败；</t>
  </si>
  <si>
    <t>test_kms.py::test_ehsm_704</t>
  </si>
  <si>
    <t>EHSM-705</t>
  </si>
  <si>
    <t>使用password key方式派生只有TPK权限的密钥</t>
  </si>
  <si>
    <t>1、使用password key 方式，并填充pw_data_addr，密钥权限选择TPK，发送派生命令；</t>
  </si>
  <si>
    <t>test_kms.py::test_ehsm_705</t>
  </si>
  <si>
    <t>EHSM-706</t>
  </si>
  <si>
    <t>创建一个可以具有写保护的密钥h1，重新派生一个密钥h1</t>
  </si>
  <si>
    <t>1、生成一个随机密钥，配置密钥写保护权限，得到密钥h1；
2、使用password key 方式，并填充pw_data_addr，派生密钥句柄配置h1，发送派生命令；
3、删除密钥；</t>
  </si>
  <si>
    <t>1、生成密钥成功；
2、派生密钥失败；
3、删除密钥成功；</t>
  </si>
  <si>
    <t>test_kms.py::test_ehsm_706</t>
  </si>
  <si>
    <t>EHSM-707</t>
  </si>
  <si>
    <t>创建一个有创建密钥权限，没有TPK创建权限的密钥作为根密钥，新派生密钥配置TPK权限</t>
  </si>
  <si>
    <t>1、生成一个随机密钥，配置密钥创建密钥权限，得到密钥h1；
2、以h1作为根密钥，派生一个带TPK权限的密钥；
3、删除密钥；</t>
  </si>
  <si>
    <t>test_kms.py::test_ehsm_707</t>
  </si>
  <si>
    <t>EHSM-708</t>
  </si>
  <si>
    <t>创建一个没有派生权限的密钥，用于密钥派生</t>
  </si>
  <si>
    <t>1、生成一个随机密钥，不配置密钥生成权限，得到密钥h1；
2、以h1作为根密钥，派生一个带TPK权限的密钥；
3、删除密钥；</t>
  </si>
  <si>
    <t>1、密钥生成成功；
2、派生密钥失败；
3、删除密钥成功；</t>
  </si>
  <si>
    <t>test_kms.py::test_ehsm_708</t>
  </si>
  <si>
    <t>EHSM-709</t>
  </si>
  <si>
    <t>使用非法数据进行密钥派生指令测试</t>
  </si>
  <si>
    <t>1、将派生算法设置非法；
2、将派生类型选择非法；
3、将哈希算法设置非法；
4、将密钥类型设置非法；
5、将pw_data_addr设置为None；
6、将key_size设置为0；</t>
  </si>
  <si>
    <t>1、返回失败；
2、返回失败；
3、返回失败；
4、返回失败；
5、返回失败；
6、返回失败；</t>
  </si>
  <si>
    <t>test_kms.py::test_ehsm_709</t>
  </si>
  <si>
    <t>EHSM-710</t>
  </si>
  <si>
    <t>测试使用 DH 算法进行密钥交换</t>
  </si>
  <si>
    <t>1、导入明文DH 私钥作为本地密钥，并配置创建密钥权限，得到h1；（使用标准数据）；
2、传入g/p/q数据，和对方公钥，对称算法AES，得到协商密钥h2；
4、导出协商密钥k1；
5、对比k1和预期协商密钥k；
6、删除密钥h1/h2;</t>
  </si>
  <si>
    <t>1、导入密钥成功；
2、协商密钥成功；
4、导出密钥成功；
5、数据对比一致；
6、删除密钥成功；</t>
  </si>
  <si>
    <t>test_kms.py::test_ehsm_710</t>
  </si>
  <si>
    <t>EHSM-711</t>
  </si>
  <si>
    <t>测试使用 SM2 算法进行密钥交换</t>
  </si>
  <si>
    <t>1、导入明文密钥sm2公钥作为本地密钥，并配置创建密钥权限，得到h1；
2、导入密钥；
3、导入 sponsor temporary private and public key；
2、导入本地临时密钥对，得到密钥句柄h2；
3、传入对方公钥和对方临时公钥，对称算法AES，得到协商密钥h3；
4、导出协商密钥K1；
5、对比k1和预期协商密钥k；
6、删除密钥h1/h2/h3;</t>
  </si>
  <si>
    <t>1、导入密钥成功；
2、执行成功；
3、执行成功；
2、导入密钥成功；
3、协商密钥成功；
4、导出密钥成功；
5、数据对比一致；
6、删除密钥成功；</t>
  </si>
  <si>
    <t>test_kms.py::test_ehsm_711</t>
  </si>
  <si>
    <t>EHSM-712</t>
  </si>
  <si>
    <t>分别使用ECC Brainpool P192R1 进行密钥交换（ECDH）</t>
  </si>
  <si>
    <t>1、导入明文密钥ECC私钥作为本地密钥，并配置创建密钥权限，得到h1；
2、传入对方公钥，对称算法AES，得到协商密钥h2；
3、使用算法AES-ECB 和密钥h2 加密明文消息m，得到密文c；
4、对比k1和预期协商密钥k；
5、删除密钥h1/h2;</t>
  </si>
  <si>
    <t>1、导入密钥成功；
2、协商密钥成功；
3、导出密钥成功；
4、数据对比一致；
5、删除密钥成功；</t>
  </si>
  <si>
    <t>test_kms.py::test_ehsm_712</t>
  </si>
  <si>
    <t>EHSM-715</t>
  </si>
  <si>
    <t>分别使用ECC SEC P192R1 进行密钥交换（ECDH）</t>
  </si>
  <si>
    <t>1、导入明文密钥ECC公钥作为本地密钥，并配置创建密钥权限，得到h1；
2、传入对方公钥，对称算法AES，得到协商密钥h2；
3、导出密钥；
4、对比k1和预期协商密钥k；
5、删除密钥h1/h2;</t>
  </si>
  <si>
    <t>test_kms.py::test_ehsm_715</t>
  </si>
  <si>
    <t>EHSM-716</t>
  </si>
  <si>
    <t>协商的目标密钥handle已经存在，且具有写保护权限，再通过协商命令重新生成该handle</t>
  </si>
  <si>
    <t>1、创建一个新密钥h1，配置写保护权限；
2、1 生成写保护权限的密钥；
2、配置合法的密钥协商参数，配置协商的目标句柄为h1；
3、删除密钥句柄；</t>
  </si>
  <si>
    <t>1、创建成功；
2、协商失败；
3、删除成功；</t>
  </si>
  <si>
    <t>test_kms.py::test_ehsm_716</t>
  </si>
  <si>
    <t>EHSM-717</t>
  </si>
  <si>
    <t>协商密钥配置的本地密钥h1没有没有创建密钥权限，使用该密钥h1区进行密钥协商</t>
  </si>
  <si>
    <t>1、创建一个新密钥h1，不创建密钥权限；
2、配置合法的密钥协商参数，配置协商的本地密钥句柄为h1；
3、删除密钥句柄；</t>
  </si>
  <si>
    <t>test_kms.py::test_ehsm_717</t>
  </si>
  <si>
    <t>EHSM-718</t>
  </si>
  <si>
    <t>协商密钥配置的本地密钥是具有TPK权限的OTP密钥，通过该OTP密钥进行密钥协商</t>
  </si>
  <si>
    <t>1、配置合法的密钥协商数据，但将协商的本地密钥配置为具有创建TPK密钥权限的OTP密钥，新秘钥没有TPK权限；</t>
  </si>
  <si>
    <t>1、协商失败；</t>
  </si>
  <si>
    <t>test_kms.py::test_ehsm_718</t>
  </si>
  <si>
    <t>EHSM-719</t>
  </si>
  <si>
    <t>协商密钥配置的新生成的协商密钥配置TPK权限，使用该配置进行密钥协商</t>
  </si>
  <si>
    <t>1、配置合法的密钥协商数据，但配置协商生成的密钥权限配置TPK；
2、配置密钥协商参数带有 TPK 权限，配置协商的本地密钥句柄为h1；</t>
  </si>
  <si>
    <t>1、协商失败；
2、协商失败；</t>
  </si>
  <si>
    <t>test_kms.py::test_ehsm_719</t>
  </si>
  <si>
    <t>EHSM-720</t>
  </si>
  <si>
    <t>使用非法数据进行密钥交换指令测试</t>
  </si>
  <si>
    <t>1、将非法句柄传入密钥交换指令；
2、非法密钥g/p/q 和key_size；
3、将algo_id设置为无效值0xFF；
4、将key_size设置为0（使用HMAC测试）；
5、将local_key_handle设置为不存在的句柄；</t>
  </si>
  <si>
    <t>1、返回失败；
2、返回失败；
3、返回失败；
4、返回失败；
5、返回失败；</t>
  </si>
  <si>
    <t>test_kms.py::test_ehsm_720</t>
  </si>
  <si>
    <t>EHSM-721</t>
  </si>
  <si>
    <t>计算SM2密钥公钥</t>
  </si>
  <si>
    <t>1、准备SM2私钥，并使用密钥导入命令导入；（使用标准数据）；
2、准备获取公钥指令，传入导入密钥handle，发送；
4、获取公钥数据，并与预期公钥数据进行对比；
5、删除密钥；</t>
  </si>
  <si>
    <t>1、导入成功；
2、获取公钥成功；
4、公钥对比一致；
5、删除密钥成功；</t>
  </si>
  <si>
    <t>test_kms.py::test_ehsm_721</t>
  </si>
  <si>
    <t>EHSM-722</t>
  </si>
  <si>
    <t>计算ECC密钥公钥</t>
  </si>
  <si>
    <t>1、准备ECC私钥，并使用密钥导入命令导入；（使用标准数据）；
2、准备获取公钥指令，传入导入密钥handle，发送；
3、获取公钥数据，并与预期公钥数据进行对比；
4、删除密钥；</t>
  </si>
  <si>
    <t>1、导入成功；
2、获取公钥成功；
3、公钥对比一致；
4、删除密钥成功；</t>
  </si>
  <si>
    <t>test_kms.py::test_ehsm_722</t>
  </si>
  <si>
    <t>EHSM-723</t>
  </si>
  <si>
    <t>计算DH密钥公钥</t>
  </si>
  <si>
    <t>1、准备DH私钥，并使用密钥导入命令导入；（使用标准数据）；
2、准备获取公钥指令，传入导入密钥handle和参数g/p/q，发送；
3、获取公钥数据，并与预期公钥数据进行对比；
4、删除密钥；</t>
  </si>
  <si>
    <t>test_kms.py::test_ehsm_723</t>
  </si>
  <si>
    <t>EHSM_K001</t>
  </si>
  <si>
    <t>X25519 密钥协商测试 - edge case on twist</t>
  </si>
  <si>
    <t>1、导入明文密钥 X25519 私钥作为本地密钥，并配置创建密钥权限，得到 h1；
2、传入对方公钥，对称算法 AES_256，得到协商密钥 h2；
3、导出密钥；
4、对比协商密钥和预期协商密钥；
5、删除密钥 h1/h2;</t>
  </si>
  <si>
    <t>test_kms.py::test_ehsm_k001</t>
  </si>
  <si>
    <t>EHSM_K002</t>
  </si>
  <si>
    <t>X25519 密钥协商测试 - edge case for public key</t>
  </si>
  <si>
    <t>test_kms.py::test_ehsm_k002</t>
  </si>
  <si>
    <t>EHSM_K003</t>
  </si>
  <si>
    <t>ECDH Brainpool P160R1标准测试向量验证</t>
  </si>
  <si>
    <t>1、导入明文密钥{vec[；
2、传入对方公钥进行{vec[；
3、导出协商密钥h2；
4、验证{vec[；
5、删除密钥h1和h2；</t>
  </si>
  <si>
    <t>3、导出密钥成功；
5、删除密钥成功；</t>
  </si>
  <si>
    <t>test_kms.py::test_ehsm_k003</t>
  </si>
  <si>
    <t>EHSM_K004</t>
  </si>
  <si>
    <t>使用ECC Brainpool P160R1进行密钥交换（ECDH）</t>
  </si>
  <si>
    <t>1、导入明文密钥ECC Brainpool P160R1私钥作为本地密钥，并配置创建密钥权限，得到h1；
2、传入对方公钥，对称算法AES-128，得到协商密钥h2；
3、导出协商密钥h2；
4、对比协商密钥和预期协商密钥；
5、删除密钥h1/h2;</t>
  </si>
  <si>
    <t>test_kms.py::test_ehsm_k004</t>
  </si>
  <si>
    <t>EHSM_K005</t>
  </si>
  <si>
    <t>使用ECC Brainpool P224R1进行密钥交换（ECDH）</t>
  </si>
  <si>
    <t>1、导入明文密钥ECC Brainpool P224R1私钥作为本地密钥，并配置创建密钥权限，得到h1；
2、传入对方公钥，对称算法AES-128，得到协商密钥h2；
3、导出协商密钥h2；
4、对比协商密钥和预期协商密钥；
5、删除密钥h1/h2;</t>
  </si>
  <si>
    <t>test_kms.py::test_ehsm_k005</t>
  </si>
  <si>
    <t>EHSM_K006</t>
  </si>
  <si>
    <t>使用ECC Brainpool P320R1进行密钥交换（ECDH）</t>
  </si>
  <si>
    <t>1、导入明文密钥ECC Brainpool P320R1私钥作为本地密钥，并配置创建密钥权限，得到h1；
2、传入对方公钥，对称算法AES-128，得到协商密钥h2；
3、导出协商密钥h2；
4、对比协商密钥和预期协商密钥；
5、删除密钥h1/h2;</t>
  </si>
  <si>
    <t>test_kms.py::test_ehsm_k006</t>
  </si>
  <si>
    <t>EHSM_K007</t>
  </si>
  <si>
    <t>使用ECC Brainpool P384R1进行密钥交换（ECDH）</t>
  </si>
  <si>
    <t>1、导入明文密钥ECC Brainpool P384R1私钥作为本地密钥，并配置创建密钥权限，得到h1；
2、传入对方公钥，对称算法AES-128，得到协商密钥h2；
3、导出协商密钥h2；
4、对比协商密钥和预期协商密钥；
5、删除密钥h1/h2;</t>
  </si>
  <si>
    <t>test_kms.py::test_ehsm_k007</t>
  </si>
  <si>
    <t>EHSM_K008</t>
  </si>
  <si>
    <t>使用ECC Brainpool P512R1进行密钥交换（ECDH）</t>
  </si>
  <si>
    <t>1、导入明文密钥ECC Brainpool P512R1私钥作为本地密钥，并配置创建密钥权限，得到h1；
2、传入对方公钥，对称算法AES-128，得到协商密钥h2；
3、导出协商密钥h2；
4、对比协商密钥和预期协商密钥；
5、删除密钥h1/h2;</t>
  </si>
  <si>
    <t>test_kms.py::test_ehsm_k008</t>
  </si>
  <si>
    <t>EHSM_K009</t>
  </si>
  <si>
    <t>使用ECC SECP P192R1进行密钥交换（ECDH）</t>
  </si>
  <si>
    <t>1、导入明文密钥ECC SECP P192R1私钥作为本地密钥，并配置创建密钥权限，得到h1；
2、传入对方公钥，对称算法AES-128，得到协商密钥h2；
3、导出协商密钥h2；
4、对比协商密钥和预期协商密钥；
5、删除密钥h1/h2;</t>
  </si>
  <si>
    <t>test_kms.py::test_ehsm_k009</t>
  </si>
  <si>
    <t>EHSM_K010</t>
  </si>
  <si>
    <t>使用ECC SECP P224R1进行密钥交换（ECDH）</t>
  </si>
  <si>
    <t>1、导入明文密钥ECC SECP P224R1私钥作为本地密钥，并配置创建密钥权限，得到h1；
2、传入对方公钥，对称算法AES-128，得到协商密钥h2；
3、导出协商密钥h2；
4、对比协商密钥和预期协商密钥；
5、删除密钥h1/h2;</t>
  </si>
  <si>
    <t>test_kms.py::test_ehsm_k010</t>
  </si>
  <si>
    <t>EHSM_K011</t>
  </si>
  <si>
    <t>使用ECC SECP P256R1进行密钥交换（ECDH）</t>
  </si>
  <si>
    <t>1、导入明文密钥ECC SECP P256R1私钥作为本地密钥，并配置创建密钥权限，得到h1；
2、传入对方公钥，对称算法AES-128，得到协商密钥h2；
3、导出协商密钥h2；
4、对比协商密钥和预期协商密钥；
5、删除密钥h1/h2;</t>
  </si>
  <si>
    <t>test_kms.py::test_ehsm_k011</t>
  </si>
  <si>
    <t>EHSM_K012</t>
  </si>
  <si>
    <t>使用ECC SECP P384R1进行密钥交换（ECDH）</t>
  </si>
  <si>
    <t>1、导入明文密钥ECC SECP P384R1私钥作为本地密钥，并配置创建密钥权限，得到h1；
2、传入对方公钥，对称算法AES-128，得到协商密钥h2；
3、导出协商密钥h2；
4、对比协商密钥和预期协商密钥；
5、删除密钥h1/h2;</t>
  </si>
  <si>
    <t>test_kms.py::test_ehsm_k012</t>
  </si>
  <si>
    <t>EHSM_K013</t>
  </si>
  <si>
    <t>使用ECC SECP P521R1进行密钥交换（ECDH）</t>
  </si>
  <si>
    <t>1、导入明文密钥ECC SECP P521R1私钥作为本地密钥，并配置创建密钥权限，得到h1；
2、传入对方公钥，对称算法AES-128，得到协商密钥h2；
3、导出协商密钥h2；
4、对比协商密钥和预期协商密钥；
5、删除密钥h1/h2;</t>
  </si>
  <si>
    <t>test_kms.py::test_ehsm_k013</t>
  </si>
  <si>
    <t>EHSM_K014</t>
  </si>
  <si>
    <t>使用ECC SECP256K1进行密钥交换（ECDH）</t>
  </si>
  <si>
    <t>1、导入明文密钥ECC SECP256K1私钥作为本地密钥，并配置创建密钥权限，得到h1；
2、传入对方公钥，对称算法AES-128，得到协商密钥h2；
3、导出协商密钥h2；
4、对比协商密钥和预期协商密钥；
5、删除密钥h1/h2;</t>
  </si>
  <si>
    <t>test_kms.py::test_ehsm_k014</t>
  </si>
  <si>
    <t>EHSM_K015</t>
  </si>
  <si>
    <t>使用ECC SECP192K1进行密钥交换（ECDH）</t>
  </si>
  <si>
    <t>1、导入明文密钥ECC SECP192K1私钥作为本地密钥，并配置创建密钥权限，得到h1；
2、传入对方公钥，对称算法AES-128，得到协商密钥h2；
3、导出协商密钥h2；
4、对比协商密钥和预期协商密钥；
5、删除密钥h1/h2;</t>
  </si>
  <si>
    <t>test_kms.py::test_ehsm_k015</t>
  </si>
  <si>
    <t>EHSM_K016</t>
  </si>
  <si>
    <t>使用ECC Brainpool P192R1进行密钥交换（ECDH）</t>
  </si>
  <si>
    <t>1、导入明文密钥ECC Brainpool P192R1私钥作为本地密钥，并配置创建密钥权限，得到h1；
2、传入对方公钥，对称算法AES-128，得到协商密钥h2；
3、导出协商密钥h2；
4、对比协商密钥和预期协商密钥；
5、删除密钥h1/h2;</t>
  </si>
  <si>
    <t>test_kms.py::test_ehsm_k016</t>
  </si>
  <si>
    <t>EHSM_K017</t>
  </si>
  <si>
    <t>使用ECC Brainpool P256R1进行密钥交换（ECDH）</t>
  </si>
  <si>
    <t>1、导入明文密钥ECC Brainpool P256R1私钥作为本地密钥，并配置创建密钥权限，得到h1；
2、传入对方公钥，对称算法AES-128，得到协商密钥h2；
3、导出协商密钥h2；
4、对比协商密钥和预期协商密钥；
5、删除密钥h1/h2;</t>
  </si>
  <si>
    <t>test_kms.py::test_ehsm_k017</t>
  </si>
  <si>
    <t>EHSM_K019</t>
  </si>
  <si>
    <t>DES密钥生成：rsa_e_bit_size异常参数测试</t>
  </si>
  <si>
    <t>1、rsa_e_bit_size不为0时，测试DES算法能否正常生成密钥；</t>
  </si>
  <si>
    <t>1、生成成功；</t>
  </si>
  <si>
    <t>test_kms.py::test_ehsm_k019</t>
  </si>
  <si>
    <t>EHSM_K020</t>
  </si>
  <si>
    <t>DES密钥生成：key_size异常参数测试</t>
  </si>
  <si>
    <t>1、key_size大于8时，测试DES算法能否正常生成密钥；</t>
  </si>
  <si>
    <t>test_kms.py::test_ehsm_k020</t>
  </si>
  <si>
    <t>EHSM_K021</t>
  </si>
  <si>
    <t>DES密钥生成：key_handle边界值测试</t>
  </si>
  <si>
    <t>1、使用key_handle=0生成DES密钥；</t>
  </si>
  <si>
    <t>1、验证固件是否接受句柄0；</t>
  </si>
  <si>
    <t>test_kms.py::test_ehsm_k021</t>
  </si>
  <si>
    <t>EHSM_K022</t>
  </si>
  <si>
    <t>DES密钥生成：permit异常参数测试</t>
  </si>
  <si>
    <t>1、permit超出有效范围(0x100000)；
2、permit全1(0xFFFFFFFF)；
3、仅REMOVE权限(最小有效值)；</t>
  </si>
  <si>
    <t>1、返回参数错误；
2、返回参数错误；
3、密钥生成成功；</t>
  </si>
  <si>
    <t>test_kms.py::test_ehsm_k022</t>
  </si>
  <si>
    <t>EHSM_K023</t>
  </si>
  <si>
    <t>DES密钥生成：dh_params异常参数测试</t>
  </si>
  <si>
    <t>1、生成DES密钥但传入dh_params数据；</t>
  </si>
  <si>
    <t>1、成功(参数被忽略)；</t>
  </si>
  <si>
    <t>test_kms.py::test_ehsm_k023</t>
  </si>
  <si>
    <t>EHSM_K024</t>
  </si>
  <si>
    <t>DES密钥生成：dh_params_size异常参数测试</t>
  </si>
  <si>
    <t>1、生成DES密钥但传入dh_params_size=1(最小非零值)；
2、生成DES密钥但传入dh_params_size=2064(最大有效值)；</t>
  </si>
  <si>
    <t>1、成功(参数被忽略)；
2、成功(参数被忽略)；</t>
  </si>
  <si>
    <t>test_kms.py::test_ehsm_k024</t>
  </si>
  <si>
    <t>EHSM_K025</t>
  </si>
  <si>
    <t>DES密钥生成：dh_params为None时异常参数测试</t>
  </si>
  <si>
    <t>1、生成DES密钥，dh_params=None但dh_params_size=100；</t>
  </si>
  <si>
    <t>test_kms.py::test_ehsm_k025</t>
  </si>
  <si>
    <t>EHSM_K026</t>
  </si>
  <si>
    <t>TDES密钥生成：rsa_e_bit_size异常参数测试</t>
  </si>
  <si>
    <t>1、rsa_e_bit_size不为0时，测试{algo_name}算法能否正常生成密钥；</t>
  </si>
  <si>
    <t>test_kms.py::test_ehsm_k026</t>
  </si>
  <si>
    <t>EHSM_K027</t>
  </si>
  <si>
    <t>TDES密钥生成：key_size异常参数测试</t>
  </si>
  <si>
    <t>1、key_size超出{expected_size}时，测试{algo_name}算法能否正常生成密钥；</t>
  </si>
  <si>
    <t>1、应该失败或被忽略；</t>
  </si>
  <si>
    <t>test_kms.py::test_ehsm_k027</t>
  </si>
  <si>
    <t>EHSM_K028</t>
  </si>
  <si>
    <t>TDES密钥生成：key_handle边界测试</t>
  </si>
  <si>
    <t>1、使用key_handle=0生成{algo_name}密钥；</t>
  </si>
  <si>
    <t>test_kms.py::test_ehsm_k028</t>
  </si>
  <si>
    <t>EHSM_K029</t>
  </si>
  <si>
    <t>TDES密钥生成：permit异常参数测试</t>
  </si>
  <si>
    <t>1、{algo_name}：permit超出有效范围(0x100000)；
2、{algo_name}：permit全1(0xFFFFFFFF)；
3、{algo_name}：仅REMOVE权限(最小有效值)；</t>
  </si>
  <si>
    <t>test_kms.py::test_ehsm_k029</t>
  </si>
  <si>
    <t>EHSM_K030</t>
  </si>
  <si>
    <t>TDES密钥生成：dh_params异常参数测试</t>
  </si>
  <si>
    <t>1、生成{algo_name}密钥但传入dh_params数据；</t>
  </si>
  <si>
    <t>test_kms.py::test_ehsm_k030</t>
  </si>
  <si>
    <t>EHSM_K031</t>
  </si>
  <si>
    <t>TDES密钥生成：dh_params_size异常参数测试</t>
  </si>
  <si>
    <t>1、生成{algo_name}密钥但传入dh_params_size=1(最小非零值)；
2、生成{algo_name}密钥但传入dh_params_size=2064(最大有效值)；</t>
  </si>
  <si>
    <t>test_kms.py::test_ehsm_k031</t>
  </si>
  <si>
    <t>EHSM_K032</t>
  </si>
  <si>
    <t>TDES密钥生成：dh_params为None时异常参数测试</t>
  </si>
  <si>
    <t>1、生成{algo_name}密钥，dh_params=None但dh_params_size=100；</t>
  </si>
  <si>
    <t>test_kms.py::test_ehsm_k032</t>
  </si>
  <si>
    <t>EHSM_K033</t>
  </si>
  <si>
    <t>AES密钥生成：rsa_e_bit_size异常参数测试</t>
  </si>
  <si>
    <t>test_kms.py::test_ehsm_k033</t>
  </si>
  <si>
    <t>EHSM_K034</t>
  </si>
  <si>
    <t>AES密钥生成：key_size异常参数测试</t>
  </si>
  <si>
    <t>test_kms.py::test_ehsm_k034</t>
  </si>
  <si>
    <t>EHSM_K035</t>
  </si>
  <si>
    <t>AES密钥生成：key_handle边界值测试</t>
  </si>
  <si>
    <t>test_kms.py::test_ehsm_k035</t>
  </si>
  <si>
    <t>EHSM_K036</t>
  </si>
  <si>
    <t>AES密钥生成：permit异常参数测试</t>
  </si>
  <si>
    <t>test_kms.py::test_ehsm_k036</t>
  </si>
  <si>
    <t>EHSM_K037</t>
  </si>
  <si>
    <t>AES密钥生成：dh_params异常参数测试</t>
  </si>
  <si>
    <t>test_kms.py::test_ehsm_k037</t>
  </si>
  <si>
    <t>EHSM_K038</t>
  </si>
  <si>
    <t>AES密钥生成：dh_params_size异常参数测试</t>
  </si>
  <si>
    <t>test_kms.py::test_ehsm_k038</t>
  </si>
  <si>
    <t>EHSM_K039</t>
  </si>
  <si>
    <t>AES密钥生成：dh_params为None时异常参数测试</t>
  </si>
  <si>
    <t>test_kms.py::test_ehsm_k039</t>
  </si>
  <si>
    <t>EHSM_K040</t>
  </si>
  <si>
    <t>SM4密钥生成：rsa_e_bit_size异常参数测试</t>
  </si>
  <si>
    <t>1、rsa_e_bit_size不为0时，测试SM4算法能否正常生成密钥；</t>
  </si>
  <si>
    <t>test_kms.py::test_ehsm_k040</t>
  </si>
  <si>
    <t>EHSM_K041</t>
  </si>
  <si>
    <t>SM4密钥生成：key_size异常参数测试</t>
  </si>
  <si>
    <t>1、key_size超出16时，测试SM4算法能否正常生成密钥；</t>
  </si>
  <si>
    <t>test_kms.py::test_ehsm_k041</t>
  </si>
  <si>
    <t>EHSM_K042</t>
  </si>
  <si>
    <t>SM4密钥生成：key_handle边界值测试</t>
  </si>
  <si>
    <t>1、使用key_handle=0生成SM4密钥；</t>
  </si>
  <si>
    <t>test_kms.py::test_ehsm_k042</t>
  </si>
  <si>
    <t>EHSM_K043</t>
  </si>
  <si>
    <t>SM4密钥生成：permit异常参数测试</t>
  </si>
  <si>
    <t>test_kms.py::test_ehsm_k043</t>
  </si>
  <si>
    <t>EHSM_K044</t>
  </si>
  <si>
    <t>SM4密钥生成：dh_params异常参数测试</t>
  </si>
  <si>
    <t>1、生成SM4密钥但传入dh_params数据；</t>
  </si>
  <si>
    <t>test_kms.py::test_ehsm_k044</t>
  </si>
  <si>
    <t>EHSM_K045</t>
  </si>
  <si>
    <t>SM4密钥生成：dh_params_size异常参数测试</t>
  </si>
  <si>
    <t>1、生成SM4密钥但传入dh_params_size=1(最小非零值)；
2、生成SM4密钥但传入dh_params_size=2064(最大有效值)；</t>
  </si>
  <si>
    <t>test_kms.py::test_ehsm_k045</t>
  </si>
  <si>
    <t>EHSM_K046</t>
  </si>
  <si>
    <t>SM4密钥生成：dh_params为None时异常参数测试</t>
  </si>
  <si>
    <t>1、生成SM4密钥，dh_params=None但dh_params_size=100；</t>
  </si>
  <si>
    <t>test_kms.py::test_ehsm_k046</t>
  </si>
  <si>
    <t>EHSM_K047</t>
  </si>
  <si>
    <t>SM2密钥生成：rsa_e_bit_size异常参数测试</t>
  </si>
  <si>
    <t>1、rsa_e_bit_size不为0时，测试SM2算法能否正常生成密钥；</t>
  </si>
  <si>
    <t>test_kms.py::test_ehsm_k047</t>
  </si>
  <si>
    <t>EHSM_K048</t>
  </si>
  <si>
    <t>SM2密钥生成：key_size异常参数测试</t>
  </si>
  <si>
    <t>1、key_size不为0时，测试SM2算法能否正常生成密钥；</t>
  </si>
  <si>
    <t>test_kms.py::test_ehsm_k048</t>
  </si>
  <si>
    <t>EHSM_K049</t>
  </si>
  <si>
    <t>SM2密钥生成：key_handle边界值测试</t>
  </si>
  <si>
    <t>1、使用key_handle=0生成SM2密钥；</t>
  </si>
  <si>
    <t>test_kms.py::test_ehsm_k049</t>
  </si>
  <si>
    <t>EHSM_K050</t>
  </si>
  <si>
    <t>SM2密钥生成：permit异常参数测试</t>
  </si>
  <si>
    <t>test_kms.py::test_ehsm_k050</t>
  </si>
  <si>
    <t>EHSM_K051</t>
  </si>
  <si>
    <t>SM2密钥生成：dh_params异常参数测试</t>
  </si>
  <si>
    <t>1、生成SM2密钥但传入dh_params数据；</t>
  </si>
  <si>
    <t>test_kms.py::test_ehsm_k051</t>
  </si>
  <si>
    <t>EHSM_K052</t>
  </si>
  <si>
    <t>SM2密钥生成：dh_params_size异常参数测试</t>
  </si>
  <si>
    <t>1、生成SM2密钥但传入dh_params_size=1(最小非零值)；
2、生成SM2密钥但传入dh_params_size=2064(最大有效值)；</t>
  </si>
  <si>
    <t>test_kms.py::test_ehsm_k052</t>
  </si>
  <si>
    <t>EHSM_K053</t>
  </si>
  <si>
    <t>SM2密钥生成：dh_params为None时异常参数测试</t>
  </si>
  <si>
    <t>1、生成SM2密钥，dh_params=None但dh_params_size=100；</t>
  </si>
  <si>
    <t>test_kms.py::test_ehsm_k053</t>
  </si>
  <si>
    <t>EHSM_K054</t>
  </si>
  <si>
    <t>RSA密钥生成：rsa_e_bit_size异常参数测试</t>
  </si>
  <si>
    <t>1、{algo_name}：rsa_e_bit_size超出最大值(65)；</t>
  </si>
  <si>
    <t>1、返回参数错误；</t>
  </si>
  <si>
    <t>test_kms.py::test_ehsm_k054</t>
  </si>
  <si>
    <t>EHSM_K055</t>
  </si>
  <si>
    <t>RSA密钥生成：key_size异常参测试</t>
  </si>
  <si>
    <t>1、key_size不为0时，测试{algo_name}算法能否正常生成密钥；</t>
  </si>
  <si>
    <t>test_kms.py::test_ehsm_k055</t>
  </si>
  <si>
    <t>EHSM_K056</t>
  </si>
  <si>
    <t>RSA密钥生成：key_handle边界值测试</t>
  </si>
  <si>
    <t>test_kms.py::test_ehsm_k056</t>
  </si>
  <si>
    <t>EHSM_K057</t>
  </si>
  <si>
    <t>RSA密钥生成：permit异常参数测试</t>
  </si>
  <si>
    <t>test_kms.py::test_ehsm_k057</t>
  </si>
  <si>
    <t>EHSM_K058</t>
  </si>
  <si>
    <t>RSA密钥生成：dh_params异常参数测试</t>
  </si>
  <si>
    <t>test_kms.py::test_ehsm_k058</t>
  </si>
  <si>
    <t>EHSM_K059</t>
  </si>
  <si>
    <t>RSA密钥生成：dh_params_size异常参数测试</t>
  </si>
  <si>
    <t>test_kms.py::test_ehsm_k059</t>
  </si>
  <si>
    <t>EHSM_K060</t>
  </si>
  <si>
    <t>RSA密钥生成：dh_params为None时异常参数测试</t>
  </si>
  <si>
    <t>test_kms.py::test_ehsm_k060</t>
  </si>
  <si>
    <t>EHSM_K061</t>
  </si>
  <si>
    <t>RSA_CRT密钥生成：rsa_e_bit_size异常参数测试</t>
  </si>
  <si>
    <t>test_kms.py::test_ehsm_k061</t>
  </si>
  <si>
    <t>EHSM_K062</t>
  </si>
  <si>
    <t>RSA_CRT密钥生成：permit异常参数测试</t>
  </si>
  <si>
    <t>test_kms.py::test_ehsm_k062</t>
  </si>
  <si>
    <t>EHSM_K063</t>
  </si>
  <si>
    <t>RSA_CRT密钥生成：dh_params异常参数测试</t>
  </si>
  <si>
    <t>test_kms.py::test_ehsm_k0623</t>
  </si>
  <si>
    <t>EHSM_K064</t>
  </si>
  <si>
    <t>RSA_CRT密钥生成：hmac_key_size异常参数测试</t>
  </si>
  <si>
    <t>1、生成{algo_name}密钥但传入hmac_key_size；</t>
  </si>
  <si>
    <t>test_kms.py::test_ehsm_k064</t>
  </si>
  <si>
    <t>EHSM_K065</t>
  </si>
  <si>
    <t>RSA_CRT密钥生成：dh_params为None但dh_params_size非零</t>
  </si>
  <si>
    <t>test_kms.py::test_ehsm_k065</t>
  </si>
  <si>
    <t>EHSM_K066</t>
  </si>
  <si>
    <t>DH密钥生成：permit异常参数测试</t>
  </si>
  <si>
    <t>1、DH：permit超出有效范围(0x100000)；
2、DH：permit全1(0xFFFFFFFF)；
3、DH：仅REMOVE权限(最小有效值)；</t>
  </si>
  <si>
    <t>test_kms.py::test_ehsm_k066</t>
  </si>
  <si>
    <t>EHSM_K067</t>
  </si>
  <si>
    <t>DH密钥生成：dh_params为None测试</t>
  </si>
  <si>
    <t>1、生成DH密钥但dh_params=None；</t>
  </si>
  <si>
    <t>test_kms.py::test_ehsm_k067</t>
  </si>
  <si>
    <t>EHSM_K068</t>
  </si>
  <si>
    <t>DH密钥生成：dh_params_size异常参数测试</t>
  </si>
  <si>
    <t>1、生成DH密钥但dh_params_size与实际不符（小于实际）；
2、生成DH密钥，dh_params_size正确；</t>
  </si>
  <si>
    <t>1、返回参数错误或成功；
2、成功；</t>
  </si>
  <si>
    <t>test_kms.py::test_ehsm_k068</t>
  </si>
  <si>
    <t>EHSM_K069</t>
  </si>
  <si>
    <t>DH密钥生成：rsa_e_bit_size异常参数测试</t>
  </si>
  <si>
    <t>1、生成DH密钥但传入rsa_e_bit_size=17；</t>
  </si>
  <si>
    <t>test_kms.py::test_ehsm_k069</t>
  </si>
  <si>
    <t>EHSM_K070</t>
  </si>
  <si>
    <t>DH密钥生成：hmac_key_size异常参数测试</t>
  </si>
  <si>
    <t>1、生成DH密钥但传入hmac_key_size=32；</t>
  </si>
  <si>
    <t>test_kms.py::test_ehsm_k070</t>
  </si>
  <si>
    <t>EHSM_K071</t>
  </si>
  <si>
    <t>ECC Brainpool密钥生成：permit异常参数测试</t>
  </si>
  <si>
    <t>test_kms.py::test_ehsm_k071</t>
  </si>
  <si>
    <t>EHSM_K072</t>
  </si>
  <si>
    <t>ECC Brainpool密钥生成：rsa_e_bit_size异常参数测试</t>
  </si>
  <si>
    <t>1、生成{algo_name}密钥但传入rsa_e_bit_size=17；</t>
  </si>
  <si>
    <t>test_kms.py::test_ehsm_k072</t>
  </si>
  <si>
    <t>EHSM_K073</t>
  </si>
  <si>
    <t>ECC Brainpool密钥生成：dh_params异常参数测试</t>
  </si>
  <si>
    <t>test_kms.py::test_ehsm_k073</t>
  </si>
  <si>
    <t>EHSM_K074</t>
  </si>
  <si>
    <t>ECC Brainpool密钥生成：hmac_key_size异常参数测试</t>
  </si>
  <si>
    <t>test_kms.py::test_ehsm_k074</t>
  </si>
  <si>
    <t>EHSM_K075</t>
  </si>
  <si>
    <t>ECC Brainpool密钥生成：dh_params为None但dh_params_size非零</t>
  </si>
  <si>
    <t>test_kms.py::test_ehsm_k075</t>
  </si>
  <si>
    <t>EHSM_K076</t>
  </si>
  <si>
    <t>ECC SECP密钥生成：permit异常参数测试</t>
  </si>
  <si>
    <t>test_kms.py::test_ehsm_k076</t>
  </si>
  <si>
    <t>EHSM_K077</t>
  </si>
  <si>
    <t>ECC SECP密钥生成：rsa_e_bit_size异常参数测试</t>
  </si>
  <si>
    <t>test_kms.py::test_ehsm_k077</t>
  </si>
  <si>
    <t>EHSM_K078</t>
  </si>
  <si>
    <t>ECC SECP密钥生成：dh_params异常参数测试</t>
  </si>
  <si>
    <t>test_kms.py::test_ehsm_k078</t>
  </si>
  <si>
    <t>EHSM_K079</t>
  </si>
  <si>
    <t>ECC SECP密钥生成：hmac_key_size异常参数测试</t>
  </si>
  <si>
    <t>test_kms.py::test_ehsm_k079</t>
  </si>
  <si>
    <t>EHSM_K080</t>
  </si>
  <si>
    <t>ECC SECP密钥生成：dh_params为None但dh_params_size非零</t>
  </si>
  <si>
    <t>test_kms.py::test_ehsm_k080</t>
  </si>
  <si>
    <t>EHSM_K081</t>
  </si>
  <si>
    <t>ED25519密钥生成：permit异常参数测试</t>
  </si>
  <si>
    <t>1、ED25519：permit超出有效范围(0x100000)；
2、ED25519：permit全1(0xFFFFFFFF)；
3、ED25519：仅REMOVE权限(最小有效值)；</t>
  </si>
  <si>
    <t>test_kms.py::test_ehsm_k081</t>
  </si>
  <si>
    <t>EHSM_K082</t>
  </si>
  <si>
    <t>ED25519密钥生成：rsa_e_bit_size异常参数测试</t>
  </si>
  <si>
    <t>1、生成ED25519密钥但传入rsa_e_bit_size=17；</t>
  </si>
  <si>
    <t>test_kms.py::test_ehsm_k082</t>
  </si>
  <si>
    <t>EHSM_K083</t>
  </si>
  <si>
    <t>ED25519密钥生成：dh_params异常参数测试</t>
  </si>
  <si>
    <t>1、生成ED25519密钥但传入dh_params数据；</t>
  </si>
  <si>
    <t>test_kms.py::test_ehsm_k083</t>
  </si>
  <si>
    <t>EHSM_K084</t>
  </si>
  <si>
    <t>ED25519密钥生成：hmac_key_size异常参数测试</t>
  </si>
  <si>
    <t>1、生成ED25519密钥但传入hmac_key_size；</t>
  </si>
  <si>
    <t>test_kms.py::test_ehsm_k084</t>
  </si>
  <si>
    <t>EHSM_K085</t>
  </si>
  <si>
    <t>ED25519密钥生成：dh_params为None但dh_params_size非零</t>
  </si>
  <si>
    <t>1、生成ED25519密钥，dh_params=None但dh_params_size=100；</t>
  </si>
  <si>
    <t>test_kms.py::test_ehsm_k085</t>
  </si>
  <si>
    <t>EHSM_K086</t>
  </si>
  <si>
    <t>X25519密钥生成：permit异常参数测试</t>
  </si>
  <si>
    <t>1、X25519：permit超出有效范围(0x100000)；
2、X25519：permit全1(0xFFFFFFFF)；
3、X25519：仅REMOVE权限(最小有效值)；</t>
  </si>
  <si>
    <t>test_kms.py::test_ehsm_k086</t>
  </si>
  <si>
    <t>EHSM_K087</t>
  </si>
  <si>
    <t>X25519密钥生成：rsa_e_bit_size异常参数测试</t>
  </si>
  <si>
    <t>1、生成X25519密钥但传入rsa_e_bit_size=17；</t>
  </si>
  <si>
    <t>test_kms.py::test_ehsm_k087</t>
  </si>
  <si>
    <t>EHSM_K088</t>
  </si>
  <si>
    <t>X25519密钥生成：dh_params异常参数测试</t>
  </si>
  <si>
    <t>1、生成X25519密钥但传入dh_params数据；</t>
  </si>
  <si>
    <t>test_kms.py::test_ehsm_k088</t>
  </si>
  <si>
    <t>EHSM_K089</t>
  </si>
  <si>
    <t>X25519密钥生成：hmac_key_size异常参数测试</t>
  </si>
  <si>
    <t>1、生成X25519密钥但传入hmac_key_size；</t>
  </si>
  <si>
    <t>test_kms.py::test_ehsm_k089</t>
  </si>
  <si>
    <t>EHSM_K090</t>
  </si>
  <si>
    <t>X25519密钥生成：dh_params为None但dh_params_size非零</t>
  </si>
  <si>
    <t>1、生成X25519密钥，dh_params=None但dh_params_size=100；</t>
  </si>
  <si>
    <t>test_kms.py::test_ehsm_k090</t>
  </si>
  <si>
    <t>EHSM_K096</t>
  </si>
  <si>
    <t>AES_XTS密钥生成：permit异常参数测试</t>
  </si>
  <si>
    <t>test_kms.py::test_ehsm_k096</t>
  </si>
  <si>
    <t>EHSM_K097</t>
  </si>
  <si>
    <t>AES_XTS密钥生成：rsa_e_bit_size异常参数测试</t>
  </si>
  <si>
    <t>test_kms.py::test_ehsm_k097</t>
  </si>
  <si>
    <t>EHSM_K098</t>
  </si>
  <si>
    <t>AES_XTS密钥生成：dh_params异常参数测试</t>
  </si>
  <si>
    <t>test_kms.py::test_ehsm_k098</t>
  </si>
  <si>
    <t>EHSM_K099</t>
  </si>
  <si>
    <t>AES_XTS密钥生成：hmac_key_size异常参数测试</t>
  </si>
  <si>
    <t>test_kms.py::test_ehsm_k099</t>
  </si>
  <si>
    <t>EHSM_K100</t>
  </si>
  <si>
    <t>AES_XTS密钥生成：dh_params为None但dh_params_size非零</t>
  </si>
  <si>
    <t>test_kms.py::test_ehsm_k100</t>
  </si>
  <si>
    <t>EHSM_K106</t>
  </si>
  <si>
    <t>HMAC密钥生成：permit异常参数测试</t>
  </si>
  <si>
    <t>1、HMAC：permit超出有效范围(0x100000)；
2、HMAC：permit全1(0xFFFFFFFF)；
3、HMAC：仅REMOVE权限(最小有效值)；</t>
  </si>
  <si>
    <t>test_kms.py::test_ehsm_k106</t>
  </si>
  <si>
    <t>EHSM_K107</t>
  </si>
  <si>
    <t>HMAC密钥生成：rsa_e_bit_size异常参数测试</t>
  </si>
  <si>
    <t>1、生成HMAC密钥但传入rsa_e_bit_size=17；</t>
  </si>
  <si>
    <t>test_kms.py::test_ehsm_k107</t>
  </si>
  <si>
    <t>EHSM_K108</t>
  </si>
  <si>
    <t>HMAC密钥生成：dh_params异常参数测试</t>
  </si>
  <si>
    <t>1、生成HMAC密钥但传入dh_params数据；</t>
  </si>
  <si>
    <t>test_kms.py::test_ehsm_k108</t>
  </si>
  <si>
    <t>EHSM_K109</t>
  </si>
  <si>
    <t>HMAC密钥生成：hmac_key_size异常参数测试</t>
  </si>
  <si>
    <t>1、生成HMAC密钥，hmac_key_size=0（无效值）；
2、生成HMAC密钥，hmac_key_size=32（有效值）；
3、生成HMAC密钥，hmac_key_size=64（有效值）；</t>
  </si>
  <si>
    <t>1、返回参数错误或使用默认值；
2、成功；
3、成功；</t>
  </si>
  <si>
    <t>test_kms.py::test_ehsm_k109</t>
  </si>
  <si>
    <t>EHSM_K110</t>
  </si>
  <si>
    <t>HMAC密钥生成：dh_params为None但dh_params_size非零</t>
  </si>
  <si>
    <t>1、生成HMAC密钥，dh_params=None但dh_params_size=100；</t>
  </si>
  <si>
    <t>test_kms.py::test_ehsm_k110</t>
  </si>
  <si>
    <t>EHSM_K111</t>
  </si>
  <si>
    <t>ECC SECP K1密钥生成：permit异常参数测试</t>
  </si>
  <si>
    <t>test_kms.py::test_ehsm_k111</t>
  </si>
  <si>
    <t>EHSM_K112</t>
  </si>
  <si>
    <t>ECC SECP K1密钥生成：rsa_e_bit_size异常参数测试</t>
  </si>
  <si>
    <t>1、{algo_name}：rsa_e_bit_size=17（应被忽略）；</t>
  </si>
  <si>
    <t>1、密钥生成成功；</t>
  </si>
  <si>
    <t>test_kms.py::test_ehsm_k112</t>
  </si>
  <si>
    <t>EHSM_K113</t>
  </si>
  <si>
    <t>ECC SECP K1密钥生成：dh_params异常参数测试</t>
  </si>
  <si>
    <t>1、{algo_name}：传入虚假dh_params（应被忽略）；</t>
  </si>
  <si>
    <t>test_kms.py::test_ehsm_k113</t>
  </si>
  <si>
    <t>EHSM_K114</t>
  </si>
  <si>
    <t>ECC SECP K1密钥生成：hmac_key_size异常参数测试</t>
  </si>
  <si>
    <t>1、{algo_name}：hmac_key_size=32（应被忽略）；</t>
  </si>
  <si>
    <t>test_kms.py::test_ehsm_k114</t>
  </si>
  <si>
    <t>EHSM_K115</t>
  </si>
  <si>
    <t>ECC SECP K1密钥生成：dh_params为None但dh_params_size非零</t>
  </si>
  <si>
    <t>1、{algo_name}：dh_params=None, size=100（矛盾参数应被忽略）；</t>
  </si>
  <si>
    <t>test_kms.py::test_ehsm_k115</t>
  </si>
  <si>
    <t>EHSM_K121</t>
  </si>
  <si>
    <t>DH密钥交换：dh_common参数异常测试</t>
  </si>
  <si>
    <t>1、准备：导入DH私钥作为本地密钥；
1、DH密钥交换时dh_common_addr=None且dh_common_size=0；
3、清理：删除本地密钥；</t>
  </si>
  <si>
    <t>1、导入成功；
1、返回失败；
3、删除成功；</t>
  </si>
  <si>
    <t>test_kms.py::test_ehsm_k121</t>
  </si>
  <si>
    <t>EHSM_K122</t>
  </si>
  <si>
    <t>SM2密钥交换：sm2_param_addr参数异常测试</t>
  </si>
  <si>
    <t>1、准备：导入SM2密钥对作为本地密钥；
1、SM2密钥交换时sm2_param_addr=None；
3、清理：删除本地密钥；</t>
  </si>
  <si>
    <t>test_kms.py::test_ehsm_k122</t>
  </si>
  <si>
    <t>EHSM_K123</t>
  </si>
  <si>
    <t>DH密钥计算公钥：dh_params参数异常测试</t>
  </si>
  <si>
    <t>1、准备：导入DH私钥；
1、DH密钥计算公钥时dh_params=None；
2、DH密钥计算公钥时dh_params_size=0；
4、清理：删除本地密钥；</t>
  </si>
  <si>
    <t>1、导入成功；
1、返回失败；
2、返回失败；
4、删除成功；</t>
  </si>
  <si>
    <t>test_kms.py::test_ehsm_k123</t>
  </si>
  <si>
    <t>EHSM_K124</t>
  </si>
  <si>
    <t>验证 eHSM RAM 密钥存储扩展（迁移）逻辑的正确性</t>
  </si>
  <si>
    <t>1、安装密钥A：导入AES-128明文密钥，获得handle_a；
2、安装密钥B：导入RSA-1024 CRT模式密钥，获得handle_b（B紧接A存放）；
3、迁移前基准验证：使用测试向量标准密文作为golden ciphertext（无需加密步骤）；
4、迁移前验证：用密钥B（RSA-1024）对golden ciphertext解密，与golden plaintext对比；
5、原地替换密钥A为RSA-2048（不删除handle_a，直接导入更大密钥）；触发固件将密钥B向后搬移腾出空间；
6、迁移后验证：用密钥B（handle_b，RSA-1024）对同一golden ciphertext解密，与golden plaintext对比；
7、验证新密钥A（RSA-2048）：对RSA-2048标准密文解密，与预期明文对比；
8、清理：删除handle_b和handle_a；</t>
  </si>
  <si>
    <t>1、导入成功，返回密钥句柄；
2、导入成功，返回密钥句柄；
3、准备golden ciphertext成功；
4、解密成功，结果与预期一致；
5、更新成功，handle_a不变；
6、解密成功，结果与迁移前一致，密钥B完整性验证通过；
7、解密成功，密钥A更新后可正常使用；
8、删除成功；</t>
  </si>
  <si>
    <t>test_kms.py::test_ehsm_k124</t>
  </si>
  <si>
    <t>EHSM_K125</t>
  </si>
  <si>
    <t>验证 kds_rmove_all_key 正确清除 RAM 密钥缓冲区</t>
  </si>
  <si>
    <t>1、初始化OTP为TEST模式，复位固件确认当前生命周期为TEST_MODE；
2、导入AES-128 RAM密钥，执行AES-ECB加密，验证密钥正常工作（基准验证）；删除密钥；
3、调用fw_change_lifecycle切换到DEBUG_MODE，触发kds_rmove_all_key执行；注意：此时固件未复位，仍在TEST生命周期下运行；
4、不复位，立即再次导入AES-128 RAM密钥（触发bug关键路径）；修复后应导入成功；
5、用新密钥执行AES-ECB加密，验证密钥可正常使用；删除密钥；
6、复位固件，确认生命周期已切换为DEBUG_MODE（验证OTP写入已生效）；</t>
  </si>
  <si>
    <t>1、生命周期为TEST_MODE，复位成功；
2、加密成功，密钥工作正常；
3、生命周期切换指令返回成功；
4、导入成功（kds_rmove_all_key bug已修复）；
5、加密成功；
6、生命周期为DEBUG_MODE，OTP写入验证通过；</t>
  </si>
  <si>
    <t>test_kms.py::test_ehsm_k125</t>
  </si>
  <si>
    <t>EHSM_K129</t>
  </si>
  <si>
    <t>AES密钥生成正常成功</t>
  </si>
  <si>
    <t>1、调用 fw_key_generate，alg=MB_AES_128，permit=MB_KEY_USAGE_ENCRYPT|MB_KEY_USAGE_DECRYPT|MB_KEY_PERMIT_REMOVE，其余参数合法有效值；
2、成功后调用 fw_key_remove(handle)；</t>
  </si>
  <si>
    <t>1、生成成功，返回合法密钥句柄；
2、删除成功；</t>
  </si>
  <si>
    <t>test_kms.py::test_ehsm_k129</t>
  </si>
  <si>
    <t>EHSM_K130</t>
  </si>
  <si>
    <t>ECC密钥生成正常成功</t>
  </si>
  <si>
    <t>1、调用 fw_key_generate，alg=MB_ECC_SECP_256R1，permit=MB_KEY_USAGE_SIGN|MB_KEY_USAGE_VERIFY|MB_KEY_PERMIT_REMOVE，其余参数合法有效值；
2、成功后调用 fw_key_remove(handle)；</t>
  </si>
  <si>
    <t>test_kms.py::test_ehsm_k130</t>
  </si>
  <si>
    <t>EHSM_K131</t>
  </si>
  <si>
    <t>DH合法参数正常解析</t>
  </si>
  <si>
    <t>1、fw_key_import(algo_id=MB_DH, part_info=KMS_KEY_PART_PRIVKEY, 私钥数据取自 dh_tv_template[0].secret，得到 handle)；
2、构造合法 dh_common_data；调用 fw_key_exchange，local_key_handle=handle，得到协商密钥句柄；
3、fw_key_remove(handle)及删除协商密钥；</t>
  </si>
  <si>
    <t>1、导入密钥成功；
2、密钥交换成功；
3、删除成功；</t>
  </si>
  <si>
    <t>test_kms.py::test_ehsm_k131</t>
  </si>
  <si>
    <t>EHSM_K132</t>
  </si>
  <si>
    <t>DH字段长度=0，拒绝</t>
  </si>
  <si>
    <t>1、fw_key_import(algo_id=MB_DH, part_info=KMS_KEY_PART_PRIVKEY, 私钥数据，得到 handle)；
2、构造 dh_common_data，将某一字段 length 设为 0；调用 fw_key_exchange；
3、fw_key_remove(handle)；</t>
  </si>
  <si>
    <t>1、导入密钥成功；
2、返回EHSM_ERR_PARAM_ERROR；
3、删除成功；</t>
  </si>
  <si>
    <t>test_kms.py::test_ehsm_k132</t>
  </si>
  <si>
    <t>EHSM_K133</t>
  </si>
  <si>
    <t>DH字段长度超最大值，拒绝</t>
  </si>
  <si>
    <t>1、fw_key_import(algo_id=MB_DH, part_info=KMS_KEY_PART_PRIVKEY, 私钥数据，得到 handle)；
2、构造 dh_common_data，将某一字段 length 设为最大值+1；调用 fw_key_exchange；
3、清理环境；</t>
  </si>
  <si>
    <t>1、导入密钥成功；
2、返回EHSM_ERR_PARAM_ERROR；
3、清理成功；</t>
  </si>
  <si>
    <t>test_kms.py::test_ehsm_k133</t>
  </si>
  <si>
    <t>EHSM_K134</t>
  </si>
  <si>
    <t>DH字段累计长度超过 dh_common_size，拒绝</t>
  </si>
  <si>
    <t>1、fw_key_import(algo_id=MB_DH, part_info=KMS_KEY_PART_PRIVKEY, 私钥数据，得到 handle)；
2、构造 dh_common_data，使得 p_size + q_size + g_size 累计长度超长；调用 fw_key_exchange；
3、清理环境；</t>
  </si>
  <si>
    <t>test_kms.py::test_ehsm_k134</t>
  </si>
  <si>
    <t>EHSM_K135</t>
  </si>
  <si>
    <t>fw_key_get_pub_from_priv 路径下，DH累计字段长度超长，拒绝</t>
  </si>
  <si>
    <t>1、fw_key_import(algo_id=MB_DH, part_info=KMS_KEY_PART_PRIVKEY, 私钥数据，得到 handle)；
2、构造累计字段超长的 dh_common_data；调用 fw_key_get_pub_from_priv；
3、清理环境；</t>
  </si>
  <si>
    <t>test_kms.py::test_ehsm_k135</t>
  </si>
  <si>
    <t>EHSM_K136</t>
  </si>
  <si>
    <t>fw_key_generate 路径下，DH累计字段长度超长，拒绝</t>
  </si>
  <si>
    <t>1、构造累计字段超长的 dh_common_data；调用 fw_key_generate，alg=MB_DH；</t>
  </si>
  <si>
    <t>1、返回EHSM_ERR_PARAM_ERROR；</t>
  </si>
  <si>
    <t>test_kms.py::test_ehsm_k136</t>
  </si>
  <si>
    <t>EHSM_K149</t>
  </si>
  <si>
    <t>check_key_size_param: RANDOM，key_size=0，拒绝（BUG-19）</t>
  </si>
  <si>
    <t>1、确认RANDOM key_size=1正路径有效；
2、调用fw_key_generate，alg=RANDOM，key_size=0；</t>
  </si>
  <si>
    <t>1、正路径成功；
2、应返回EHSM_ERR_PARAM_ERROR；</t>
  </si>
  <si>
    <t>test_kms.py::test_ehsm_k149</t>
  </si>
  <si>
    <t>EHSM_K150</t>
  </si>
  <si>
    <t>check_key_size_param: HMAC，key_size=0，拒绝（BUG-19）</t>
  </si>
  <si>
    <t>1、确认HMAC key_size=32正路径有效；
2、调用fw_key_generate，alg=HMAC，key_size=0；</t>
  </si>
  <si>
    <t>test_kms.py::test_ehsm_k150</t>
  </si>
  <si>
    <t>EHSM_K151</t>
  </si>
  <si>
    <t>check_key_size_param: RANDOM，key_size=1（最小合法），成功（BUG-19正路径）</t>
  </si>
  <si>
    <t>1、调用fw_key_generate，alg=RANDOM，key_size=1；
2、删除密钥；</t>
  </si>
  <si>
    <t>1、生成成功；
2、删除成功；</t>
  </si>
  <si>
    <t>test_kms.py::test_ehsm_k151</t>
  </si>
  <si>
    <t>EHSM_K137</t>
  </si>
  <si>
    <t>check_key_size_param: HMAC，key_size=512（最大合法），成功（BUG-19正路径）</t>
  </si>
  <si>
    <t>1、调用fw_key_generate，alg=HMAC，key_size=512；
2、删除密钥；</t>
  </si>
  <si>
    <t>test_kms.py::test_ehsm_k137</t>
  </si>
  <si>
    <t>EHSM_K138</t>
  </si>
  <si>
    <t>check_key_size_param: RANDOM，key_size=513（超最大），拒绝（BUG-19回归）</t>
  </si>
  <si>
    <t>1、调用fw_key_generate，alg=RANDOM，key_size=513；</t>
  </si>
  <si>
    <t>1、应返回EHSM_ERR_PARAM_ERROR；</t>
  </si>
  <si>
    <t>test_kms.py::test_ehsm_k138</t>
  </si>
  <si>
    <t>EHSM_K139</t>
  </si>
  <si>
    <t>check_derive_key_params: RANDOM，key_size=0，拒绝（BUG-19）</t>
  </si>
  <si>
    <t>1、确认derive RANDOM key_size=32正路径有效；
2、使用OTP父密钥，调用fw_key_derive，alg=RANDOM，key_size=0；</t>
  </si>
  <si>
    <t>test_kms.py::test_ehsm_k139</t>
  </si>
  <si>
    <t>EHSM_K140</t>
  </si>
  <si>
    <t>check_derive_key_params: HMAC，key_size=0，拒绝（BUG-19）</t>
  </si>
  <si>
    <t>1、确认derive HMAC key_size=32正路径有效；
2、使用OTP父密钥，调用fw_key_derive，alg=HMAC，key_size=0；</t>
  </si>
  <si>
    <t>test_kms.py::test_ehsm_k140</t>
  </si>
  <si>
    <t>EHSM_K141</t>
  </si>
  <si>
    <t>check_exchange_key_params: RANDOM，key_size=0，拒绝（BUG-19）</t>
  </si>
  <si>
    <t>1、导入DH私钥，得到local_handle；
2、构造合法dh_common_data，调用fw_key_exchange，alg=RANDOM，key_size=0；
3、清理DH密钥；</t>
  </si>
  <si>
    <t>1、导入完成；
2、应返回EHSM_ERR_PARAM_ERROR；
3、清理成功；</t>
  </si>
  <si>
    <t>test_kms.py::test_ehsm_k141</t>
  </si>
  <si>
    <t>EHSM_K142</t>
  </si>
  <si>
    <t>check_exchange_key_params: HMAC，key_size=0，拒绝（BUG-19）</t>
  </si>
  <si>
    <t>1、导入DH私钥，得到local_handle；
2、调用fw_key_exchange，alg=HMAC，key_size=0；
3、清理DH密钥；</t>
  </si>
  <si>
    <t>test_kms.py::test_ehsm_k142</t>
  </si>
  <si>
    <t>EHSM_K143</t>
  </si>
  <si>
    <t>SM9类型key_size=0，仍被正确拒绝（BUG-19回归，原有SM9拒绝逻辑不受影响）</t>
  </si>
  <si>
    <t>1、调用fw_key_generate，alg=SM9_ENC_USERPRIV，key_size=0；</t>
  </si>
  <si>
    <t>1、应被拒绝；</t>
  </si>
  <si>
    <t>test_kms.py::test_ehsm_k143</t>
  </si>
  <si>
    <t>EHSM_K144</t>
  </si>
  <si>
    <t>SM9_ENC_USERPRIV密钥生成被拒绝（BUG-03 P0）</t>
  </si>
  <si>
    <t>1、确认fw_key_generate(AES_128)正路径有效；
2、调用fw_key_generate，alg=SM9_ENC_USERPRIV；</t>
  </si>
  <si>
    <t>1、正路径成功；
2、应返回不支持错误码；</t>
  </si>
  <si>
    <t>test_kms.py::test_ehsm_k144</t>
  </si>
  <si>
    <t>EHSM_K145</t>
  </si>
  <si>
    <t>SM9_SIGN_USERPRIV密钥生成被拒绝（BUG-03 P0）</t>
  </si>
  <si>
    <t>1、确认fw_key_generate(AES_128)正路径有效；
2、调用fw_key_generate，alg=SM9_SIGN_USERPRIV；</t>
  </si>
  <si>
    <t>test_kms.py::test_ehsm_k145</t>
  </si>
  <si>
    <t>EHSM_K146</t>
  </si>
  <si>
    <t>SM9_EXCHG_USERPRIV密钥生成被拒绝（BUG-03 P0）</t>
  </si>
  <si>
    <t>1、确认fw_key_generate(AES_128)正路径有效；
2、调用fw_key_generate，alg=SM9_EXCHG_USERPRIV；</t>
  </si>
  <si>
    <t>test_kms.py::test_ehsm_k146</t>
  </si>
  <si>
    <t>EHSM_K147</t>
  </si>
  <si>
    <t>AES-128密钥生成正常成功（BUG-03回归正路径）</t>
  </si>
  <si>
    <t>1、调用fw_key_generate，alg=AES_128；</t>
  </si>
  <si>
    <t>test_kms.py::test_ehsm_k147</t>
  </si>
  <si>
    <t>EHSM_K148</t>
  </si>
  <si>
    <t>ECC-SECP256R1密钥生成正常成功（BUG-03回归正路径）</t>
  </si>
  <si>
    <t>1、调用fw_key_generate，alg=ECC_SECP256R1；</t>
  </si>
  <si>
    <t>test_kms.py::test_ehsm_k148</t>
  </si>
  <si>
    <t>lifecycle</t>
  </si>
  <si>
    <t>EHSM-816</t>
  </si>
  <si>
    <t>在Test模式下，修改lifecycle 为 Dev模式</t>
  </si>
  <si>
    <t>1、配置OTP 生命周期Test模式；
2、重启eHSM，并检查启动状态；
3、发送 change_lifecycle命令，修改为 DEV；
4、重启eHSM，并检查启动状态和生命周期；</t>
  </si>
  <si>
    <t>test_lifecycle.py::test_ehsm_816</t>
  </si>
  <si>
    <t>EHSM-817</t>
  </si>
  <si>
    <t>在Test模式下，修改lifecycle 为 Manu模式</t>
  </si>
  <si>
    <t>1、配置OTP 生命周期Test模式；
2、重启eHSM，并检查启动状态；
3、发送 change_lifecycle命令，修改为 MANU；
4、重启eHSM，并检查启动状态和生命周期；</t>
  </si>
  <si>
    <t>test_lifecycle.py::test_ehsm_817</t>
  </si>
  <si>
    <t>EHSM-818</t>
  </si>
  <si>
    <t>在Test模式下，修改lifecycle 为 User模式</t>
  </si>
  <si>
    <t>1、配置OTP 生命周期Test模式，调试鉴权算法密钥eHSM Debug Key配置SM4-128-CMAC算法密钥预置值和对应属性，其它默认；
2、重启eHSM，并检查启动状态；
3、发送 change_lifecycle命令，修改为 USER；
4、使用 get_challenge 接口，获取挑战字；
5、调用上层接口对挑战字进行CMAC计算，SM4-128-CMAC算法使用预置密钥钥，计算CMAC；
6、将计算好的CMAC和公钥传入 debug_auth 接口，进行鉴权；
7、发送 change_lifecycle命令，修改为 USER；
8、重启eHSM，并检查启动状态和生命周期；</t>
  </si>
  <si>
    <t>1、配置成功；
2、重启成功，状态正常；
3、发送成功；
4、读取成功，数据正确；
5、计算成功；
6、发送成功；
7、发送成功；
8、重启成功，状态正常；</t>
  </si>
  <si>
    <t>test_lifecycle.py::test_ehsm_818</t>
  </si>
  <si>
    <t>EHSM-819</t>
  </si>
  <si>
    <t>在Test模式下，修改lifecycle 为 Debug模式</t>
  </si>
  <si>
    <t>1、配置OTP 生命周期Test模式；
2、重启eHSM，并检查启动状态；
3、发送 change_lifecycle命令，修改为 DEBUG；
4、重启eHSM，并检查启动状态和生命周期；</t>
  </si>
  <si>
    <t>test_lifecycle.py::test_ehsm_819</t>
  </si>
  <si>
    <t>EHSM-820</t>
  </si>
  <si>
    <t>在Dev模式下，修改lifecycle 为 Manu模式</t>
  </si>
  <si>
    <t>1、配置OTP 生命周期Dev模式；
2、重启eHSM，并检查启动状态；
3、发送 change_lifecycle命令，修改为 MANU；
4、重启eHSM，并检查启动状态和生命周期；</t>
  </si>
  <si>
    <t>test_lifecycle.py::test_ehsm_820</t>
  </si>
  <si>
    <t>EHSM-821</t>
  </si>
  <si>
    <t>在Dev模式下，修改lifecycle 为 User模式</t>
  </si>
  <si>
    <t>1、配置OTP 生命周期Dev模式，调试鉴权算法密钥eHSM Debug Key配置SM4-128-CMAC算法密钥预置值和对应属性，其它默认；
2、重启eHSM，并检查启动状态；
3、发送 change_lifecycle命令，修改为 USER；
4、使用 get_challenge 接口，获取挑战字；
5、调用上层接口对挑战字进行CMAC计算，SM4-128-CMAC算法使用预置密钥钥，计算CMAC；
6、将计算好的CMAC和公钥传入 debug_auth 接口，进行鉴权；
7、发送 change_lifecycle命令，修改为 USER；
8、重启eHSM，并检查启动状态和生命周期；</t>
  </si>
  <si>
    <t>test_lifecycle.py::test_ehsm_821</t>
  </si>
  <si>
    <t>EHSM-822</t>
  </si>
  <si>
    <t>在Dev模式下，修改lifecycle 为 Debug模式</t>
  </si>
  <si>
    <t>1、配置OTP 生命周期Dev模式；
2、重启eHSM，并检查启动状态；
3、发送 change_lifecycle命令，修改为 DEBUG；
4、重启eHSM，并检查启动状态和生命周期；</t>
  </si>
  <si>
    <t>test_lifecycle.py::test_ehsm_822</t>
  </si>
  <si>
    <t>EHSM-823</t>
  </si>
  <si>
    <t>在Manu模式下，修改lifecycle 为 User模式</t>
  </si>
  <si>
    <t>1、配置OTP 生命周期Manu模式，调试鉴权算法密钥eHSM Debug Key配置SM4-128-CMAC算法密钥预置值和对应属性，其它默认；
2、重启eHSM，并检查启动状态；
3、发送 change_lifecycle命令，修改为 USER；
4、使用 get_challenge 接口，获取挑战字；
5、调用上层接口对挑战字进行CMAC计算，SM4-128-CMAC算法使用预置密钥钥，计算CMAC；
6、将计算好的CMAC和公钥传入 debug_auth 接口，进行鉴权；
7、发送 change_lifecycle命令，修改为 USER；
8、重启eHSM，并检查启动状态和生命周期；</t>
  </si>
  <si>
    <t>test_lifecycle.py::test_ehsm_823</t>
  </si>
  <si>
    <t>EHSM-824</t>
  </si>
  <si>
    <t>在Manu模式下，修改lifecycle 为 Debug模式</t>
  </si>
  <si>
    <t>1、配置OTP 生命周期Manu模式；
2、重启eHSM，并检查启动状态；
3、发送 change_lifecycle命令，修改为 DEBUG；
4、重启eHSM，并检查启动状态和生命周期；</t>
  </si>
  <si>
    <t>test_lifecycle.py::test_ehsm_824</t>
  </si>
  <si>
    <t>EHSM-825</t>
  </si>
  <si>
    <t>在User模式下，修改lifecycle 为 Debug模式</t>
  </si>
  <si>
    <t>1、配置OTP 生命周期User模式；
2、重启eHSM，并检查启动状态；
3、发送 change_lifecycle命令，修改为 DEBUG；
4、重启eHSM，并检查启动状态和生命周期；
5、使用USER 鉴权，获取挑战字，并发送鉴权命令；
6、发送 change_lifecycle命令，修改为 DEBUG；
7、重启eHSM，并检查启动状态和生命周期；</t>
  </si>
  <si>
    <t>1、配置成功；
2、重启成功，状态正常；
3、user模式下修改生命周期为debug受到生命周期限制；
4、重启成功，状态正常；
5、读取成功，数据正确；
6、发送成功；
7、重启成功，状态正常；</t>
  </si>
  <si>
    <t>test_lifecycle.py::test_ehsm_825</t>
  </si>
  <si>
    <t>EHSM-826</t>
  </si>
  <si>
    <t>在Debug模式下，反向修改lifecycle 为 User模式</t>
  </si>
  <si>
    <t>1、配置OTP 生命周期Debug模式；
2、重启eHSM，并检查启动状态；
3、发送 change_lifecycle命令，修改为 USER；</t>
  </si>
  <si>
    <t>1、配置成功；
2、重启成功，状态正常；
3、debug模式修改为user模式返回预期的错误码；</t>
  </si>
  <si>
    <t>test_lifecycle.py::test_ehsm_826</t>
  </si>
  <si>
    <t>EHSM-827</t>
  </si>
  <si>
    <t>在User模式下，反向修改lifecycle 为Manu模式</t>
  </si>
  <si>
    <t>1、配置OTP 生命周期User模式；
2、重启eHSM，并检查启动状态；
3、发送 change_lifecycle命令，修改为 Manu；</t>
  </si>
  <si>
    <t>1、配置成功；
2、重启成功，状态正常；
3、user模式修改为manu模式返回预期的错误码；</t>
  </si>
  <si>
    <t>test_lifecycle.py::test_ehsm_827</t>
  </si>
  <si>
    <t>EHSM-828</t>
  </si>
  <si>
    <t>在Manu模式下，反向修改lifecycle 为 Dev模式</t>
  </si>
  <si>
    <t>1、配置OTP 生命周期Manu模式；
2、重启eHSM，并检查启动状态；
3、发送 change_lifecycle命令，修改为 DEV；</t>
  </si>
  <si>
    <t>1、配置成功；
2、重启成功，状态正常；
3、manu模式修改为dev模式时返回预期的错误码；</t>
  </si>
  <si>
    <t>test_lifecycle.py::test_ehsm_828</t>
  </si>
  <si>
    <t>EHSM-829</t>
  </si>
  <si>
    <t>在Dev模式下，反向修改lifecycle 为 Test模式</t>
  </si>
  <si>
    <t>1、配置OTP 生命周期Dev模式；
2、重启eHSM，并检查启动状态；
3、发送 change_lifecycle命令，修改为 TEST；</t>
  </si>
  <si>
    <t>1、配置成功；
2、重启成功，状态正常；
3、dev模式修改为test模式返回预期的错误码；</t>
  </si>
  <si>
    <t>test_lifecycle.py::test_ehsm_829</t>
  </si>
  <si>
    <t>EHSM-830</t>
  </si>
  <si>
    <t>在Test模式下，对修改lifecycle 命令进行非法参数测试</t>
  </si>
  <si>
    <t>1、配置OTP 生命周期Test模式；
2、重启eHSM，并检查启动状态；
3、发送 change_lifecycle命令，修改为错误的lifecycle；</t>
  </si>
  <si>
    <t>1、配置成功；
2、重启成功，状态正常；
3、test模式下修改为错误生命周期时返回预期的错误码；</t>
  </si>
  <si>
    <t>test_lifecycle.py::test_ehsm_830</t>
  </si>
  <si>
    <t>EHSM-1293</t>
  </si>
  <si>
    <t>在Test模式下，修改lifecycle 为 Destroy 模式（destroy 模式后无法正常启动）</t>
  </si>
  <si>
    <t>1、配置OTP 生命周期Test模式，调试鉴权算法密钥eHSM Debug Key配置SM4-128-CMAC算法密钥预置值和对应属性，其它默认；
2、重启eHSM，并检查启动状态；
3、发送 change_lifecycle命令，修改为 Destroy ；
4、重启eHSM，并检查启动状态和生命周期；</t>
  </si>
  <si>
    <t>1、配置成功；
2、重启成功，状态正常；
3、发送成功；
4、destory模式下重启下位机超时，符合预期；</t>
  </si>
  <si>
    <t>test_lifecycle.py::test_ehsm_1293</t>
  </si>
  <si>
    <t>EHSM-l001</t>
  </si>
  <si>
    <t>在Test模式下，测试change_lifecycle接口传入非法lifecycle值（超出有效范围）</t>
  </si>
  <si>
    <t>1、配置生命周期为Test模式；并重启生效；
2、change_lifecycle接口传入非法的lifecycle值（999）；
3、确认生命周期未改变；</t>
  </si>
  <si>
    <t>1、生命周期配置成功；
2、报非法参数；
3、生命周期保持Test模式；</t>
  </si>
  <si>
    <t>test_lifecycle.py::test_ehsm_l001</t>
  </si>
  <si>
    <t>EHSM-l002</t>
  </si>
  <si>
    <t>在Test模式下，测试change_lifecycle接口传入超大lifecycle值</t>
  </si>
  <si>
    <t>1、配置生命周期为Test模式；并重启生效；
2、change_lifecycle接口传入超大lifecycle值（0xFFFFFFFF）；
3、确认生命周期未改变；</t>
  </si>
  <si>
    <t>test_lifecycle.py::test_ehsm_l002</t>
  </si>
  <si>
    <t>EHSM-l003</t>
  </si>
  <si>
    <t>在Test模式下，测试change_lifecycle接口传入边界外lifecycle值</t>
  </si>
  <si>
    <t>1、配置生命周期为Test模式；并重启生效；
2、change_lifecycle接口传入边界外lifecycle值（7）；
3、确认生命周期未改变；</t>
  </si>
  <si>
    <t>test_lifecycle.py::test_ehsm_l003</t>
  </si>
  <si>
    <t>mac</t>
  </si>
  <si>
    <t>EHSM-1633</t>
  </si>
  <si>
    <t>测试MAC算法在200ms内完成运算，超过会报错误</t>
  </si>
  <si>
    <t>1、测试数据生成: 算法 {algo}, 模式 {mac_mode}, 输入长度 {input_size}；
2、导入对称密钥；
3、生成 mac；
4、校验 mac；
5、删除hmac密钥；
6、测试数据生成: 算法 {algo}, 模式 {mac_mode}, 输入长度 {input_size}；
7、导入对称密钥；
8、生成 mac, init；
9、生成 mac, update；
10、生成 mac, finish；
11、校验 mac, init；
12、校验 mac, update；
13、校验 mac, finish；
14、删除mac密钥；</t>
  </si>
  <si>
    <t>1、执行成功；
2、执行成功；
3、执行成功；
4、执行成功；
5、执行成功；
6、执行成功；
7、执行成功；
8、执行成功；
9、执行成功；
10、执行成功；
11、执行成功；
12、执行成功；</t>
  </si>
  <si>
    <t>test_mac.py::test_ehsm_1633</t>
  </si>
  <si>
    <t>EHSM-579</t>
  </si>
  <si>
    <t>分别使用Stream和SingleCall方式测试 DES 算法  CBC-MAC 模式，对MAC 生成和校验分别进行测试</t>
  </si>
  <si>
    <t>test_mac.py::test_ehsm_579</t>
  </si>
  <si>
    <t>EHSM-580</t>
  </si>
  <si>
    <t>分别使用Stream和SingleCall方式测试 AES 算法  CBC-MAC 模式，对MAC 生成和校验分别进行测试</t>
  </si>
  <si>
    <t>1、测试数据生成: 算法 {algo}, 模式 {mac_mode}, 输入长度 {input_size}；
2、导入对称密钥；
3、生成 mac；
4、校验 mac；
5、删除hmac密钥；
6、测试数据生成: 算法 {algo}, 模式 {mac_mode}, 输入长度 {input_size}；
7、导入对称密钥；
8、生成 mac, init；
9、生成 mac, update；
10、生成 mac, finish；
11、校验 mac, init；
12、校验 mac, update；
13、校验 mac, finish；
14、删除mac密钥；
15、测试数据生成: 算法 {algo}, 模式 {mac_mode}, 输入长度 {input_size}；
16、导入对称密钥；
17、生成 mac；
18、校验 mac；
19、删除hmac密钥；
20、测试数据生成: 算法 {algo}, 模式 {mac_mode}, 输入长度 {input_size}；
21、导入对称密钥；
22、生成 mac, init；
23、生成 mac, update；
24、生成 mac, finish；
25、校验 mac, init；
26、校验 mac, update；
27、校验 mac, finish；
28、删除mac密钥；
29、测试数据生成: 算法 {algo}, 模式 {mac_mode}, 输入长度 {input_size}；
30、导入对称密钥；
31、生成 mac；
32、校验 mac；
33、删除hmac密钥；
34、测试数据生成: 算法 {algo}, 模式 {mac_mode}, 输入长度 {input_size}；
35、导入对称密钥；
36、生成 mac, init；
37、生成 mac, update；
38、生成 mac, finish；
39、校验 mac, init；
40、校验 mac, update；
41、校验 mac, finish；
42、删除mac密钥；</t>
  </si>
  <si>
    <t>1、执行成功；
2、执行成功；
3、执行成功；
4、执行成功；
5、执行成功；
6、执行成功；
7、执行成功；
8、执行成功；
9、执行成功；
10、执行成功；
11、执行成功；
12、执行成功；
13、执行成功；
14、执行成功；
15、执行成功；
16、执行成功；
17、执行成功；
18、执行成功；
19、执行成功；
20、执行成功；
21、执行成功；
22、执行成功；
23、执行成功；
24、执行成功；
25、执行成功；
26、执行成功；
27、执行成功；
28、执行成功；
29、执行成功；
30、执行成功；
31、执行成功；
32、执行成功；
33、执行成功；
34、执行成功；
35、执行成功；
36、执行成功；</t>
  </si>
  <si>
    <t>test_mac.py::test_ehsm_580</t>
  </si>
  <si>
    <t>EHSM-581</t>
  </si>
  <si>
    <t>分别使用Stream和SingleCall方式测试 TDES 算法 CBC-MAC 模式，对MAC 生成和校验分别进行测试</t>
  </si>
  <si>
    <t>1、测试数据生成: 算法 {algo}, 模式 {mac_mode}, 输入长度 {input_size}；
2、导入对称密钥；
3、生成 mac；
4、校验 mac；
5、删除hmac密钥；
6、测试数据生成: 算法 {algo}, 模式 {mac_mode}, 输入长度 {input_size}；
7、导入对称密钥；
8、生成 mac, init；
9、生成 mac, update；
10、生成 mac, finish；
11、校验 mac, init；
12、校验 mac, update；
13、校验 mac, finish；
14、删除mac密钥；
15、测试数据生成: 算法 {algo}, 模式 {mac_mode}, 输入长度 {input_size}；
16、导入对称密钥；
17、生成 mac；
18、校验 mac；
19、删除hmac密钥；
20、测试数据生成: 算法 {algo}, 模式 {mac_mode}, 输入长度 {input_size}；
21、导入对称密钥；
22、生成 mac, init；
23、生成 mac, update；
24、生成 mac, finish；
25、校验 mac, init；
26、校验 mac, update；
27、校验 mac, finish；
28、删除mac密钥；</t>
  </si>
  <si>
    <t>1、执行成功；
2、执行成功；
3、执行成功；
4、执行成功；
5、执行成功；
6、执行成功；
7、执行成功；
8、执行成功；
9、执行成功；
10、执行成功；
11、执行成功；
12、执行成功；
13、执行成功；
14、执行成功；
15、执行成功；
16、执行成功；
17、执行成功；
18、执行成功；
19、执行成功；
20、执行成功；
21、执行成功；
22、执行成功；
23、执行成功；
24、执行成功；</t>
  </si>
  <si>
    <t>test_mac.py::test_ehsm_581</t>
  </si>
  <si>
    <t>EHSM-582</t>
  </si>
  <si>
    <t>分别使用Stream和SingleCall方式测试 SM4 算法  CBC-MAC 模式，对MAC 生成和校验分别进行测试</t>
  </si>
  <si>
    <t>test_mac.py::test_ehsm_582</t>
  </si>
  <si>
    <t>EHSM-583</t>
  </si>
  <si>
    <t>分别使用Stream和SingleCall方式测试 DES 算法 CMAC 模式，对MAC 生成和校验分别进行测试</t>
  </si>
  <si>
    <t>test_mac.py::test_ehsm_583</t>
  </si>
  <si>
    <t>EHSM-584</t>
  </si>
  <si>
    <t>分别使用Stream和SingleCall方式测试 AES 算法 CMAC 模式，对MAC 生成和校验分别进行测试</t>
  </si>
  <si>
    <t>test_mac.py::test_ehsm_584</t>
  </si>
  <si>
    <t>EHSM-585</t>
  </si>
  <si>
    <t>分别使用Stream和SingleCall方式测试 TDES 算法 CMAC 模式，对MAC 生成和校验分别进行测试</t>
  </si>
  <si>
    <t>test_mac.py::test_ehsm_585</t>
  </si>
  <si>
    <t>EHSM-586</t>
  </si>
  <si>
    <t>分别使用Stream和SingleCall方式测试 SM4 算法 CMAC 模式，对MAC 生成和校验分别进行测试</t>
  </si>
  <si>
    <t>test_mac.py::test_ehsm_586</t>
  </si>
  <si>
    <t>EHSM-587</t>
  </si>
  <si>
    <t>分别使用Stream和SingleCall方式测试 AES 算法 GMAC 模式，对MAC 生成和校验分别进行测试</t>
  </si>
  <si>
    <t>test_mac.py::test_ehsm_587</t>
  </si>
  <si>
    <t>EHSM-588</t>
  </si>
  <si>
    <t>分别使用Stream和SingleCall方式测试 SM4 算法 GMAC 模式，对MAC 生成和校验分别进行测试</t>
  </si>
  <si>
    <t>test_mac.py::test_ehsm_588</t>
  </si>
  <si>
    <t>EHSM-589</t>
  </si>
  <si>
    <t>对MAC 命令输入异常参数测试，如错误算法、空地址、错误size，测试CMAC和GMAC模式</t>
  </si>
  <si>
    <t>1、测试数据生成: 算法 {algo}, 模式 {mac_mode}, 输入长度 {input_size}；
2、导入对称密钥；
1、传入非法算法，其它参数保持正常；
2、传入非法模式，其它参数保持正常；
4、传入非法数据长度，其它参数正常；
6、删除mac密钥；</t>
  </si>
  <si>
    <t>1、执行成功；
2、发送成功；
3、发送成功；
4、发送成功；
5、执行成功；</t>
  </si>
  <si>
    <t>test_mac.py::test_ehsm_589</t>
  </si>
  <si>
    <t>EHSM-M038</t>
  </si>
  <si>
    <t>分别使用Stream和SingleCall方式测试 DES 算法异常参数，对MAC 生成和校验分别进行测试</t>
  </si>
  <si>
    <t>1、测试算法DES在{mac_mode}模式下，当data（input）异常时，OnePass和Streams方式Mac生成和校验功能；
2、测试算法DES在{mac_mode}模式下，当mac异常时，OnePass和Streams方式Mac生成和校验功能；
3、测试算法DES在{mac_mode}模式下，当mac_ctx异常时，Streams方式Mac生成和校验功能；</t>
  </si>
  <si>
    <t>测试执行成功，无错误或异常</t>
  </si>
  <si>
    <t>test_mac.py::test_ehsm_m038</t>
  </si>
  <si>
    <t>EHSM-M039</t>
  </si>
  <si>
    <t>分别使用Stream和SingleCall方式测试 TDES 算法异常参数，对MAC 生成和校验分别进行测试</t>
  </si>
  <si>
    <t>1、测试算法{algo}在{mac_mode}模式下，当data（input）异常时，OnePass和Streams方式Mac生成和校验功能；
2、测试算法{algo}在{mac_mode}模式下，当mac异常时，OnePass和Streams方式Mac生成和校验功能；
3、测试算法{algo}在{mac_mode}模式下，当mac_ctx异常时，Streams方式Mac生成和校验功能；
4、测试算法{algo}在{mac_mode}模式下，当iv异常时，OnePass和Streams方式Mac生成和校验功能；</t>
  </si>
  <si>
    <t>test_mac.py::test_ehsm_m039</t>
  </si>
  <si>
    <t>EHSM-M040</t>
  </si>
  <si>
    <t>分别使用Stream和SingleCall方式测试 AES 算法异常参数，对MAC 生成和校验分别进行测试</t>
  </si>
  <si>
    <t>test_mac.py::test_ehsm_m040</t>
  </si>
  <si>
    <t>EHSM-M041</t>
  </si>
  <si>
    <t>分别使用Stream和SingleCall方式测试 SM4 算法异常测试，对MAC 生成和校验分别进行测试</t>
  </si>
  <si>
    <t>test_mac.py::test_ehsm_m041</t>
  </si>
  <si>
    <t>EHSM_M046</t>
  </si>
  <si>
    <t>cmac_final mac_size=16（上界），GEN/VERIFY均正常（BUG-14正路径）</t>
  </si>
  <si>
    <t>1、CMAC GEN+VERIFY mac_size=16（合法上界）；</t>
  </si>
  <si>
    <t>1、均正常；</t>
  </si>
  <si>
    <t>test_mac.py::test_ehsm_m046</t>
  </si>
  <si>
    <t>EHSM_M047</t>
  </si>
  <si>
    <t>cmac_final mac_size=17（超界），GEN/VERIFY均返回EHSM_ERR_MAC_LEN_WRONG_FORMAT（BUG-14 P0）</t>
  </si>
  <si>
    <t>1、确认CMAC mac_size=16正路径有效；
2、CMAC GEN+VERIFY mac_size=17（超界）；</t>
  </si>
  <si>
    <t>1、正路径成功；
2、均返回EHSM_ERR_MAC_LEN_WRONG_FORMAT；</t>
  </si>
  <si>
    <t>test_mac.py::test_ehsm_m047</t>
  </si>
  <si>
    <t>EHSM_M048</t>
  </si>
  <si>
    <t>cbcmac_final mac_size=17，GEN/VERIFY均拒绝（BUG-14 P0 CBC-MAC路径）</t>
  </si>
  <si>
    <t>1、确认CBC-MAC mac_size=16正路径有效；
2、CBC-MAC GEN+VERIFY mac_size=17（超界）；</t>
  </si>
  <si>
    <t>test_mac.py::test_ehsm_m048</t>
  </si>
  <si>
    <t>EHSM_M049</t>
  </si>
  <si>
    <t>gmac_final mac_size=17，GEN/VERIFY均拒绝（BUG-14 P0 GMAC路径）</t>
  </si>
  <si>
    <t>1、确认GMAC mac_size=16正路径有效；
2、GMAC GEN+VERIFY mac_size=17（超界）；</t>
  </si>
  <si>
    <t>test_mac.py::test_ehsm_m049</t>
  </si>
  <si>
    <t>EHSM_M050</t>
  </si>
  <si>
    <t>cmac_final mac_size=0xFF（极大值），GEN/VERIFY均拒绝（BUG-14）</t>
  </si>
  <si>
    <t>1、CMAC GEN+VERIFY mac_size=255（极大值）；</t>
  </si>
  <si>
    <t>1、均返回EHSM_ERR_MAC_LEN_WRONG_FORMAT；</t>
  </si>
  <si>
    <t>test_mac.py::test_ehsm_m050</t>
  </si>
  <si>
    <t>EHSM_M051</t>
  </si>
  <si>
    <t>cmac_final mac_size=8（最小合法），GEN/VERIFY均正常（BUG-14正路径）</t>
  </si>
  <si>
    <t>1、CMAC mac_size=8 &lt; 分组长度16，期望返回错误码20；</t>
  </si>
  <si>
    <t>1、固件拒绝小于分组长度的mac_size；</t>
  </si>
  <si>
    <t>test_mac.py::test_ehsm_m051</t>
  </si>
  <si>
    <t>EHSM_M052</t>
  </si>
  <si>
    <t>cmac_final mac_size=7（下界-1），GEN/VERIFY均拒绝（BUG-14）</t>
  </si>
  <si>
    <t>1、确认mac_size=16正路径有效；
2、CMAC GEN+VERIFY mac_size=7（下界-1）；</t>
  </si>
  <si>
    <t>test_mac.py::test_ehsm_m052</t>
  </si>
  <si>
    <t>EHSM_M053</t>
  </si>
  <si>
    <t>CBC-MAC data_size=0，拒绝，返回EHSM_ERR_WRONG_DATA_LENGTH（BUG-13 P0）</t>
  </si>
  <si>
    <t>1、导入AES-128密钥；
2、确认CBC-MAC data_size=16正路径有效；
3、调用CBC-MAC OnePass生成，data_size=0；
3、删除密钥；</t>
  </si>
  <si>
    <t>1、导入成功；
2、正路径成功；
3、应返回EHSM_ERR_WRONG_DATA_LENGTH；
3、删除成功；</t>
  </si>
  <si>
    <t>test_mac.py::test_ehsm_m053</t>
  </si>
  <si>
    <t>EHSM_M054</t>
  </si>
  <si>
    <t>CBC-MAC data_size=1（block_size以下），正常处理（BUG-13正路径）</t>
  </si>
  <si>
    <t>1、导入AES-128密钥；
2、CBC-MAC OnePass data_size=1 GEN；
3、用生成的MAC做 VERIFY 闭环；</t>
  </si>
  <si>
    <t>1、导入成功；
2、正常执行，输出16字节MAC；
3、VERIFY应通过；</t>
  </si>
  <si>
    <t>test_mac.py::test_ehsm_m054</t>
  </si>
  <si>
    <t>EHSM_M055</t>
  </si>
  <si>
    <t>CBC-MAC data_size=16（block_size），正常处理（BUG-13回归）</t>
  </si>
  <si>
    <t>1、导入AES-128密钥并CBC-MAC data_size=16；</t>
  </si>
  <si>
    <t>1、正常执行；</t>
  </si>
  <si>
    <t>test_mac.py::test_ehsm_m055</t>
  </si>
  <si>
    <t>EHSM_M056</t>
  </si>
  <si>
    <t>RAM密钥GMAC初始化正常（BUG-07正路径，DRAM路径）</t>
  </si>
  <si>
    <t>1、AES-128 RAM密钥 GMAC OnePass生成；</t>
  </si>
  <si>
    <t>1、计算正常；</t>
  </si>
  <si>
    <t>test_mac.py::test_ehsm_m056</t>
  </si>
  <si>
    <t>EHSM_M057</t>
  </si>
  <si>
    <t>OTP key GMAC初始化正常（BUG-07 P0核心，安全端口路径）【手工用例：需预配置OTP密钥属性】</t>
  </si>
  <si>
    <t>1、前置确认：OTP密钥 EHSM_OTP_EHSM_UPG_ENCRYPT_KEY_ID 属性已配置为 KEY_USAGE_SIGN | KEY_USAGE_VERIFY；
1、使用固定OTP SM4密钥GMAC OnePass；</t>
  </si>
  <si>
    <t>1、走安全端口路径；</t>
  </si>
  <si>
    <t>EHSM_M058</t>
  </si>
  <si>
    <t>AES-128 RAM密钥GMAC OnePass OnePass正常（BUG-07回归验证）</t>
  </si>
  <si>
    <t>1、{algo} RAM密钥 GMAC；</t>
  </si>
  <si>
    <t>1、正常；</t>
  </si>
  <si>
    <t>test_mac.py::test_ehsm_m058</t>
  </si>
  <si>
    <t>EHSM_M059</t>
  </si>
  <si>
    <t>SM4 CBC-MAC msg_len=16，按8+8两次update后finish_gen正常（BUG-15基准路径）</t>
  </si>
  <si>
    <t>1、导入SM4对称密钥；
2、SM4 CBC-MAC按8+8两次update后finish_gen；
3、删除SM4对称密钥；</t>
  </si>
  <si>
    <t>1、导入成功；
2、生成16字节MAC成功；
3、删除成功；</t>
  </si>
  <si>
    <t>test_mac.py::test_ehsm_m059</t>
  </si>
  <si>
    <t>EHSM_M060</t>
  </si>
  <si>
    <t>SM4 CBC-MAC msg_len=16，单次update完整block后finish_gen正常（BUG-15问题路径）</t>
  </si>
  <si>
    <t>1、导入SM4对称密钥；
2、SM4 CBC-MAC单次update 16字节后finish_gen；
3、删除SM4对称密钥；</t>
  </si>
  <si>
    <t>1、导入成功；
2、不返回SKE_INPUT_INVALID，生成MAC成功；
3、删除成功；</t>
  </si>
  <si>
    <t>test_mac.py::test_ehsm_m060</t>
  </si>
  <si>
    <t>otp</t>
  </si>
  <si>
    <t>EHSM-785</t>
  </si>
  <si>
    <t>在Test模式下，测试bootloader OTP读写功能</t>
  </si>
  <si>
    <t>1、配置生命周期为Test模式；并重启生效；
2、写入OTP区域 CONFIG_EHSM_OTP_BASE_ADDR, 长度16字节，0x00~0xFF 数据；
3、读取OTP区域 CONFIG_EHSM_OTP_BASE_ADDR, 长度16字节，读取到tmp空间；
4、对比tmp数据；
5、恢复默认OTP区域数据；</t>
  </si>
  <si>
    <t>1、生命周期配置成功；
2、写入成功；
3、读取成功，数据正确；
4、对比tmp数据与写入数据一致；
5、执行成功；</t>
  </si>
  <si>
    <t>test_otp.py::test_ehsm_785</t>
  </si>
  <si>
    <t>EHSM-786</t>
  </si>
  <si>
    <t>在Test模式下，测试Firmware OTP读写边界</t>
  </si>
  <si>
    <t>1、配置生命周期为Test模式；并重启生效；
2、依次写入OTP区域 (CONFIG_EHSM_OTP_BASE_ADDR - 4) 和(CONFIG_EHSM_OTP_BASE_ADDR + CONFIG_EHSM_OTP_SIZE + 4), 长度16字节，0x00~0xFF 数据；
3、依次读取OTP区域 (CONFIG_EHSM_OTP_BASE_ADDR - 4) 和(CONFIG_EHSM_OTP_BASE_ADDR + CONFIG_EHSM_OTP_SIZE + 4), 长度16字节，读取到tmp空间；
4、恢复默认OTP区域数据；</t>
  </si>
  <si>
    <t>1、生命周期配置成功；
2、超出OTP边界区域写入数据返回预期的错误码；
3、超出OTP边界区域读取数据返回预期的错误码；
4、恢复数据成功；</t>
  </si>
  <si>
    <t>test_otp.py::test_ehsm_786</t>
  </si>
  <si>
    <t>EHSM-787</t>
  </si>
  <si>
    <t>在Dev模式下，测试Firmware OTP读写功能</t>
  </si>
  <si>
    <t>1、配置生命周期为Dev模式；并重启生效；
2、写入OTP区域  CONFIG_EHSM_OTP_BASE_ADDR, 长度16字节，0x00~0xFF 数据；
3、读取OTP区域  CONFIG_EHSM_OTP_BASE_ADDR, 长度16字节，读取到tmp空间；
4、对比tmp数据；
5、恢复默认OTP区域数据；</t>
  </si>
  <si>
    <t>test_otp.py::test_ehsm_787</t>
  </si>
  <si>
    <t>EHSM-788</t>
  </si>
  <si>
    <t>在Manu模式下，测试Firmware OTP读写功能的限制能力</t>
  </si>
  <si>
    <t>1、配置生命周期为Manu模式；并重启生效；
2、写入OTP区域  CONFIG_EHSM_OTP_BASE_ADDR, 长度16字节，0x00~0xFF 数据；
3、读取OTP区域  CONFIG_EHSM_OTP_BASE_ADDR, 长度16字节，读取到tmp空间；
4、恢复默认OTP区域数据；</t>
  </si>
  <si>
    <t>1、生命周期配置成功；
2、manu模式下向OTP区域写入数据受到生命周期限制；
3、读取成功，数据正确；
4、恢复数据成功；</t>
  </si>
  <si>
    <t>test_otp.py::test_ehsm_788</t>
  </si>
  <si>
    <t>EHSM-789</t>
  </si>
  <si>
    <t>在User模式下，测试Firmware OTP读写功能的限制能力</t>
  </si>
  <si>
    <t>1、配置生命周期为User模式；并重启生效；
2、写入OTP区域  CONFIG_EHSM_OTP_BASE_ADDR, 长度16字节，0x00~0xFF 数据；
3、读取OTP区域  CONFIG_EHSM_OTP_BASE_ADDR, 长度16字节，读取到tmp空间；
4、恢复默认OTP区域数据；</t>
  </si>
  <si>
    <t>1、生命周期配置成功；
2、user模式向OTP区域写入数据受到生命周期限制；
3、user模式读取OTP区域数据受到生命周期限制；
4、恢复数据成功；</t>
  </si>
  <si>
    <t>test_otp.py::test_ehsm_789</t>
  </si>
  <si>
    <t>EHSM-790</t>
  </si>
  <si>
    <t>在Debug模式下，测试Firmware OTP读写功能的限制能力</t>
  </si>
  <si>
    <t>1、配置生命周期为Debug模式；并重启生效；
2、写入OTP区域  CONFIG_EHSM_OTP_BASE_ADDR, 长度16字节，0x00~0xFF 数据；
3、读取OTP区域  CONFIG_EHSM_OTP_BASE_ADDR, 长度16字节，读取到tmp空间；
4、恢复默认OTP区域数据；</t>
  </si>
  <si>
    <t>1、生命周期配置成功；
2、debug模式下向OTP区域写入数据受到生命周期限制；
2、debug模式下向OTP区域读取数据受到生命周期限制；
4、恢复数据成功；</t>
  </si>
  <si>
    <t>test_otp.py::test_ehsm_790</t>
  </si>
  <si>
    <t>EHSM-791</t>
  </si>
  <si>
    <t>在Test模式下，测试Firmware OTP接口异常参数的处理</t>
  </si>
  <si>
    <t>1、配置生命周期为Test模式；并重启生效；
2、OTP读写接口传入空的src_addr；其它参数合法；
3、OTP读写接口传入空的dst_addr；其它参数合法；</t>
  </si>
  <si>
    <t>1、生命周期配置成功；
2、报非法参数；
3、报非法参数；</t>
  </si>
  <si>
    <t>test_otp.py::test_ehsm_791</t>
  </si>
  <si>
    <t>EHSM-1295</t>
  </si>
  <si>
    <t>在User模式下，测试Firmware OTP切换为DEBUG模式</t>
  </si>
  <si>
    <t>1、配置生命周期为User模式；并检查重启生效；
2、OTP OTP_BASE_ADDRESS + 0位置写入生命周期为DEBUG模式；并检查重启生效；</t>
  </si>
  <si>
    <t>1、配置成功；
2、user模式下切换生命周期到debug受到生命周期限制；</t>
  </si>
  <si>
    <t>test_otp.py::test_ehsm_1295</t>
  </si>
  <si>
    <t>EHSM-1296</t>
  </si>
  <si>
    <t>在DEBUG模式下，测试Firmware OTP切换为DESTROY模式</t>
  </si>
  <si>
    <t>1、配置生命周期为User模式；并检查重启生效；
2、OTP OTP_BASE_ADDRESS+0位置写入生命周期为DESTROY模式；并检查重启生效；</t>
  </si>
  <si>
    <t>1、配置成功；
2、user模式下切换生命周期到destory模式受到生命周期的限制；</t>
  </si>
  <si>
    <t>test_otp.py::test_ehsm_1296</t>
  </si>
  <si>
    <t>EHSM-o001</t>
  </si>
  <si>
    <t>在Test模式下，测试OTP写入接口size异常参数的处理</t>
  </si>
  <si>
    <t>1、配置生命周期为Test模式；并重启生效；
2、OTP写入接口传入过大长度（超过OTP区域大小）；其它参数合法；
3、OTP写入接口传入跨越边界的长度（地址合法但地址+长度超出OTP区域）；其它参数合法；
4、恢复默认OTP区域数据；</t>
  </si>
  <si>
    <t>1、生命周期配置成功；
2、报内存不足错误；
3、报参数错误或内存不足错误；
4、执行成功；</t>
  </si>
  <si>
    <t>test_otp.py::test_ehsm_o001</t>
  </si>
  <si>
    <t>EHSM-o002</t>
  </si>
  <si>
    <t>在Test模式下，测试OTP写入接口src_data异常参数的处理</t>
  </si>
  <si>
    <t>1、配置生命周期为Test模式；并重启生效；
2、OTP写入接口传入NULL数据（None）；其它参数合法；
3、恢复默认OTP区域数据；</t>
  </si>
  <si>
    <t>1、生命周期配置成功；
2、报参数错误或无效地址错误；
3、执行成功；</t>
  </si>
  <si>
    <t>test_otp.py::test_ehsm_o002</t>
  </si>
  <si>
    <t>EHSM-o003</t>
  </si>
  <si>
    <t>在Test模式下，测试OTP读取接口ehsm_src_addr异常参数的处理</t>
  </si>
  <si>
    <t>1、配置生命周期为Test模式；并重启生效；
2、OTP读取接口传入越界地址（小于OTP基地址）；其它参数合法；
3、OTP读取接口传入越界地址（大于OTP最大地址）；其它参数合法；
4、恢复默认OTP区域数据；</t>
  </si>
  <si>
    <t>1、生命周期配置成功；
2、报非法参数错误；
3、报非法参数错误；
4、执行成功；</t>
  </si>
  <si>
    <t>test_otp.py::test_ehsm_o003</t>
  </si>
  <si>
    <t>EHSM-o004</t>
  </si>
  <si>
    <t>在Test模式下，测试OTP读取接口size异常参数的处理</t>
  </si>
  <si>
    <t>1、配置生命周期为Test模式；并重启生效；
2、OTP读取接口传入过大长度（超过OTP区域大小）；其它参数合法；
3、恢复默认OTP区域数据；</t>
  </si>
  <si>
    <t>1、生命周期配置成功；
2、报内存不足错误；
3、执行成功；</t>
  </si>
  <si>
    <t>test_otp.py::test_ehsm_o004</t>
  </si>
  <si>
    <t>EHSM-o005</t>
  </si>
  <si>
    <t>在Test模式下，测试OTP读取接口host_dst_addr异常参数的处理</t>
  </si>
  <si>
    <t>1、配置生命周期为Test模式；并重启生效；
2、OTP读取接口传入空地址（地址为0）；其它参数合法；
3、恢复默认OTP区域数据；</t>
  </si>
  <si>
    <t>1、生命周期配置成功；
2、报非法参数错误；
3、执行成功；</t>
  </si>
  <si>
    <t>test_otp.py::test_ehsm_o005</t>
  </si>
  <si>
    <t>EHSM-o006</t>
  </si>
  <si>
    <t>size=4（最小对齐单位），写入成功</t>
  </si>
  <si>
    <t>1、配置生命周期为Test模式；并重启生效；
2、OTP写入接口4字节数据长度，有效数据，读回验证写入生效；</t>
  </si>
  <si>
    <t>1、生命周期配置成功；
2、返回成功且读回数据正确；</t>
  </si>
  <si>
    <t>test_otp.py::test_ehsm_o006</t>
  </si>
  <si>
    <t>EHSM-o007</t>
  </si>
  <si>
    <t xml:space="preserve"> size=8（2倍对齐），写入成功</t>
  </si>
  <si>
    <t>1、配置生命周期为Test模式；并重启生效；
2、OTP写入接口8字节数据长度，有效数据，读回验证写入生效；</t>
  </si>
  <si>
    <t>test_otp.py::test_ehsm_o007</t>
  </si>
  <si>
    <t>EHSM-o008</t>
  </si>
  <si>
    <t xml:space="preserve"> size=3（非对齐，下界-1），写入拒绝</t>
  </si>
  <si>
    <t>1、配置生命周期为Test模式；并重启生效；
2、OTP写入接口3字节数据长度，有效数据；</t>
  </si>
  <si>
    <t>1、生命周期配置成功；
2、返回成功；</t>
  </si>
  <si>
    <t>test_otp.py::test_ehsm_o008</t>
  </si>
  <si>
    <t>EHSM-o009</t>
  </si>
  <si>
    <t>size=0，写入拒绝</t>
  </si>
  <si>
    <t>1、配置生命周期为Test模式；并重启生效；
2、OTP写入接口0字节数据长度，读回验证OTP未被修改；</t>
  </si>
  <si>
    <t>1、生命周期配置成功；
2、返回成功且OTP数据未变；</t>
  </si>
  <si>
    <t>test_otp.py::test_ehsm_o009</t>
  </si>
  <si>
    <t>EHSM-o010</t>
  </si>
  <si>
    <t>size=5（非对齐），写入拒绝</t>
  </si>
  <si>
    <t>1、配置生命周期为Test模式；并重启生效；
2、OTP写入接口8字节数据长度，有效数据；</t>
  </si>
  <si>
    <t>test_otp.py::test_ehsm_o010</t>
  </si>
  <si>
    <t>EHSM-o011</t>
  </si>
  <si>
    <t>size=1（非对齐），写入拒绝</t>
  </si>
  <si>
    <t>test_otp.py::test_ehsm_o011</t>
  </si>
  <si>
    <t>EHSM_O012</t>
  </si>
  <si>
    <t>OTP正常范围读，成功（BUG-11正路径）</t>
  </si>
  <si>
    <t>1、OTP正常地址读取4字节；</t>
  </si>
  <si>
    <t>1、读取成功；</t>
  </si>
  <si>
    <t>test_otp.py::test_ehsm_o012</t>
  </si>
  <si>
    <t>EHSM_O013</t>
  </si>
  <si>
    <t>OTP正常范围写，成功（BUG-11正路径）</t>
  </si>
  <si>
    <t>1、OTP正常地址写入4字节，读回验证；</t>
  </si>
  <si>
    <t>1、写入成功且读回正确；</t>
  </si>
  <si>
    <t>test_otp.py::test_ehsm_o013</t>
  </si>
  <si>
    <t>EHSM_O014</t>
  </si>
  <si>
    <t>addr+size加法溢出构造地址绕过，拒绝（BUG-11 P0核心）</t>
  </si>
  <si>
    <t>1、确认正常地址读/写有效；
2、fw_otp_read addr=0xFFFFFFFD, size=4（加法溢出）；
3、fw_otp_write addr=0xFFFFFFFD, size=4（加法溢出）；</t>
  </si>
  <si>
    <t>1、正路径成功；
2、应返回EHSM_ERR_PARAM_ERROR；
3、应返回EHSM_ERR_PARAM_ERROR；</t>
  </si>
  <si>
    <t>test_otp.py::test_ehsm_o014</t>
  </si>
  <si>
    <t>EHSM_O015</t>
  </si>
  <si>
    <t>addr &lt; BASE，拒绝（BUG-11边界）</t>
  </si>
  <si>
    <t>1、OTP read addr=BASE-1，拒绝；</t>
  </si>
  <si>
    <t>test_otp.py::test_ehsm_o015</t>
  </si>
  <si>
    <t>EHSM_O016</t>
  </si>
  <si>
    <t>addr+size=OTP_END（上界），成功（BUG-11边界）</t>
  </si>
  <si>
    <t>1、OTP read addr=BASE+SIZE-4，size=4（末尾4字节）；</t>
  </si>
  <si>
    <t>1、操作成功；</t>
  </si>
  <si>
    <t>test_otp.py::test_ehsm_o016</t>
  </si>
  <si>
    <t>EHSM_O017</t>
  </si>
  <si>
    <t>addr+size=OTP_END+1（越界1字节），拒绝（BUG-11边界）</t>
  </si>
  <si>
    <t>1、OTP read addr=BASE+SIZE-4，size=5（越界1字节）；</t>
  </si>
  <si>
    <t>test_otp.py::test_ehsm_o017</t>
  </si>
  <si>
    <t>EHSM_O018</t>
  </si>
  <si>
    <t>fw_otp_write 同样进行减法越界检查（复用TC-003验证，BUG-11 P0）</t>
  </si>
  <si>
    <t>1、fw_otp_write addr=0xFFFFFFFD，size=4（与TC-003相同）；</t>
  </si>
  <si>
    <t>test_otp.py::test_ehsm_o018</t>
  </si>
  <si>
    <t>EHSM_O019</t>
  </si>
  <si>
    <t>size=0，拒绝（BUG-11边界）</t>
  </si>
  <si>
    <t>1、fw_otp_read size=0；</t>
  </si>
  <si>
    <t>test_otp.py::test_ehsm_o019</t>
  </si>
  <si>
    <t>EHSM_O020</t>
  </si>
  <si>
    <t>size=4（最小对齐单位），写入成功（BUG-02正路径）</t>
  </si>
  <si>
    <t>1、fw_otp_write size=4，写入成功，读回验证；</t>
  </si>
  <si>
    <t>1、成功且读回bit正确；</t>
  </si>
  <si>
    <t>test_otp.py::test_ehsm_o020</t>
  </si>
  <si>
    <t>EHSM_O021</t>
  </si>
  <si>
    <t>size=8（2倍对齐），写入成功（BUG-02正路径）</t>
  </si>
  <si>
    <t>1、fw_otp_write size=8，写入成功，读回验证；</t>
  </si>
  <si>
    <t>test_otp.py::test_ehsm_o021</t>
  </si>
  <si>
    <t>EHSM_O022</t>
  </si>
  <si>
    <t>size=3（非对齐，下界-1），写入拒绝（BUG-02 P0）</t>
  </si>
  <si>
    <t>1、确认size=4正路径有效；
2、fw_otp_write size=3（非4字节对齐）；</t>
  </si>
  <si>
    <t>1、成功；
2、返回EHSM_ERR_PARAM_ERROR；</t>
  </si>
  <si>
    <t>test_otp.py::test_ehsm_o022</t>
  </si>
  <si>
    <t>EHSM_O023</t>
  </si>
  <si>
    <t>size=0，固件允许（不做实际写入）（BUG-02）</t>
  </si>
  <si>
    <t>1、fw_otp_write size=0；</t>
  </si>
  <si>
    <t>1、固件允许，不做实际写入，OTP数据不变；</t>
  </si>
  <si>
    <t>test_otp.py::test_ehsm_o023</t>
  </si>
  <si>
    <t>EHSM_O025</t>
  </si>
  <si>
    <t>size=5（非对齐），写入拒绝（BUG-02）</t>
  </si>
  <si>
    <t>1、fw_otp_write size=5；</t>
  </si>
  <si>
    <t>test_otp.py::test_ehsm_o025</t>
  </si>
  <si>
    <t>otp_key</t>
  </si>
  <si>
    <t>EHSM-763</t>
  </si>
  <si>
    <t>在Test模式下，测试前3个密钥的随机密钥安装过程</t>
  </si>
  <si>
    <t>1、配置OTP生命周期Test模式，密钥都不烧写；
2、重启eHSM，并检查启动状态；
3、随机密钥安装接口传入slot 0，其它参数正常，进行第一个密钥安装；
4、随机密钥安装接口传入slot 1，其它参数正常，进行第二个密钥安装；
5、随机密钥安装接口传入slot 2，其它参数正常，进行第三个密钥安装；</t>
  </si>
  <si>
    <t>1、配置成功；
2、重启成功，状态正常；
3、发送成功；
4、发送成功；
5、发送成功；</t>
  </si>
  <si>
    <t>test_otp_key.py::test_ehsm_763</t>
  </si>
  <si>
    <t>EHSM-764</t>
  </si>
  <si>
    <t>在Dev模式下，测试前3个密钥的随机密钥安装过程</t>
  </si>
  <si>
    <t>1、配置OTP生命周期Dev模式，密钥都不烧写；
2、重启eHSM，并检查启动状态；
3、随机密钥安装接口传入slot 0，其它参数正常，进行第一个密钥安装；
4、随机密钥安装接口传入slot 1，其它参数正常，进行第二个密钥安装；
5、随机密钥安装接口传入slot 2，其它参数正常，进行第三个密钥安装；</t>
  </si>
  <si>
    <t>test_otp_key.py::test_ehsm_764</t>
  </si>
  <si>
    <t>EHSM-765</t>
  </si>
  <si>
    <t>在Manu模式下，测试前3个密钥的随机密钥安装过程 - 验证MANU模式的安全限制</t>
  </si>
  <si>
    <t>1、配置OTP生命周期Manu模式，预置系统密钥；
2、重启eHSM，并检查启动状态；
3、随机密钥安装接口传入slot 0，期望返回不支持错误；
4、随机密钥安装接口传入slot 1，期望返回不支持错误；
5、随机密钥安装接口传入slot 2，期望返回不支持错误；</t>
  </si>
  <si>
    <t>test_otp_key.py::test_ehsm_765</t>
  </si>
  <si>
    <t>EHSM-766</t>
  </si>
  <si>
    <t>在Debug模式下，测试前3个密钥的随机密钥安装过程 - 验证生命周期限制</t>
  </si>
  <si>
    <t>1、配置OTP生命周期Debug模式，写入前3个密钥；
2、重启eHSM，并检查启动状态；
3、随机密钥安装接口传入slot 0，期望返回生命周期限制错误；
4、随机密钥安装接口传入slot 1，期望返回生命周期限制错误；
5、随机密钥安装接口传入slot 2，期望返回生命周期限制错误；</t>
  </si>
  <si>
    <t>test_otp_key.py::test_ehsm_766</t>
  </si>
  <si>
    <t>EHSM-767</t>
  </si>
  <si>
    <t>在User模式下，测试前3个密钥的随机密钥安装过程 - 验证生命周期限制</t>
  </si>
  <si>
    <t>1、配置OTP生命周期User模式，写入前3个密钥；
2、重启eHSM，并检查启动状态；
3、随机密钥安装接口传入slot 0，期望返回生命周期限制错误；
4、随机密钥安装接口传入slot 1，期望返回生命周期限制错误；
5、随机密钥安装接口传入slot 2，期望返回生命周期限制错误；</t>
  </si>
  <si>
    <t>test_otp_key.py::test_ehsm_767</t>
  </si>
  <si>
    <t>EHSM-768</t>
  </si>
  <si>
    <t>在Test模式下，测试除去前3个密钥后的所有密钥的随机密钥安装过程</t>
  </si>
  <si>
    <t>1、配置OTP生命周期Test模式，烧写前三个密钥及属性；
2、重启eHSM，并检查启动状态；
3、随机密钥安装接口传入slot 3~MAX，其它参数正常，进行随机密钥安装（注意遍历时对level和type进行覆盖）；</t>
  </si>
  <si>
    <t>1、配置成功；
2、重启成功，状态正常；
3、发送成功；</t>
  </si>
  <si>
    <t>test_otp_key.py::test_ehsm_768</t>
  </si>
  <si>
    <t>EHSM-769</t>
  </si>
  <si>
    <t>在Dev模式下，测试除去前3个密钥后的所有密钥的随机密钥安装过程</t>
  </si>
  <si>
    <t>1、配置OTP生命周期Dev模式，烧写前三个密钥及属性；
2、重启eHSM，并检查启动状态；
3、随机密钥安装接口传入slot 3~MAX，其它参数正常，进行随机密钥安装（注意遍历时对level和type进行覆盖）；</t>
  </si>
  <si>
    <t>test_otp_key.py::test_ehsm_769</t>
  </si>
  <si>
    <t>EHSM-770</t>
  </si>
  <si>
    <t>在Manu模式下，测试除去前3个密钥后的所有密钥的随机密钥安装过程</t>
  </si>
  <si>
    <t>1、配置OTP生命周期Manu模式，烧写前三个密钥及属性；
2、重启eHSM，并检查启动状态；
3、随机密钥安装接口传入slot 3，level 1，进行随机密钥安装;
4、随机密钥安装接口传入slot 4，level 2，进行随机密钥安装;</t>
  </si>
  <si>
    <t>1、配置成功；
2、重启成功，状态正常；
3、发送成功；
4、发送成功；</t>
  </si>
  <si>
    <t>test_otp_key.py::test_ehsm_770</t>
  </si>
  <si>
    <t>EHSM-771</t>
  </si>
  <si>
    <t>在Debug模式下，测试除去前3个密钥后的所有密钥的随机密钥安装过程</t>
  </si>
  <si>
    <t>1、配置OTP生命周期Debug模式，烧写前三个密钥及属性；
2、重启eHSM，并检查启动状态；
3、随机密钥安装接口传入slot 3~MAX，其它参数正常，进行随机密钥安装（注意遍历时对level和type进行覆盖）；</t>
  </si>
  <si>
    <t>test_otp_key.py::test_ehsm_771</t>
  </si>
  <si>
    <t>EHSM-772</t>
  </si>
  <si>
    <t>在User模式下，测试除去前3个密钥后的所有密钥的随机密钥安装过程</t>
  </si>
  <si>
    <t>1、配置OTP生命周期User模式，烧写前三个密钥及属性；
2、重启eHSM，并检查启动状态；
3、随机密钥安装接口传入slot 3~MAX，其它参数正常，进行随机密钥安装（注意遍历时对level和type进行覆盖）；</t>
  </si>
  <si>
    <t>test_otp_key.py::test_ehsm_772</t>
  </si>
  <si>
    <t>EHSM-773</t>
  </si>
  <si>
    <t>在User模式下，测试随机密钥安装接口的非法参数处理</t>
  </si>
  <si>
    <t>1、配置OTP生命周期User模式，烧写前三个密钥；
2、重启eHSM，并检查启动状态；
3、随机密钥安装接口传入非法level，其它参数正常，进行密钥安装；
4、随机密钥安装接口传入非法type，其它参数正常，进行密钥安装；
5、随机密钥安装接口传入非法slot，其它参数正常，进行密钥安装；
6、参数验证测试总结；</t>
  </si>
  <si>
    <t>1、配置成功；
2、重启成功，状态正常；
3、发送成功；
4、发送成功；
5、发送成功；
6、检查通过；</t>
  </si>
  <si>
    <t>test_otp_key.py::test_ehsm_773</t>
  </si>
  <si>
    <t>EHSM-774</t>
  </si>
  <si>
    <t>在Test模式下，测试前3个密钥的加密密钥安装过程</t>
  </si>
  <si>
    <t>1、配置OTP生命周期TEST模式，密钥都不烧写；
2、重启eHSM，并检查启动状态；
3、加密密钥安装接口传入slot 0，期望返回不支持错误（chip_root_key无法安装）；
4、配置加密密钥环境并重启eHSM；
5、加密密钥安装接口传入slot 1，其它参数正常，进行第二个密钥安装；
6、加密密钥安装接口传入slot 2，其它参数正常，进行第三个密钥安装；</t>
  </si>
  <si>
    <t>1、配置成功；
2、重启成功，状态正常；
3、发送成功；
4、配置成功；
5、发送成功；
6、发送成功；</t>
  </si>
  <si>
    <t>test_otp_key.py::test_ehsm_774</t>
  </si>
  <si>
    <t>EHSM-775</t>
  </si>
  <si>
    <t>在Dev模式下，测试前3个密钥的加密密钥安装过程</t>
  </si>
  <si>
    <t>1、配置OTP生命周期DEV模式，密钥都不烧写；
2、重启eHSM，并检查启动状态；
3、加密密钥安装接口传入slot 0，期望返回不支持错误（chip_root_key无法安装）；
4、配置加密密钥环境并重启eHSM；
5、加密密钥安装接口传入slot 1，其它参数正常，进行第二个密钥安装；
6、加密密钥安装接口传入slot 2，其它参数正常，进行第三个密钥安装；</t>
  </si>
  <si>
    <t>test_otp_key.py::test_ehsm_775</t>
  </si>
  <si>
    <t>EHSM-776</t>
  </si>
  <si>
    <t>在Manu模式下，测试前3个密钥的加密密钥安装过程</t>
  </si>
  <si>
    <t>1、配置OTP生命周期MANU模式，密钥都不烧写；
2、重启eHSM，并检查启动状态；
3、加密密钥安装接口传入slot 0，期望返回不支持错误（chip_root_key无法安装）；</t>
  </si>
  <si>
    <t>test_otp_key.py::test_ehsm_776</t>
  </si>
  <si>
    <t>EHSM-777</t>
  </si>
  <si>
    <t>在Debug模式下，测试前3个密钥的加密密钥安装过程</t>
  </si>
  <si>
    <t>1、配置OTP生命周期DEBUG模式，密钥都不烧写；
2、重启eHSM，并检查启动状态；
3、{slot+3}、加密密钥安装接口传入slot {slot}，期望返回生命周期限制错误；</t>
  </si>
  <si>
    <t>1、配置成功；
2、重启成功，状态正常；</t>
  </si>
  <si>
    <t>test_otp_key.py::test_ehsm_777</t>
  </si>
  <si>
    <t>EHSM-778</t>
  </si>
  <si>
    <t>在User模式下，测试前3个密钥的加密密钥安装过程</t>
  </si>
  <si>
    <t>1、配置OTP生命周期USER模式，密钥都不烧写；
2、重启eHSM，并检查启动状态；
3、{slot+3}、加密密钥安装接口传入slot {slot}，期望返回生命周期限制错误；</t>
  </si>
  <si>
    <t>test_otp_key.py::test_ehsm_778</t>
  </si>
  <si>
    <t>EHSM-779</t>
  </si>
  <si>
    <t>在Test模式下，测试除去前3个密钥后的所有密钥的加密密钥安装过程</t>
  </si>
  <si>
    <t>1、配置OTP生命周期Test模式，烧写前三个密钥及属性；
2、重启eHSM，并检查启动状态；
3、加密密钥安装接口传入slot 3~MAX，其它参数正常，进行加密密钥安装（注意遍历时对level和type进行覆盖）；</t>
  </si>
  <si>
    <t>test_otp_key.py::test_ehsm_779</t>
  </si>
  <si>
    <t>EHSM-780</t>
  </si>
  <si>
    <t>在Dev模式下，测试除去前3个密钥后的所有密钥的加密密钥安装过程</t>
  </si>
  <si>
    <t>1、配置OTP生命周期Dev模式，烧写前三个密钥及属性；
2、重启eHSM，并检查启动状态；
3、加密密钥安装接口传入slot 3~MAX，其它参数正常，进行加密密钥安装（注意遍历时对level和type进行覆盖）；</t>
  </si>
  <si>
    <t>test_otp_key.py::test_ehsm_780</t>
  </si>
  <si>
    <t>EHSM-781</t>
  </si>
  <si>
    <t>MANU模式下测试加密密钥安装，对应C代码TEST(OTP_KEY, ENCRY_3KEY_MANU)</t>
  </si>
  <si>
    <t>1、配置MANU模式启动环境，只配置第0个和第2个密钥；
2、重启eHSM，检查生命周期状态为MANU模式；
3、尝试安装device_root_key(slot 1)，期望返回不支持错误；
4、最终重启eHSM验证系统状态；</t>
  </si>
  <si>
    <t>1、配置成功；
2、重启成功，状态正常；
3、返回预期错误码；
4、重启成功，状态正常；</t>
  </si>
  <si>
    <t>test_otp_key.py::test_ehsm_781</t>
  </si>
  <si>
    <t>EHSM-782</t>
  </si>
  <si>
    <t>在Debug模式下，测试除去前3个密钥后的所有密钥的加密密钥安装过程</t>
  </si>
  <si>
    <t>1、配置OTP生命周期Debug模式，烧写前三个密钥及属性；
2、重启eHSM，并检查启动状态；
3、DEBUG模式下所有剩余密钥安装都应该返回生命周期限制错误；</t>
  </si>
  <si>
    <t>1、配置成功；
2、重启成功，状态正常；
3、返回预期错误码；</t>
  </si>
  <si>
    <t>test_otp_key.py::test_ehsm_782</t>
  </si>
  <si>
    <t>EHSM-783</t>
  </si>
  <si>
    <t>在User模式下，测试除去前3个密钥后的所有密钥的加密密钥安装过程</t>
  </si>
  <si>
    <t>1、配置OTP生命周期User模式，烧写前三个密钥及属性；
2、重启eHSM，并检查启动状态；
3、USER模式下所有剩余密钥安装都应该返回生命周期限制错误；</t>
  </si>
  <si>
    <t>test_otp_key.py::test_ehsm_783</t>
  </si>
  <si>
    <t>EHSM-784</t>
  </si>
  <si>
    <t>在Test模式下，测试加密密钥安装接口的非法参数处理</t>
  </si>
  <si>
    <t>1、配置OTP生命周期Test模式，密钥都不烧写；
2、重启eHSM，并检查启动状态；
3、加密密钥安装接口传入非法type，其它参数正常，进行密钥安装；
4、加密密钥安装接口传入非法level，其它参数正常，进行密钥安装；
5、加密密钥安装接口传入非法slot，其它参数正常，进行密钥安装；
6、参数验证测试总结；</t>
  </si>
  <si>
    <t>test_otp_key.py::test_ehsm_784</t>
  </si>
  <si>
    <t>pke</t>
  </si>
  <si>
    <t>EHSM-621</t>
  </si>
  <si>
    <t>验证RSA-1024位密钥的签名与验签功能。使用NOPADDING填充模式和SHA256哈希，通过Stream和SingleCall两种方式测试签名生成与验证。</t>
  </si>
  <si>
    <t>1、初始化{test_name} {key_size}签名测试数据，哈希算法: {hash_alg}, 填充模式: {padding_mode}；
2、将测试数据中的密钥明文导入到eHSM，并获取密钥句柄；
3、使用SingleCall方式进行RSA签名；
4、使用Stream方式进行RSA签名和校验；
5、发送成功后取出计算数据和测试目标数据对比；</t>
  </si>
  <si>
    <t>1、读取成功，数据正确；
2、计算成功；
3、计算成功；
4、发送成功；</t>
  </si>
  <si>
    <t>test_pke.py::test_ehsm_621</t>
  </si>
  <si>
    <t>EHSM-622</t>
  </si>
  <si>
    <t>验证RSA-1024位密钥在RSASSA-PSS填充模式下的签名验签功能。使用SHA256哈希算法，验证PSS概率签名方案的正确性。</t>
  </si>
  <si>
    <t>test_pke.py::test_ehsm_622</t>
  </si>
  <si>
    <t>EHSM-624</t>
  </si>
  <si>
    <t>验证RSA-1024位密钥使用CRT(中国剩余定理)优化的签名验签功能。采用PKCS1v15填充和SHA256哈希，验证CRT加速模式下签名功能正常。</t>
  </si>
  <si>
    <t>test_pke.py::test_ehsm_624</t>
  </si>
  <si>
    <t>EHSM-625</t>
  </si>
  <si>
    <t>验证RSA-1024位密钥在CRT模式+RSASSA-PSS填充和SHA256哈希下的签名验签功能。结合CRT优化和PSS概率签名，验证组合配置的正确性。</t>
  </si>
  <si>
    <t>test_pke.py::test_ehsm_625</t>
  </si>
  <si>
    <t>EHSM-627</t>
  </si>
  <si>
    <t>【负向测试】验证RSA签名接口的参数校验能力。覆盖非法哈希算法、非法填充模式、空数据地址、零数据长度等异常场景，确保接口能正确拒绝非法参数并返回错误。</t>
  </si>
  <si>
    <t>1、传入非法算法，其它参数保持正常；
2、传入非法模式，其它参数保持正常；
3、传入非法数据地址，其它参数正常；
4、传入非法数据长度，其它参数正常；
5、据存放到mailbox 通道，并发送到eHSM；并在发送前后获取定时器计数，并计算时间；</t>
  </si>
  <si>
    <t>test_pke.py::test_ehsm_627</t>
  </si>
  <si>
    <t>EHSM-628</t>
  </si>
  <si>
    <t>【负向测试】验证RSA加密接口的参数校验能力。覆盖非法哈希算法、非法填充模式、空数据地址、非法数据长度等异常场景，确保接口能正确拒绝非法参数并返回错误。</t>
  </si>
  <si>
    <t>1、传入非法算法，其它参数保持正常；
2、传入非法模式，其它参数保持正常；
3、传入非法数据地址，其它参数正常；
4、传入非法数据长度，其它参数正常；
5、将测试数据存放到mailbox 通道，并发送到eHSM；并在发送前后获取定时器计数，并计算时间；</t>
  </si>
  <si>
    <t>test_pke.py::test_ehsm_628</t>
  </si>
  <si>
    <t>EHSM-629</t>
  </si>
  <si>
    <t>验证SM2椭圆曲线算法的加解密功能。使用国密SM2标准曲线，测试公钥加密和私钥解密的完整流程，验证解密结果与原始明文一致。</t>
  </si>
  <si>
    <t>1、初始化sm2 cipher mailbox命令；
2、生成SM2测试数据（{config[；
3、将测试数据中的密钥明文导入到eHSM，并获取密钥句柄（测试用例{i+1}）；
4、将测试数据和密钥句柄导入到命令中，配置加密模式和算法，并发送到eHSM；
5、将测试数据存放到mailbox 通道，并发送到eHSM；并在发送前后获取定时器计数，并计算时间；
6、发送成功后取出计算数据和测试目标数据对比；</t>
  </si>
  <si>
    <t>1、执行成功；
2、读取成功，数据正确；
3、配置成功；
4、读取成功，数据正确；
5、发送成功；</t>
  </si>
  <si>
    <t>test_pke.py::test_ehsm_629</t>
  </si>
  <si>
    <t>EHSM-630</t>
  </si>
  <si>
    <t>验证SM2椭圆曲线算法的签名与验签功能。使用国密SM2标准曲线，通过Stream和SingleCall两种方式测试签名生成与验证。</t>
  </si>
  <si>
    <t>1、初始化sm2 sign mailbox命令；
2、生成SM2签名测试数据（{config[；
3、将测试数据中的密钥明文导入到eHSM，并获取密钥句柄（{config[；
4、将测试数据和密钥句柄导入到命令中，配置签名模式和算法，并发送到eHSM（{mode_config[；
5、数据存放到mailbox通道，并发送到eHSM；并在发送前后获取定时器计数，并计算时间（{mode_config[；
6、发送成功后取出计算数据和测试目标数据对比（{mode_config[；</t>
  </si>
  <si>
    <t>1、执行成功；</t>
  </si>
  <si>
    <t>test_pke.py::test_ehsm_630</t>
  </si>
  <si>
    <t>EHSM-631</t>
  </si>
  <si>
    <t>【负向测试】验证SM2签名接口的参数校验能力。覆盖非法算法、空地址、错误size等异常场景，确保接口能正确拒绝非法参数并返回错误。</t>
  </si>
  <si>
    <t>0、准备SM2签名测试数据和密钥；
1、传入非法数据地址，其它参数正常；
2、传入非法数据长度，其它参数正常；
3、使用正常参数验证功能正常；</t>
  </si>
  <si>
    <t>1、准备成功；
2、命令执行，应返回错误或异常；
3、命令执行，应返回错误或异常；
4、签名验签成功；</t>
  </si>
  <si>
    <t>test_pke.py::test_ehsm_631</t>
  </si>
  <si>
    <t>EHSM-632</t>
  </si>
  <si>
    <t>【负向测试】验证SM2加密接口的参数校验能力。覆盖非法算法、空地址、错误size等异常场景，确保接口能正确拒绝非法参数并返回错误。</t>
  </si>
  <si>
    <t>0、准备SM2加密测试数据和密钥；
1、传入非法模式，其它参数保持正常；
2、传入非法数据地址，其它参数正常；
3、传入非法数据长度，其它参数正常；
4、使用正常参数验证功能正常；</t>
  </si>
  <si>
    <t>1、准备成功；
2、命令执行，应返回错误或异常；
3、命令执行，应返回错误或异常；
4、命令执行，应返回错误或异常；
5、加密解密成功；</t>
  </si>
  <si>
    <t>test_pke.py::test_ehsm_632</t>
  </si>
  <si>
    <t>EHSM-633</t>
  </si>
  <si>
    <t>验证ECDSA在Brainpool标准曲线族上的签名验签功能。覆盖P160R1/P192R1/P224R1/P256R1/P320R1/P384R1/P512R1七条曲线，确保各安全等级曲线功能正常。</t>
  </si>
  <si>
    <t>1、生成 {curve_name} 测试数据并导入密钥；
2、使用消息生成 ECDSA 签名；
3、验证生成的签名；
4、验证测试向量的 golden data 签名；</t>
  </si>
  <si>
    <t>1、密钥导入成功；
2、签名生成成功；
3、验签通过；
4、验签通过；</t>
  </si>
  <si>
    <t>test_pke.py::test_ehsm_633</t>
  </si>
  <si>
    <t>EHSM-634</t>
  </si>
  <si>
    <t>验证ECDSA在ANSI标准曲线族上的签名验签功能。覆盖P160R1/P192R1/P224R1/P256R1/P384R1/P521R1六条曲线，确保各安全等级曲线功能正常。</t>
  </si>
  <si>
    <t>test_pke.py::test_ehsm_634</t>
  </si>
  <si>
    <t>EHSM-635</t>
  </si>
  <si>
    <t>验证ECDSA在NIST标准曲线族上的签名验签功能。覆盖P-192/P-224/P-256/P-384/P-521五条主流曲线，确保符合FIPS 186-4标准。</t>
  </si>
  <si>
    <t>1、生成 NIST {nist_name} 测试数据并导入密钥；
2、使用消息生成 ECDSA 签名；
3、验证生成的签名；
4、验证测试向量的 golden data 签名；</t>
  </si>
  <si>
    <t>test_pke.py::test_ehsm_635</t>
  </si>
  <si>
    <t>EHSM-636</t>
  </si>
  <si>
    <t>ECDSA Koblitz曲线族签名验签 secp192k1 secp224k1 secp256k1。覆盖三条Koblitz曲线的OnePass签名和验签，其中secp256k1为比特币/以太坊采用的标准曲线。</t>
  </si>
  <si>
    <t>test_pke.py::test_ehsm_636</t>
  </si>
  <si>
    <t>EHSM-637</t>
  </si>
  <si>
    <t>【负向测试】验证ECDSA签名接口的参数校验能力。覆盖非法曲线类型、非法哈希算法、空地址、错误size等异常场景，确保接口能正确拒绝非法参数并返回错误。</t>
  </si>
  <si>
    <t>0、准备ECDSA签名测试数据和密钥；
1、传入非法算法，其它参数保持正常；
2、传入非法数据地址，其它参数正常；
3、传入非法数据长度，其它参数正常；
4、使用正常参数验证功能正常；</t>
  </si>
  <si>
    <t>1、准备成功；
2、命令执行，应返回错误或异常；
3、命令执行，应返回错误或异常；
4、命令执行，应返回错误或异常；
5、签名验签成功；</t>
  </si>
  <si>
    <t>test_pke.py::test_ehsm_637</t>
  </si>
  <si>
    <t>EHSM-638</t>
  </si>
  <si>
    <t>【负向测试】验证RSA签名验签的错误检测能力。使用Stream和SingleCall两种方式测试错误签名数据，系统应正确识别并返回校验失败结果。</t>
  </si>
  <si>
    <t>1、初始化并生成RSA测试数据；
2、导入RSA密钥到eHSM；
3、正常签名生成；
4、修改签名值，验签失败；
5、修改原始数据，验签应失败；</t>
  </si>
  <si>
    <t>1、执行成功；
2、读取成功，数据正确；
3、配置成功；
4、验签失败；
5、验签失败；</t>
  </si>
  <si>
    <t>test_pke.py::test_ehsm_638</t>
  </si>
  <si>
    <t>EHSM-639</t>
  </si>
  <si>
    <t>【负向测试】验证SM2签名验签的错误检测能力。使用Stream和SingleCall两种方式测试错误签名数据，系统应正确识别并返回校验失败结果。</t>
  </si>
  <si>
    <t>1、初始化并生成SM2测试数据；
2、导入SM2密钥到eHSM；
3、正常签名生成；
4、修改签名值，验签应失败；
5、修改原始数据，验签应失败；</t>
  </si>
  <si>
    <t>1、执行成功；
2、读取成功，数据正确；
3、签名成功；
4、验签失败；
5、验签失败；</t>
  </si>
  <si>
    <t>test_pke.py::test_ehsm_639</t>
  </si>
  <si>
    <t>EHSM-640</t>
  </si>
  <si>
    <t>【负向测试】验证RSA CRT模式签名验签的错误检测能力。使用Stream和SingleCall两种方式测试错误签名数据，验证CRT优化模式下错误检测功能正常。</t>
  </si>
  <si>
    <t>1、初始化并生成RSA CRT测试数据；
2、导入RSA CRT密钥到eHSM；
3、正常签名生成；
4、修改签名值，验签应失败；
5、修改原始数据，验签应失败；</t>
  </si>
  <si>
    <t>test_pke.py::test_ehsm_640</t>
  </si>
  <si>
    <t>EHSM-641</t>
  </si>
  <si>
    <t>【负向测试】验证ECDSA Brainpool曲线签名验签的错误检测能力。使用Stream和SingleCall两种方式测试错误签名数据，系统应正确识别并返回校验失败结果。</t>
  </si>
  <si>
    <t>1、导入 ECC brainpool 算法公私密钥，得到密钥handle；
2、正常签名生成；
3、修改待验签的数据，用原签名验签应失败；
4、修改签名值，验签应失败；
5、验证正常签名仍然可以通过；</t>
  </si>
  <si>
    <t>1、执行成功；
2、发送成功；
3、验签失败；
4、验签失败；
5、验签成功；</t>
  </si>
  <si>
    <t>test_pke.py::test_ehsm_641</t>
  </si>
  <si>
    <t>EHSM-642</t>
  </si>
  <si>
    <t>验证ED25519椭圆曲线算法的签名与验签功能。使用Stream和SingleCall两种方式测试Edwards曲线上的签名生成与验证，ED25519具有高安全性和高性能特点。</t>
  </si>
  <si>
    <t>1、生成 ED25519 测试数据并导入密钥；
2、正常签名生成；
3、修改待验签的数据，用原签名验签应失败；
4、修改签名值，验签应失败；
5、验证 golden data 签名；
6、验证固件生成的签名可以通过；</t>
  </si>
  <si>
    <t>1、密钥导入成功；
2、发送成功；
3、验签失败；
4、验签失败；
5、验签成功；
6、验签成功；</t>
  </si>
  <si>
    <t>test_pke.py::test_ehsm_642</t>
  </si>
  <si>
    <t>EHSM_P024</t>
  </si>
  <si>
    <t>验证RSA-1024位密钥使用标准测试向量的加解密功能。使用已知的Golden测试向量验证加解密结果与预期一致。</t>
  </si>
  <si>
    <t>1、准备 RSA-1024 测试向量数据；
2、从 DER 编码中提取 RSA 参数；
3、将 RSA 密钥导入到 eHSM；
4、使用标准测试向量密文进行解密验证；
5、使用明文进行加密并解密验证；
6、清理密钥资源；</t>
  </si>
  <si>
    <t>1、数据准备成功；
2、参数提取成功；
3、密钥导入成功；
4、解密成功；
5、加密解密成功；
6、清理成功；</t>
  </si>
  <si>
    <t>test_pke.py::test_ehsm_p024</t>
  </si>
  <si>
    <t>EHSM_P025</t>
  </si>
  <si>
    <t>验证RSA-2048位密钥使用标准测试向量的加解密功能。使用已知的Golden测试向量验证加解密结果与预期一致。</t>
  </si>
  <si>
    <t>1、准备 RSA-2048 测试向量数据；
2、从 DER 编码中提取 RSA 参数；
3、将 RSA 密钥导入到 eHSM；
4、使用标准测试向量密文进行解密验证；
5、使用明文进行加密并解密验证；
6、清理密钥资源；</t>
  </si>
  <si>
    <t>test_pke.py::test_ehsm_p025</t>
  </si>
  <si>
    <t>EHSM_P026</t>
  </si>
  <si>
    <t>验证ECDH在secp192r1(P-192)曲线上的密钥协商功能。测试椭圆曲线Diffie-Hellman密钥交换协议，验证双方能派生出相同的共享密钥。</t>
  </si>
  <si>
    <t>1、准备 ECDH P-192 测试向量数据；
2、使用 Python cryptography 库执行 ECDH 密钥协商；
3、验证共享密钥是否匹配；</t>
  </si>
  <si>
    <t>1、数据准备成功；
2、密钥协商成功；
3、共享密钥匹配成功；</t>
  </si>
  <si>
    <t>test_pke.py::test_ehsm_p026</t>
  </si>
  <si>
    <t>EHSM_P027</t>
  </si>
  <si>
    <t>验证ECDH在secp256r1(P-256)曲线上的密钥协商功能。使用标准测试向量1，验证NIST P-256曲线密钥交换的正确性。</t>
  </si>
  <si>
    <t>1、准备 ECDH P-256 测试向量数据；
2、使用 Python cryptography 库执行 ECDH 密钥协商；
3、验证共享密钥是否匹配；</t>
  </si>
  <si>
    <t>test_pke.py::test_ehsm_p027</t>
  </si>
  <si>
    <t>EHSM_P028</t>
  </si>
  <si>
    <t>验证ECDH在secp256r1(P-256)曲线上的密钥生成与协商功能。使用测试向量2，测试密钥生成和协商的完整流程。</t>
  </si>
  <si>
    <t>1、准备 ECDH P-256 genkey 测试向量数据；
2、从 b_secret 生成 EC 密钥对；
3、验证生成的公钥是否与 b_public 匹配；</t>
  </si>
  <si>
    <t>1、数据准备成功；
2、密钥对生成成功；
3、公钥匹配成功；</t>
  </si>
  <si>
    <t>test_pke.py::test_ehsm_p028</t>
  </si>
  <si>
    <t>EHSM_P029</t>
  </si>
  <si>
    <t>验证经典DH(Diffie-Hellman)密钥交换协议的功能。使用标准测试向量1，测试基于离散对数的密钥交换正确性。</t>
  </si>
  <si>
    <t>1、准备 DH 测试向量数据；
2、使用 Python cryptography 库执行 DH 密钥协商；
3、验证共享密钥是否匹配；</t>
  </si>
  <si>
    <t>test_pke.py::test_ehsm_p029</t>
  </si>
  <si>
    <t>EHSM_P030</t>
  </si>
  <si>
    <t>验证经典DH(Diffie-Hellman)密钥交换协议的功能。使用标准测试向量2，测试不同参数下的密钥交换正确性。</t>
  </si>
  <si>
    <t>test_pke.py::test_ehsm_p030</t>
  </si>
  <si>
    <t>EHSM_P031</t>
  </si>
  <si>
    <t>验证X25519(Curve25519)密钥交换协议的功能。使用基础测试向量，测试现代高性能椭圆曲线密钥交换的正确性。</t>
  </si>
  <si>
    <t>1、{idx+1}、{tv[；</t>
  </si>
  <si>
    <t>test_pke.py::test_ehsm_p031</t>
  </si>
  <si>
    <t>EHSM_P032</t>
  </si>
  <si>
    <t>验证X25519密钥交换协议在多组测试向量下的功能。覆盖测试向量5-10，测试不同输入下密钥交换的正确性和稳定性。</t>
  </si>
  <si>
    <t>test_pke.py::test_ehsm_p032</t>
  </si>
  <si>
    <t>EHSM_P034</t>
  </si>
  <si>
    <t>验证ECDSA在secp192r1(P-192)曲线上的签名验签功能。使用cryptosynth生成的测试向量，测试192位曲线签名正确性。</t>
  </si>
  <si>
    <t>1、{idx+1}、secp192r1({config[；
2、{idx+1}、secp192r1({config[；</t>
  </si>
  <si>
    <t>test_pke.py::test_ehsm_p034</t>
  </si>
  <si>
    <t>EHSM_P035</t>
  </si>
  <si>
    <t>验证ECDH在secp224r1(P-224)曲线上的密钥交换功能。使用Google Wycheproof标准测试向量1-3，确保符合业界安全测试标准。</t>
  </si>
  <si>
    <t>1、{idx+1}、{tv[；
2、{idx+1}、{tv[；
3、{idx+1}、{tv[；
4、{idx+1}、{tv[；</t>
  </si>
  <si>
    <t>test_pke.py::test_ehsm_p035</t>
  </si>
  <si>
    <t>EHSM_P036</t>
  </si>
  <si>
    <t>验证ECDH在secp256r1(P-256)曲线上的密钥交换功能。使用Google Wycheproof标准测试向量，确保符合业界安全测试标准。</t>
  </si>
  <si>
    <t>test_pke.py::test_ehsm_p036</t>
  </si>
  <si>
    <t>EHSM_P037</t>
  </si>
  <si>
    <t>验证ECDH在secp256k1曲线上的密钥交换功能。secp256k1是比特币/以太坊采用的标准曲线，使用Wycheproof测试向量验证。</t>
  </si>
  <si>
    <t>test_pke.py::test_ehsm_p037</t>
  </si>
  <si>
    <t>EHSM_P038</t>
  </si>
  <si>
    <t>验证ECDH在secp384r1(P-384)曲线上的密钥交换功能。使用Google Wycheproof标准测试向量，测试384位高安全等级曲线。</t>
  </si>
  <si>
    <t>test_pke.py::test_ehsm_p038</t>
  </si>
  <si>
    <t>EHSM_P039</t>
  </si>
  <si>
    <t>验证ED25519算法的自签自验功能。使用Edwards曲线生成密钥对并进行签名验证，测试ED25519高性能签名算法的正确性。</t>
  </si>
  <si>
    <t>1、使用固件生成 ED25519 密钥对；
2、使用生成的密钥进行签名；
3、使用相同密钥验证签名（正常场景）；
4、修改消息后验证应失败（负面测试）；
5、修改签名后验证应失败（负面测试）；
6、清理密钥资源；</t>
  </si>
  <si>
    <t>1、密钥生成成功；
2、签名生成成功；
3、验签成功；
4、验签失败；
5、验签失败；
6、密钥清理成功；</t>
  </si>
  <si>
    <t>test_pke.py::test_ehsm_p039</t>
  </si>
  <si>
    <t>EHSM_P040</t>
  </si>
  <si>
    <t>【负向测试】验证SM2加密接口对无效密钥句柄的处理。传入不存在的密钥句柄(0xDEADBEEF)，系统应返回EHSM_ERR_INVALID_HANDLE错误。</t>
  </si>
  <si>
    <t>0、准备SM2加密测试数据和密钥；
1、使用无效的密钥句柄进行加密；</t>
  </si>
  <si>
    <t>0、准备成功；
1、命令返回错误；</t>
  </si>
  <si>
    <t>test_pke.py::test_ehsm_p040</t>
  </si>
  <si>
    <t>EHSM_P041</t>
  </si>
  <si>
    <t>【负向测试】验证SM2加密接口对空输入数据的处理。传入None作为输入数据，系统应返回EHSM_ERR_SM2_DATA_BUF_OVERFLOW错误。</t>
  </si>
  <si>
    <t>1、准备SM2密钥；
2、使用None作为输入数据；</t>
  </si>
  <si>
    <t>1、准备成功；
2、命令返回错误或异常；</t>
  </si>
  <si>
    <t>test_pke.py::test_ehsm_p041</t>
  </si>
  <si>
    <t>EHSM_P042</t>
  </si>
  <si>
    <t>【负向测试】验证SM2加密接口对空字节数据的处理。传入空字节b''作为输入，系统应返回EHSM_ERR_SM2_DATA_BUF_OVERFLOW错误。</t>
  </si>
  <si>
    <t>1、准备SM2密钥；
2、使用空字节数据(b；</t>
  </si>
  <si>
    <t>1、准备成功；</t>
  </si>
  <si>
    <t>test_pke.py::test_ehsm_p042</t>
  </si>
  <si>
    <t>EHSM_P043</t>
  </si>
  <si>
    <t>【负向测试】验证SM2加密接口对过大输入长度的处理。input_size超出实际数据长度时，系统应返回EHSM_ERR_SM2_DATA_BUF_OVERFLOW错误。</t>
  </si>
  <si>
    <t>1、准备SM2密钥和测试数据；
2、使用过大的input_size参数；</t>
  </si>
  <si>
    <t>1、准备成功；
2、命令返回错误；</t>
  </si>
  <si>
    <t>test_pke.py::test_ehsm_p043</t>
  </si>
  <si>
    <t>EHSM_P044</t>
  </si>
  <si>
    <t>【负向测试】验证SM2加密接口对input_size=0的处理。当input非空但size为0时，系统应返回相应错误拒绝执行。</t>
  </si>
  <si>
    <t>1、准备SM2密钥和测试数据；
2、input_size=0但input包含数据；</t>
  </si>
  <si>
    <t>test_pke.py::test_ehsm_p044</t>
  </si>
  <si>
    <t>EHSM_P045</t>
  </si>
  <si>
    <t>【负向测试】验证SM2加密接口对输出缓冲区大小为0的处理。output_buff_size=0时，系统应返回错误拒绝执行。</t>
  </si>
  <si>
    <t>1、准备SM2密钥和测试数据；
2、使用output_buff_size=0；</t>
  </si>
  <si>
    <t>test_pke.py::test_ehsm_p045</t>
  </si>
  <si>
    <t>EHSM_P046</t>
  </si>
  <si>
    <t>【负向测试】验证SM2解密接口对缺少私钥的处理。解密操作只传公钥而无私钥时，系统应返回错误拒绝执行。</t>
  </si>
  <si>
    <t>1、生成SM2测试数据和密文；
2、解密时只传入65字节公钥；</t>
  </si>
  <si>
    <t>test_pke.py::test_ehsm_p046</t>
  </si>
  <si>
    <t>EHSM_P047</t>
  </si>
  <si>
    <t>【负向测试】验证SM2加密接口对错误公钥的处理。传入格式错误或无效的公钥数据，系统应返回错误拒绝执行。</t>
  </si>
  <si>
    <t>1、生成SM2测试数据；
2、加密时使用无效的公钥数据；</t>
  </si>
  <si>
    <t>1、数据生成成功；
2、命令返回错误；</t>
  </si>
  <si>
    <t>test_pke.py::test_ehsm_p047</t>
  </si>
  <si>
    <t>EHSM_P048</t>
  </si>
  <si>
    <t>【负向测试】验证SM2签名接口对无效密钥句柄的处理。传入不存在的密钥句柄，系统应返回EHSM_ERR_INVALID_HANDLE错误。</t>
  </si>
  <si>
    <t>1、生成SM2测试数据；
2、使用无效的密钥句柄进行签名；</t>
  </si>
  <si>
    <t>test_pke.py::test_ehsm_p048</t>
  </si>
  <si>
    <t>EHSM_P049</t>
  </si>
  <si>
    <t>【负向测试】验证SM2签名接口对输出缓冲区过小的处理。签名缓冲区不足以容纳结果时，系统应返回相应错误。</t>
  </si>
  <si>
    <t>1、生成SM2密钥对；
2、传入过小的输出缓冲区进行签名；</t>
  </si>
  <si>
    <t>1、密钥生成成功；
2、命令返回错误；</t>
  </si>
  <si>
    <t>test_pke.py::test_ehsm_p049</t>
  </si>
  <si>
    <t>EHSM_P050</t>
  </si>
  <si>
    <t>【负向测试】验证SM2签名接口对签名缓冲区大小为0的处理。sig_buff_size=0时，系统应返回错误拒绝执行。</t>
  </si>
  <si>
    <t>1、生成SM2密钥对和测试消息；
2、使用sig_buff_size=0进行签名；</t>
  </si>
  <si>
    <t>test_pke.py::test_ehsm_p050</t>
  </si>
  <si>
    <t>EHSM_P051</t>
  </si>
  <si>
    <t>【负向测试】验证SM2验签接口对错误签名数据的处理。传入被篡改的签名数据，系统应返回校验失败结果。</t>
  </si>
  <si>
    <t>1、生成SM2测试数据；
2、使用明文密钥验签错误的签名数据；</t>
  </si>
  <si>
    <t>test_pke.py::test_ehsm_p051</t>
  </si>
  <si>
    <t>EHSM_P052</t>
  </si>
  <si>
    <t>【负向测试】验证SM2验签接口对None签名数据的处理。signature=None时，系统应返回相应错误拒绝执行。</t>
  </si>
  <si>
    <t>1、生成SM2测试数据；
2、验签模式下signature参数为None；</t>
  </si>
  <si>
    <t>test_pke.py::test_ehsm_p052</t>
  </si>
  <si>
    <t>EHSM_P053</t>
  </si>
  <si>
    <t>【负向测试】验证SM2验签接口对超长签名数据的处理。签名长度超出预期时，系统应正确处理并返回错误。</t>
  </si>
  <si>
    <t>1、生成SM2测试数据和签名；
2、验签时传入超长签名数据(128字节而非64字节)；</t>
  </si>
  <si>
    <t>test_pke.py::test_ehsm_p053</t>
  </si>
  <si>
    <t>EHSM_P054</t>
  </si>
  <si>
    <t>【负向测试】验证SM2签名接口对明文密钥为None的处理。key_data=None时，系统应返回相应错误拒绝执行。</t>
  </si>
  <si>
    <t>1、生成测试消息；
2、use_plain_key=True但key_data=None；</t>
  </si>
  <si>
    <t>test_pke.py::test_ehsm_p054</t>
  </si>
  <si>
    <t>EHSM_P055</t>
  </si>
  <si>
    <t>【负向测试】验证SM2签名接口对摘要长度错误的处理。摘要模式下输入长度不等于32字节时，系统应返回错误。</t>
  </si>
  <si>
    <t>1、生成SM2密钥对；
2、is_digest=True但input_size不是32字节；</t>
  </si>
  <si>
    <t>test_pke.py::test_ehsm_p055</t>
  </si>
  <si>
    <t>EHSM_P056</t>
  </si>
  <si>
    <t>【负向测试】验证SM2签名接口对密钥句柄为0的处理。key_handle=0时，系统应返回EHSM_ERR_INVALID_HANDLE错误。</t>
  </si>
  <si>
    <t>1、生成测试消息；
2、use_plain_key=False但key_handle=0；</t>
  </si>
  <si>
    <t>test_pke.py::test_ehsm_p056</t>
  </si>
  <si>
    <t>EHSM_P057</t>
  </si>
  <si>
    <t>【负向测试】验证SM2签名接口对密钥权限不足的处理。密钥未授予KEY_PRIV_SIGN权限时，系统应返回权限错误。</t>
  </si>
  <si>
    <t>1、生成SM2密钥对并导入（不包含签名权限）；
2、使用缺少签名权限的密钥进行签名；</t>
  </si>
  <si>
    <t>test_pke.py::test_ehsm_p057</t>
  </si>
  <si>
    <t>EHSM_P058</t>
  </si>
  <si>
    <t>【负向测试】验证SM2验签接口对密钥权限不足的处理。密钥未授予KEY_PUB_VERIFY权限时，系统应返回权限错误。</t>
  </si>
  <si>
    <t>1、生成SM2密钥对、签名并导入（不包含验签权限）；
2、使用缺少验签权限的密钥进行验签；</t>
  </si>
  <si>
    <t>test_pke.py::test_ehsm_p058</t>
  </si>
  <si>
    <t>EHSM_P063</t>
  </si>
  <si>
    <t>【负向测试】验证ECDSA签名接口对无效密钥句柄的处理。传入不存在的密钥句柄，系统应返回EHSM_ERR_INVALID_HANDLE错误。</t>
  </si>
  <si>
    <t>1、准备ECDSA测试数据；
2、使用无效的密钥句柄进行签名；</t>
  </si>
  <si>
    <t>1、数据准备成功；
2、命令返回错误；</t>
  </si>
  <si>
    <t>test_pke.py::test_ehsm_p063</t>
  </si>
  <si>
    <t>EHSM_P064</t>
  </si>
  <si>
    <t>【负向测试】验证ECDSA签名接口对消息地址为NULL的处理。message=NULL时，系统应返回相应错误拒绝执行。</t>
  </si>
  <si>
    <t>1、准备ECDSA测试数据；
2、导入ECDSA密钥；
3、使用NULL消息地址进行签名；
4、删除密钥；</t>
  </si>
  <si>
    <t>1、数据准备成功；
2、密钥导入成功；
3、命令返回错误；
4、密钥删除成功；</t>
  </si>
  <si>
    <t>test_pke.py::test_ehsm_p064</t>
  </si>
  <si>
    <t>EHSM_P065</t>
  </si>
  <si>
    <t>【负向测试】验证ECDSA签名接口对签名输出地址为NULL的处理。sig_addr=NULL时，系统应返回相应错误拒绝执行。</t>
  </si>
  <si>
    <t>1、准备ECDSA测试数据；
2、导入ECDSA密钥；
3、使用NULL签名地址进行签名；
4、删除密钥；</t>
  </si>
  <si>
    <t>test_pke.py::test_ehsm_p065</t>
  </si>
  <si>
    <t>EHSM_P066</t>
  </si>
  <si>
    <t>【负向测试】验证ECDSA签名接口对签名缓冲区大小为0的处理。sig_buff_size=0时，系统应返回错误拒绝执行。</t>
  </si>
  <si>
    <t>1、准备ECDSA测试数据；
2、导入ECDSA密钥；
3、使用签名缓冲区大小为0进行签名；
4、删除密钥；</t>
  </si>
  <si>
    <t>test_pke.py::test_ehsm_p066</t>
  </si>
  <si>
    <t>EHSM_P067</t>
  </si>
  <si>
    <t>【负向测试】验证ECDSA三段式签名接口对上下文为NULL的处理。sign_ctx=NULL时，系统应返回相应错误拒绝执行。</t>
  </si>
  <si>
    <t>1、准备ECDSA测试数据；
2、导入ECDSA密钥；
3、使用上下文地址为NULL进行签名；
4、删除密钥；</t>
  </si>
  <si>
    <t>test_pke.py::test_ehsm_p067</t>
  </si>
  <si>
    <t>EHSM_P068</t>
  </si>
  <si>
    <t>【负向测试】验证ECDSA三段式签名接口对签名缓冲区过小的处理。sig_buff_size不足时，系统应返回相应错误。</t>
  </si>
  <si>
    <t>1、准备ECDSA测试数据；
2、导入ECDSA密钥；
3、初始化ECDSA签名上下文；
4、更新签名数据；
5、使用sig_buff_size=32完成签名；
6、删除密钥；</t>
  </si>
  <si>
    <t>1、数据准备成功；
2、密钥导入成功；
3、初始化成功；
4、数据更新成功；
5、命令返回错误；
6、密钥删除成功；</t>
  </si>
  <si>
    <t>test_pke.py::test_ehsm_p068</t>
  </si>
  <si>
    <t>EHSM_P122</t>
  </si>
  <si>
    <t>RSA_CIPHER非法密钥句柄测试</t>
  </si>
  <si>
    <t>1、准备RSA-1024测试数据；
2、使用非法密钥句柄进行加密；</t>
  </si>
  <si>
    <t>test_pke.py::test_ehsm_p122</t>
  </si>
  <si>
    <t>EHSM_P123</t>
  </si>
  <si>
    <t>RSA_CIPHER数据长度不匹配测试</t>
  </si>
  <si>
    <t>1、准备RSA-1024测试数据和密钥；
2、传入错误的input_size（远大于实际长度）；
3、使用正常参数验证功能正常；</t>
  </si>
  <si>
    <t>1、准备成功；
2、命令返回错误；
3、加密解密成功；</t>
  </si>
  <si>
    <t>test_pke.py::test_ehsm_p123</t>
  </si>
  <si>
    <t>EHSM_P124</t>
  </si>
  <si>
    <t>RSA_CIPHER明文过大测试</t>
  </si>
  <si>
    <t>1、准备RSA-1024密钥；
2、传入过大的明文数据；
3、使用正常大小的明文验证功能正常；</t>
  </si>
  <si>
    <t>1、密钥准备成功；
2、命令返回错误；
3、加密成功；</t>
  </si>
  <si>
    <t>test_pke.py::test_ehsm_p124</t>
  </si>
  <si>
    <t>EHSM_P125</t>
  </si>
  <si>
    <t>RSA_CIPHER输出缓冲区过小测试</t>
  </si>
  <si>
    <t>1、准备RSA-1024测试数据和密钥；
2、传入过小的输出缓冲区；
3、使用正常缓冲区大小验证功能正常；</t>
  </si>
  <si>
    <t>1、准备成功；
2、命令返回错误；
3、加密成功；</t>
  </si>
  <si>
    <t>test_pke.py::test_ehsm_p125</t>
  </si>
  <si>
    <t>EHSM_P126</t>
  </si>
  <si>
    <t>RSA_CIPHER密文长度错误测试</t>
  </si>
  <si>
    <t>1、准备RSA-1024测试数据和密钥；
2、正常加密生成密文；
3、使用错误的密文长度进行解密；
4、使用正确的密文长度验证功能正常；</t>
  </si>
  <si>
    <t>1、准备成功；
2、加密成功；
3、命令返回错误；
4、解密成功；</t>
  </si>
  <si>
    <t>test_pke.py::test_ehsm_p126</t>
  </si>
  <si>
    <t>EHSM_P127</t>
  </si>
  <si>
    <t>RSA_CIPHER非法input_addr测试</t>
  </si>
  <si>
    <t>1、准备RSA-1024测试数据和密钥；
2、使用非法的input_addr进行加密；
3、使用正常参数验证功能正常；</t>
  </si>
  <si>
    <t>test_pke.py::test_ehsm_p127</t>
  </si>
  <si>
    <t>EHSM_P128</t>
  </si>
  <si>
    <t>RSA_CIPHER非法output_addr测试</t>
  </si>
  <si>
    <t>1、准备RSA-1024测试数据和密钥；
2、使用非法的output_addr进行加密；
3、使用正常参数验证功能正常；</t>
  </si>
  <si>
    <t>test_pke.py::test_ehsm_p128</t>
  </si>
  <si>
    <t>EHSM_P129</t>
  </si>
  <si>
    <t>RSA_SIGN非法密钥句柄测试</t>
  </si>
  <si>
    <t>1、准备RSA-1024测试数据；
2、使用非法密钥句柄进行签名；</t>
  </si>
  <si>
    <t>test_pke.py::test_ehsm_p129</t>
  </si>
  <si>
    <t>EHSM_P130</t>
  </si>
  <si>
    <t>RSA_SIGN消息长度过大测试</t>
  </si>
  <si>
    <t>1、传入msg为空地址，其它参数保持正常；
2、传入msg_size远大于实际长度，其它参数正常；
3、将测试数据存放到mailbox 通道，并发送到eHSM；并在发送前后获取定时器计数，并计算时间；</t>
  </si>
  <si>
    <t>1、发送成功；
2、发送成功；
3、读取成功，数据正确；</t>
  </si>
  <si>
    <t>test_pke.py::test_ehsm_p130</t>
  </si>
  <si>
    <t>EHSM_P131</t>
  </si>
  <si>
    <t>RSA_SIGN输出缓冲区过小测试</t>
  </si>
  <si>
    <t>1、准备成功；
2、命令返回错误；
3、签名成功；</t>
  </si>
  <si>
    <t>test_pke.py::test_ehsm_p131</t>
  </si>
  <si>
    <t>EHSM_P132</t>
  </si>
  <si>
    <t>RSA_SIGN非法消息地址测试</t>
  </si>
  <si>
    <t>1、准备RSA-1024测试数据和密钥；
2、使用非法消息地址进行签名；
3、使用正常参数验证功能正常；</t>
  </si>
  <si>
    <t>test_pke.py::test_ehsm_p132</t>
  </si>
  <si>
    <t>EHSM_P133</t>
  </si>
  <si>
    <t>RSA_SIGN非法签名地址测试</t>
  </si>
  <si>
    <t>1、准备RSA-1024测试数据和密钥；
2、使用非法签名地址进行签名；
3、使用正常参数验证功能正常；</t>
  </si>
  <si>
    <t>test_pke.py::test_ehsm_p133</t>
  </si>
  <si>
    <t>EHSM_P151</t>
  </si>
  <si>
    <t>e_byte_sz=4（4对齐），正常（BUG-18正路径）</t>
  </si>
  <si>
    <t>1、构造RSA-2048密钥，pub_key_size=4（4字节对齐）；</t>
  </si>
  <si>
    <t>1、导入成功；</t>
  </si>
  <si>
    <t>test_pke.py::test_ehsm_p151</t>
  </si>
  <si>
    <t>EHSM_P152</t>
  </si>
  <si>
    <t>e_byte_sz=3（非4对齐，e=65537原始长度），拒绝（BUG-18 P0）</t>
  </si>
  <si>
    <t>1、确认e_byte_sz=4正路径有效；
2、构造RSA-2048密钥，pub_key_size=3（非4字节对齐）；</t>
  </si>
  <si>
    <t>1、正路径成功；
2、返回EHSM_ERR_PARAM_ERROR；</t>
  </si>
  <si>
    <t>test_pke.py::test_ehsm_p152</t>
  </si>
  <si>
    <t>EHSM_P153</t>
  </si>
  <si>
    <t>e_byte_sz=5（非对齐），拒绝（BUG-18）</t>
  </si>
  <si>
    <t>1、确认e_byte_sz=4正路径有效；
2、pub_key_size=5（非4字节对齐）；</t>
  </si>
  <si>
    <t>test_pke.py::test_ehsm_p153</t>
  </si>
  <si>
    <t>EHSM_P154</t>
  </si>
  <si>
    <t>e_byte_sz=0，拒绝（BUG-18）</t>
  </si>
  <si>
    <t>1、确认e_byte_sz=4正路径有效；
2、pub_key_size=0；</t>
  </si>
  <si>
    <t>test_pke.py::test_ehsm_p154</t>
  </si>
  <si>
    <t>EHSM_P155</t>
  </si>
  <si>
    <t>RSA-4096 n_byte_sz=512（合法上界），成功（BUG-10正路径）</t>
  </si>
  <si>
    <t>1、导入RSA-4096密钥（n=512字节合法上界）；</t>
  </si>
  <si>
    <t>test_pke.py::test_ehsm_p155</t>
  </si>
  <si>
    <t>EHSM_P156</t>
  </si>
  <si>
    <t>RSA-2048 n_byte_sz=256正常路径，操作成功（BUG-10回归）</t>
  </si>
  <si>
    <t>1、导入RSA-2048密钥（n=256字节）；</t>
  </si>
  <si>
    <t>test_pke.py::test_ehsm_p156</t>
  </si>
  <si>
    <t>reg</t>
  </si>
  <si>
    <t>EHSM-792</t>
  </si>
  <si>
    <t>在Test模式下，测试Firmware REG读写功能</t>
  </si>
  <si>
    <t>1、配置生命周期为Test模式；并重启生效；
2、写入REG区域 0x33400000, 长度16字节，0x00~0xFF 数据；
3、读取REG区域 0x33400000, 长度16字节，读取到tmp空间；
4、对比tmp数据；</t>
  </si>
  <si>
    <t>1、生命周期配置成功；
2、写入成功；
3、读取成功，数据正确；
4、对比tmp数据与写入数据一致；</t>
  </si>
  <si>
    <t>test_reg.py::test_ehsm_792</t>
  </si>
  <si>
    <t>EHSM-793</t>
  </si>
  <si>
    <t>在Test模式下，测试Firmware REG读写边界</t>
  </si>
  <si>
    <t>1、配置生命周期为Test模式；并重启生效；
2、写入REG区域 0x33500001/0x333fffff, 长度16字节，0x00~0xFF 数据；
3、读取REG区域 0x33500001/0x333fffff, 长度16字节，读取到tmp空间；</t>
  </si>
  <si>
    <t>1、生命周期配置成功；
2、超出reg边界的区域写入数据返回预期的错误码；
3、超出reg边界的区域读取数据返回预期的错误码；</t>
  </si>
  <si>
    <t>test_reg.py::test_ehsm_793</t>
  </si>
  <si>
    <t>EHSM-794</t>
  </si>
  <si>
    <t>在Dev模式下，测试Firmware REG读写功能</t>
  </si>
  <si>
    <t>1、配置生命周期为Dev模式；并重启生效；
2、写入REG区域 0x33400000, 长度16字节，0x00~0xFF 数据；
3、读取REG区域 0x33400000, 长度16字节，读取到tmp空间；
4、对比tmp数据；</t>
  </si>
  <si>
    <t>test_reg.py::test_ehsm_794</t>
  </si>
  <si>
    <t>EHSM-795</t>
  </si>
  <si>
    <t>在Manu模式下，测试Firmware REG读写功能的限制能力</t>
  </si>
  <si>
    <t>1、配置生命周期为Manu模式；并重启生效；
1、写入REG区域 0x33400000, 长度16字节，0x00~0xFF 数据；
3、读取REG区域 0x33400000, 长度16字节，读取到tmp空间；</t>
  </si>
  <si>
    <t>1、生命周期配置成功；
2、manu模式下向reg写入数据受到生命周期限制；
3、manu模式下读取reg数据受到生命周期限制；</t>
  </si>
  <si>
    <t>test_reg.py::test_ehsm_795</t>
  </si>
  <si>
    <t>EHSM-796</t>
  </si>
  <si>
    <t>在User模式下，测试Firmware REG读写功能的限制能力</t>
  </si>
  <si>
    <t>1、配置生命周期为User模式；并重启生效；
2、写入REG区域 0x33400000, 长度16字节，0x00~0xFF 数据；
1、读取REG区域 0x33400000, 长度16字节，读取到tmp空间；</t>
  </si>
  <si>
    <t>1、生命周期配置成功；
2、写入受到生命周期限制；
3、读取数据受到生命周期限制；</t>
  </si>
  <si>
    <t>test_reg.py::test_ehsm_796</t>
  </si>
  <si>
    <t>EHSM-797</t>
  </si>
  <si>
    <t>在Debug模式下，测试Firmware REG读写功能的限制能力</t>
  </si>
  <si>
    <t>1、配置生命周期为Debug模式；并重启生效；
1、写入REG区域 0x33400000, 长度16字节，0x00~0xFF 数据；
1、读取REG区域 0x33400000, 长度16字节，读取到tmp空间；</t>
  </si>
  <si>
    <t>1、生命周期配置成功；
2、写入数据受到生命周期限制；
3、读取数据受到生命周期限制；</t>
  </si>
  <si>
    <t>test_reg.py::test_ehsm_797</t>
  </si>
  <si>
    <t>EHSM-798</t>
  </si>
  <si>
    <t>在Test模式下，测试Firmware REG读写接口异常参数的处理</t>
  </si>
  <si>
    <t>1、配置生命周期为Test模式；并重启生效；
1、REG读写接口传入空的src_addr；其它参数合法；
1、REG读写接口传入空的dst_addr；其它参数合法；</t>
  </si>
  <si>
    <t>test_reg.py::test_ehsm_798</t>
  </si>
  <si>
    <t>EHSM-r001</t>
  </si>
  <si>
    <t>在Test模式下，测试REG写入接口size异常参数的处理</t>
  </si>
  <si>
    <t>1、配置生命周期为Test模式；并重启生效；
2、REG写入接口传入过大长度（超过REG区域大小）；其它参数合法；
3、REG写入接口传入跨越边界的长度（地址合法但地址+长度超出REG区域）；其它参数合法；
4、恢复默认OTP区域数据；</t>
  </si>
  <si>
    <t>1、生命周期配置成功；
2、报内存不足错误；
3、报内存不足错误；
4、执行成功；</t>
  </si>
  <si>
    <t>test_reg.py::test_ehsm_r001</t>
  </si>
  <si>
    <t>EHSM-r002</t>
  </si>
  <si>
    <t>在Test模式下，测试REG写入接口src_data异常参数的处理</t>
  </si>
  <si>
    <t>1、配置生命周期为Test模式；并重启生效；
2、REG写入接口传入NULL数据（None）；其它参数合法；
3、恢复默认OTP区域数据；</t>
  </si>
  <si>
    <t>1、生命周期配置成功；
2、报无效地址错误；
3、执行成功；</t>
  </si>
  <si>
    <t>test_reg.py::test_ehsm_r002</t>
  </si>
  <si>
    <t>EHSM-r003</t>
  </si>
  <si>
    <t>在Test模式下，测试REG读取接口ehsm_src_addr异常参数的处理</t>
  </si>
  <si>
    <t>1、配置生命周期为Test模式；并重启生效；
2、REG读取接口传入越界地址（小于REG基地址）；其它参数合法；
3、REG读取接口传入越界地址（大于REG最大地址）其它参数合法；
4、恢复默认OTP区域数据；</t>
  </si>
  <si>
    <t>test_reg.py::test_ehsm_r003</t>
  </si>
  <si>
    <t>EHSM-r004</t>
  </si>
  <si>
    <t>在Test模式下，测试REG读取接口size异常参数的处理</t>
  </si>
  <si>
    <t>1、配置生命周期为Test模式；并重启生效；
2、REG读取接口传入过大长度（超过REG区域大小）；其它参数合法；
3、REG读取接口传入跨越边界的长度（地址合法但地址+长度超出REG区域）；其它参数合法；
4、恢复默认OTP区域数据；</t>
  </si>
  <si>
    <t>test_reg.py::test_ehsm_r004</t>
  </si>
  <si>
    <t>EHSM-r005</t>
  </si>
  <si>
    <t>在Test模式下，测试REG读取接口host_dst_addr数据正确性验证</t>
  </si>
  <si>
    <t>1、配置生命周期为Test模式；并重启生效；
2、向REG区域写入测试数据；
3、REG读取接口读取数据到host侧，验证数据长度正确；
4、验证读取到host侧的数据内容正确；
5、恢复默认OTP区域数据；</t>
  </si>
  <si>
    <t>1、生命周期配置成功；
2、写入成功；
3、返回数据长度与请求长度一致；
4、数据内容与写入数据一致；
5、执行成功；</t>
  </si>
  <si>
    <t>test_reg.py::test_ehsm_r005</t>
  </si>
  <si>
    <t>secboot</t>
  </si>
  <si>
    <t>EHSM-SE001</t>
  </si>
  <si>
    <t>EHSM OTP写入成功，版本号正常更新</t>
  </si>
  <si>
    <t>1、配置OTP版本为VC0（初始低版本），重启固件；
2、读取 OTP 版本号区域；
3、验证 OTP 中版本号已更新（不为全0）；
4、恢复默认OTP区域数据；</t>
  </si>
  <si>
    <t>1、固件启动成功；
2、读取成功；
3、otp_write返回成功，OTP版本号已更新，程序继续执行；
4、恢复成功；</t>
  </si>
  <si>
    <t>test_secboot.py::test_ehsm_se001</t>
  </si>
  <si>
    <t>EHSM_SE004</t>
  </si>
  <si>
    <t>SOC OTP写入成功，版本号正常更新（BUG-01正路径）</t>
  </si>
  <si>
    <t>1、配置OTP为Test模式，重启固件；
2、读取SOC OTP版本号区域（OTP_SOC_VERSION_ADDRESS）；
3、验证 SOC OTP 版本号已更新；</t>
  </si>
  <si>
    <t>1、固件正常启动；
2、读取成功；
3、SOC版本号写入OTP成功，程序继续执行；</t>
  </si>
  <si>
    <t>test_secboot.py::test_ehsm_se004</t>
  </si>
  <si>
    <t>ske</t>
  </si>
  <si>
    <t>EHSM-590</t>
  </si>
  <si>
    <t>分别使用Stream和SingleCall方式测试算法 DES-ECB-128 的加密和解密，对比加密和解密的数据</t>
  </si>
  <si>
    <t>1、导入对称密钥；
2、对称算法加密, onepass；
3、对称算法解密, onepass；
4、删除 symm 密钥；
5、导入对称密钥；
6、对称算法加密, onepass；
7、对称算法解密, onepass；
8、删除 symm 密钥；
9、导入对称密钥；
10、对称算法加密, init；
11、对称算法加密, update；
12、对称算法加密, finish；
13、对称算法解密, init；
14、对称算法解密, update；
15、对称算法解密, finish；
16、删除 symm 密钥；
17、导入对称密钥；
18、对称算法加密, init；
19、对称算法加密, update；
20、对称算法加密, finish；
21、对称算法解密, init；
22、对称算法解密, update；
23、对称算法解密, finish；
24、删除 symm 密钥；
25、导入对称密钥；
26、对称算法加密, init；
27、对称算法加密, update；
28、对称算法加密, finish；
29、对称算法解密, init；
30、对称算法解密, update；
31、对称算法解密, finish；
32、删除 symm 密钥；
33、导入对称密钥；
34、对称算法加密, init；
35、对称算法加密, update；
36、对称算法加密, finish；
37、对称算法解密, init；
38、对称算法解密, update；
39、对称算法解密, finish；
40、删除 symm 密钥；</t>
  </si>
  <si>
    <t>1、执行成功；
2、执行成功；
3、执行成功；
4、执行成功；
5、执行成功；
6、执行成功；
7、执行成功；
8、执行成功；
9、执行成功；
10、执行成功；
11、执行成功；
12、执行成功；
13、执行成功；
14、执行成功；
15、执行成功；
16、执行成功；
17、执行成功；
18、执行成功；
19、执行成功；
20、执行成功；
21、执行成功；
22、执行成功；
23、执行成功；
24、执行成功；
25、执行成功；
26、执行成功；
27、执行成功；
28、执行成功；
29、执行成功；
30、执行成功；
31、执行成功；
32、执行成功；
33、执行成功；
34、执行成功；
35、执行成功；
36、执行成功；
37、执行成功；
38、执行成功；
39、执行成功；
40、执行成功；</t>
  </si>
  <si>
    <t>test_ske.py::test_ehsm_590</t>
  </si>
  <si>
    <t>EHSM-591</t>
  </si>
  <si>
    <t>分别使用Stream和SingleCall方式测试算法 DES-CBC-128 的加密和解密，对比加密和解密的数据</t>
  </si>
  <si>
    <t>test_ske.py::test_ehsm_591</t>
  </si>
  <si>
    <t>EHSM-592</t>
  </si>
  <si>
    <t>分别使用Stream和SingleCall方式测试算法 DES-CFB-128 的加密和解密，对比加密和解密的数据</t>
  </si>
  <si>
    <t>test_ske.py::test_ehsm_592</t>
  </si>
  <si>
    <t>EHSM-593</t>
  </si>
  <si>
    <t>分别使用Stream和SingleCall方式测试算法 DES-OFB-128 的加密和解密，对比加密和解密的数据</t>
  </si>
  <si>
    <t>test_ske.py::test_ehsm_593</t>
  </si>
  <si>
    <t>EHSM-594</t>
  </si>
  <si>
    <t>分别使用Stream和SingleCall方式测试算法 DES-CTR-128 的加密和解密，对比加密和解密的数据</t>
  </si>
  <si>
    <t>test_ske.py::test_ehsm_594</t>
  </si>
  <si>
    <t>EHSM-595</t>
  </si>
  <si>
    <t>分别使用Stream和SingleCall方式测试算法 AES-ECB-128/192/256 的加密和解密，对比加密和解密的数据</t>
  </si>
  <si>
    <t>test_ske.py::test_ehsm_595</t>
  </si>
  <si>
    <t>EHSM-596</t>
  </si>
  <si>
    <t>分别使用Stream和SingleCall方式测试算法 AES-CBC-128/192/256 的加密和解密，对比加密和解密的数据</t>
  </si>
  <si>
    <t>test_ske.py::test_ehsm_596</t>
  </si>
  <si>
    <t>EHSM-597</t>
  </si>
  <si>
    <t>分别使用Stream和SingleCall方式测试算法 AES-CFB-128/192/256 的加密和解密，对比加密和解密的数据</t>
  </si>
  <si>
    <t>test_ske.py::test_ehsm_597</t>
  </si>
  <si>
    <t>EHSM-598</t>
  </si>
  <si>
    <t>分别使用Stream和SingleCall方式测试算法 AES-OFB-128/192/256 的加密和解密，对比加密和解密的数据</t>
  </si>
  <si>
    <t>test_ske.py::test_ehsm_598</t>
  </si>
  <si>
    <t>EHSM-599</t>
  </si>
  <si>
    <t>分别使用Stream和SingleCall方式测试算法 AES-CTR-128/192/256 的加密和解密，对比加密和解密的数据</t>
  </si>
  <si>
    <t>test_ske.py::test_ehsm_599</t>
  </si>
  <si>
    <t>EHSM-600</t>
  </si>
  <si>
    <t>分别使用Stream和SingleCall方式测试算法 AES-XTS-128/192/256 的加密和解密，对比加密和解密的数据</t>
  </si>
  <si>
    <t>1、测试向量 {idx}: AES-192-XTS Stream/SingleCall 测试；</t>
  </si>
  <si>
    <t>test_ske.py::test_ehsm_600</t>
  </si>
  <si>
    <t>EHSM-601</t>
  </si>
  <si>
    <t>分别使用Stream和SingleCall方式测试算法 AES-CCM-128/192/256 的加密和解密，对比加密和解密的数据</t>
  </si>
  <si>
    <t>1、测试数据生成: 算法 {algo}, 模式 {mode}, 填充 {padding}, 输入长度 {input_size}；
2、导入对称密钥；
3、对称算法加密, onepass；
4、对称算法解密, onepass；
5、删除 aead 密钥；
6、导入对称密钥；
7、对称算法加密, onepass；
8、对称算法解密, onepass；
9、删除 aead 密钥；
10、导入对称密钥；
11、对称算法加密, init；
12、对称算法加密, update；
13、对称算法加密, finish；
14、对称算法解密, init；
15、对称算法解密, update；
16、对称算法解密, finish；
17、删除 aead 密钥；
18、导入对称密钥；
19、对称算法加密, init；
20、对称算法加密, update；
21、对称算法加密, finish；
22、对称算法解密, init；
23、对称算法解密, update；
24、对称算法解密, finish；
25、删除 aead 密钥；</t>
  </si>
  <si>
    <t>test_ske.py::test_ehsm_601</t>
  </si>
  <si>
    <t>EHSM-602</t>
  </si>
  <si>
    <t>分别使用Stream和SingleCall方式测试算法 AES-GCM-128/192/256 的加密和解密，对比加密和解密的数据</t>
  </si>
  <si>
    <t>test_ske.py::test_ehsm_602</t>
  </si>
  <si>
    <t>EHSM-603</t>
  </si>
  <si>
    <t>分别使用Stream和SingleCall方式测试算法 TDES-ECB-128/192 的加密和解密，对比加密和解密的数据</t>
  </si>
  <si>
    <t>test_ske.py::test_ehsm_603</t>
  </si>
  <si>
    <t>EHSM-604</t>
  </si>
  <si>
    <t>分别使用Stream和SingleCall方式测试算法 TDES-CBC-128/192 的加密和解密，对比加密和解密的数据</t>
  </si>
  <si>
    <t>test_ske.py::test_ehsm_604</t>
  </si>
  <si>
    <t>EHSM-605</t>
  </si>
  <si>
    <t>分别使用Stream和SingleCall方式测试算法 TDES-CFB-128/192 的加密和解密，对比加密和解密的数据</t>
  </si>
  <si>
    <t>test_ske.py::test_ehsm_605</t>
  </si>
  <si>
    <t>EHSM-606</t>
  </si>
  <si>
    <t>分别使用Stream和SingleCall方式测试算法 TDES-OFB-128/192 的加密和解密，对比加密和解密的数据</t>
  </si>
  <si>
    <t>test_ske.py::test_ehsm_606</t>
  </si>
  <si>
    <t>EHSM-607</t>
  </si>
  <si>
    <t>分别使用Stream和SingleCall方式测试算法 TDES-CTR-128/192 的加密和解密，对比加密和解密的数据</t>
  </si>
  <si>
    <t>test_ske.py::test_ehsm_607</t>
  </si>
  <si>
    <t>EHSM-608</t>
  </si>
  <si>
    <t>分别使用Stream和SingleCall方式测试算法 SM4-ECB-128 的加密和解密，对比加密和解密的数据</t>
  </si>
  <si>
    <t>test_ske.py::test_ehsm_608</t>
  </si>
  <si>
    <t>EHSM-609</t>
  </si>
  <si>
    <t>分别使用Stream和SingleCall方式测试算法 SM4-CBC-128 的加密和解密，对比加密和解密的数据</t>
  </si>
  <si>
    <t>test_ske.py::test_ehsm_609</t>
  </si>
  <si>
    <t>EHSM-610</t>
  </si>
  <si>
    <t>分别使用Stream和SingleCall方式测试算法 SM4-CFB-128 的加密和解密，对比加密和解密的数据</t>
  </si>
  <si>
    <t>test_ske.py::test_ehsm_610</t>
  </si>
  <si>
    <t>EHSM-611</t>
  </si>
  <si>
    <t>分别使用Stream和SingleCall方式测试算法 SM4-OFB-128 的加密和解密，对比加密和解密的数据</t>
  </si>
  <si>
    <t>test_ske.py::test_ehsm_611</t>
  </si>
  <si>
    <t>EHSM-612</t>
  </si>
  <si>
    <t>分别使用Stream和SingleCall方式测试算法 SM4-CTR-128 的加密和解密，对比加密和解密的数据</t>
  </si>
  <si>
    <t>test_ske.py::test_ehsm_612</t>
  </si>
  <si>
    <t>EHSM-614</t>
  </si>
  <si>
    <t>分别使用Stream和SingleCall方式测试算法 SM4-CCM-128 的加密和解密，对比加密和解密的数据</t>
  </si>
  <si>
    <t>test_ske.py::test_ehsm_614</t>
  </si>
  <si>
    <t>EHSM-615</t>
  </si>
  <si>
    <t>分别使用Stream和SingleCall方式测试算法 SM4-GCM-128 的加密和解密，对比加密和解密的数据</t>
  </si>
  <si>
    <t>test_ske.py::test_ehsm_615</t>
  </si>
  <si>
    <t>EHSM-616</t>
  </si>
  <si>
    <t>分别使用Stream和SingleCall方式测试算法 AES-ECB  PKCS7的加密和解密，对比加密和解密的数据</t>
  </si>
  <si>
    <t>1、导入对称密钥；
2、对称算法加密, onepass；
3、对称算法解密, onepass；
4、删除 symm 密钥；
5、导入对称密钥；
6、对称算法加密, onepass；
7、对称算法解密, onepass；
8、删除 symm 密钥；
9、导入对称密钥；
10、对称算法加密, init；
11、对称算法加密, update；
12、对称算法加密, finish；
13、对称算法解密, init；
14、对称算法解密, update；
15、对称算法解密, finish；
16、删除 symm 密钥；
17、导入对称密钥；
18、对称算法加密, init；
19、对称算法加密, update；
20、对称算法加密, finish；
21、对称算法解密, init；
22、对称算法解密, update；
23、对称算法解密, finish；
24、删除 symm 密钥；</t>
  </si>
  <si>
    <t>test_ske.py::test_ehsm_616</t>
  </si>
  <si>
    <t>EHSM-617</t>
  </si>
  <si>
    <t>分别使用Stream和SingleCall方式测试算法 AES-ECB  ONEWITHZEROS的加密和解密，对比加密和解密的数据</t>
  </si>
  <si>
    <t>test_ske.py::test_ehsm_617</t>
  </si>
  <si>
    <t>EHSM-618</t>
  </si>
  <si>
    <t>对SKE 命令输入异常参数测试，如错误算法、空地址、错误size</t>
  </si>
  <si>
    <t>1、测试数据生成: 算法 {algo}, 模式 {mode}, 输入长度 {input_size}；
2、导入对称密钥；
1、传入非法算法，其它参数保持正常；
2、传入非法模式，其它参数保持正常；
3、传入非法数据地址，其它参数正常；
4、传入非法数据长度，其它参数正常；
5、将测试数据存放到mailbox 通道，并发送到eHSM；并在发送前后获取定时器计数，并计算时间；
8、清理资源；</t>
  </si>
  <si>
    <t>1、执行成功；
2、发送成功；
3、发送成功；
4、发送成功；
5、发送成功；
6、读取成功，数据正确；
7、清理成功；</t>
  </si>
  <si>
    <t>test_ske.py::test_ehsm_618</t>
  </si>
  <si>
    <t>EHSM-619</t>
  </si>
  <si>
    <t>使用SingleCall方式测试算法 DES-ECB  PKCS7的加密和解密，对比加密和解密的数据</t>
  </si>
  <si>
    <t>test_ske.py::test_ehsm_619</t>
  </si>
  <si>
    <t>EHSM-620</t>
  </si>
  <si>
    <t>使用SingleCall方式测试算法 DES-ECB  ONEWITHZEROS的加密和解密</t>
  </si>
  <si>
    <t>1、导入对称密钥；
2、对称算法加密, onepass；
3、对称算法解密, onepass；
4、删除 symm 密钥；
5、导入对称密钥；
6、对称算法加密, onepass；
7、对称算法解密, onepass；
8、删除 symm 密钥；</t>
  </si>
  <si>
    <t>1、执行成功；
2、执行成功；
3、执行成功；
4、执行成功；
5、执行成功；
6、执行成功；
7、执行成功；
8、执行成功；</t>
  </si>
  <si>
    <t>test_ske.py::test_ehsm_620</t>
  </si>
  <si>
    <t>EHSM-6101</t>
  </si>
  <si>
    <t>使用SingleCall方式测试算法 AES-CBC-128/192/256 使用明文密钥的加密和解密，对比加密和解密的数据</t>
  </si>
  <si>
    <t>1、对称算法加密, onepass；
2、对称算法解密, onepass；
3、对称算法加密, onepass；
4、对称算法解密, onepass；</t>
  </si>
  <si>
    <t>1、执行成功；
2、执行成功；
3、执行成功；
4、执行成功；</t>
  </si>
  <si>
    <t>test_ske.py::test_ehsm_6101</t>
  </si>
  <si>
    <t>EHSM-S034</t>
  </si>
  <si>
    <t>分别使用Stream和SingleCall方式测试DES算法，input相关参数异常情况下的加解密功能</t>
  </si>
  <si>
    <t>1、生成测试数据 (消息长度: {n} 字节)；
2、Onepass处理模式下，测试input参数异常时（None/0）的加解密功能；
3、Onepass处理模式下，测试input参数异常时（正常数据/0）的加解密功能；
4、Onepass处理模式下，测试input参数异常时（None/正常长度）的加解密功能；
5、三段式处理模式下，测试input参数异常时（None/0）的加解密功能；
6、三段式处理模式下，测试input参数异常时（正常数据/0）的加解密功能；
7、三段式处理模式下，测试input参数异常时（None/正常长度）的加解密功能；</t>
  </si>
  <si>
    <t>1、生成数据成功；
2、加解密异常；
3、加解密正常；
4、加解密异常；
5、加解密异常；
6、加解密正常；
7、加解密异常；</t>
  </si>
  <si>
    <t>test_ske.py::test_ehsm_s034</t>
  </si>
  <si>
    <t>EHSM-S035</t>
  </si>
  <si>
    <t>分别使用Stream和SingleCall方式测试DES算法，iv相关参数异常时加解密功能</t>
  </si>
  <si>
    <t>1、生成测试数据 (消息长度: {n} 字节)；
2、Onepass处理模式下，测试iv参数异常时（None/0）的加解密功能；
3、Onepass处理模式下，测试iv参数异常时（None/正常长度）的加解密功能；
4、Onepass处理模式下，测试iv参数异常时（正常数据/0）的加解密功能；
5、三段式处理模式下，测试iv参数异常时（None/0）的加解密功能；
6、三段式处理模式下，测试iv参数异常时（None/正常长度）的加解密功能；
7、三段式处理模式下，测试iv参数异常时（正常数据/0）的加解密功能；</t>
  </si>
  <si>
    <t>1、生成数据成功；
2、加解密异常；
3、加解密异常；
4、加解密异常；
5、加解密异常；
6、加解密异常；
7、加解密异常；</t>
  </si>
  <si>
    <t>test_ske.py::test_ehsm_s035</t>
  </si>
  <si>
    <t>EHSM-S036</t>
  </si>
  <si>
    <t>使用Stream方式测试DES算法，context相关参数异常时加解密功能</t>
  </si>
  <si>
    <t>1、生成测试数据 (消息长度: {n} 字节)；
2、三段式处理模式下，测试context参数异常时（非空context）的加密功能；
3、三段式处理模式下，测试context参数异常时（非空context）的解密功能；</t>
  </si>
  <si>
    <t>1、生成数据成功；
2、加密异常；
3、解密异常；</t>
  </si>
  <si>
    <t>test_ske.py::test_ehsm_s036</t>
  </si>
  <si>
    <t>EHSM-S037</t>
  </si>
  <si>
    <t>分别使用Stream和SingleCall方式测试AES算法(不包括XTS，GCM，CCM模式 )，input相关参数异常情况下的加密功能</t>
  </si>
  <si>
    <t>1、生成测试数据 (消息长度: {n} 字节)；
2、Onepass处理模式下，测试input参数异常时（None/0）的加解密功能；
3、Onepass处理模式下，测试input参数异常时（正常数据/0）的加解密功能；
4、Onepass处理模式下，测试input参数异常时（None/正常长度）的加解密功能；
5、三段式处理模式下，测试input参数异常时（None/0）的加解密功能；
6、三段式处理模式下，测试input参数异常时（None/正常长度）的加解密功能；
7、三段式处理模式下，测试input参数异常时（正常数据/0）的加解密功能；</t>
  </si>
  <si>
    <t>1、生成数据成功；
2、加解密异常；
3、加解密正常；
4、加解密异常；
5、加解密异常；
6、加解密异常；
7、加解密正常；</t>
  </si>
  <si>
    <t>test_ske.py::test_ehsm_s037</t>
  </si>
  <si>
    <t>EHSM-S038</t>
  </si>
  <si>
    <t>分别使用Stream和SingleCall方式测试AES算法(不包括XTS，GCM，CCM模式 )，iv相关参数异常时加解密功能</t>
  </si>
  <si>
    <t>test_ske.py::test_ehsm_s038</t>
  </si>
  <si>
    <t>EHSM-S039</t>
  </si>
  <si>
    <t>使用Stream方式AES算法(不包括XTS，GCM，CCM模式 )，context相关参数异常时加解密功能</t>
  </si>
  <si>
    <t>test_ske.py::test_ehsm_s039</t>
  </si>
  <si>
    <t>EHSM-S040</t>
  </si>
  <si>
    <t>分别使用Stream和SingleCall方式测试SM4算法(不包括XTS，GCM，CCM模式 )，input相关参数异常情况下的加密功能</t>
  </si>
  <si>
    <t>1、生成数据成功；
2、加解密异常；
3、加解密正常；
4、加解密异常；
5、加解密异常；
6、加解密异常；
7、加解密异常；</t>
  </si>
  <si>
    <t>test_ske.py::test_ehsm_s040</t>
  </si>
  <si>
    <t>EHSM-S041</t>
  </si>
  <si>
    <t>分别使用Stream和SingleCall方式测试SM4算法(不包括XTS，GCM，CCM模式 )，iv相关参数异常时加解密功能</t>
  </si>
  <si>
    <t>test_ske.py::test_ehsm_s041</t>
  </si>
  <si>
    <t>EHSM-S042</t>
  </si>
  <si>
    <t>使用Stream方式SM4算法(不包括XTS，GCM，CCM模式 )，context相关参数异常时加解密功能</t>
  </si>
  <si>
    <t>test_ske.py::test_ehsm_s042</t>
  </si>
  <si>
    <t>EHSM-S043</t>
  </si>
  <si>
    <t>分别使用Stream和SingleCall方式测试TDES-128/192算法，input相关参数异常情况下的加密功能</t>
  </si>
  <si>
    <t>1、生成数据成功；
2、加解密异常；
3、加解密正常；
4、加解密正常；
5、加解密异常；
6、加解密异常；
7、加解密正常；</t>
  </si>
  <si>
    <t>test_ske.py::test_ehsm_s043</t>
  </si>
  <si>
    <t>EHSM-S044</t>
  </si>
  <si>
    <t>分别使用Stream和SingleCall方式测试TDES-128/192算法，iv相关参数异常时加解密功能</t>
  </si>
  <si>
    <t>test_ske.py::test_ehsm_s044</t>
  </si>
  <si>
    <t>EHSM-S045</t>
  </si>
  <si>
    <t>使用Stream方式TDES-128/192算法，context相关参数异常时加解密功能</t>
  </si>
  <si>
    <t>test_ske.py::test_ehsm_s045</t>
  </si>
  <si>
    <t>EHSM-S046</t>
  </si>
  <si>
    <t>使用明文密钥接口测试AES算法的OnePass和三段式处理时，input异常时加密和解密功能</t>
  </si>
  <si>
    <t>test_ske.py::test_ehsm_s046</t>
  </si>
  <si>
    <t>EHSM-S047</t>
  </si>
  <si>
    <t>使用明文密钥接口测试AES算法的OnePass和三段式处理时，plain_key异常时加密和解密功能</t>
  </si>
  <si>
    <t>1、生成测试数据 (消息长度: {n} 字节)；
2、Onepass处理模式下，测试plain_key参数异常时（None/0）的加解密功能；
3、Onepass处理模式下，测试plain_key参数异常时（正常数据/0）的加解密功能；
4、Onepass处理模式下，测试plain_key参数异常时（None/正常长度）的加解密功能；
5、三段式处理模式下，测试plain_key参数异常时（None/0）的加解密功能；
6、三段式处理模式下，测试plain_key参数异常时（正常数据/0）的加解密功能；
7、三段式处理模式下，测试plain_key参数异常时（None/正常长度）的加解密功能；</t>
  </si>
  <si>
    <t>1、生成数据成功；
2、加解密异常；
3、加解密异常；
4、加解密异常；
5、加解密异常；
6、加解密正常；
7、加解密异常；</t>
  </si>
  <si>
    <t>test_ske.py::test_ehsm_s047</t>
  </si>
  <si>
    <t>EHSM-S048</t>
  </si>
  <si>
    <t>使用明文密钥接口测试AES算法的OnePass和三段式处理时，iv异常时加密和解密功能</t>
  </si>
  <si>
    <t>1、生成测试数据 (消息长度: {n} 字节)；
2、Onepass处理模式下，测试iv参数异常时（None/0）的加解密功能；
3、Onepass处理模式下，测试iv参数异常时（正常数据/0）的加解密功能；
4、Onepass处理模式下，测试iv参数异常时（None/正常长度）的加解密功能；
5、三段式处理模式下，测试iv参数异常时（None/0）的加解密功能；
6、三段式处理模式下，测试iv参数异常时（正常数据/0）的加解密功能；
7、三段式处理模式下，测试iv参数异常时（None/正常长度）的加解密功能；</t>
  </si>
  <si>
    <t>test_ske.py::test_ehsm_s048</t>
  </si>
  <si>
    <t>EHSM-S049</t>
  </si>
  <si>
    <t>使用明文密钥接口测试AES算法的三段式模式，context异常时加密和解密功能</t>
  </si>
  <si>
    <t>1、生成测试数据 (消息长度: {n} 字节)；
2、三段式处理模式下，测试context参数异常时的加密功能；
3、三段式处理模式下，测试context参数异常时的解密功能；</t>
  </si>
  <si>
    <t>test_ske.py::test_ehsm_s049</t>
  </si>
  <si>
    <t>EHSM-S050</t>
  </si>
  <si>
    <t>使用明文密钥接口测试SM4算法的OnePass和三段式处理时，input异常时加密和解密功能</t>
  </si>
  <si>
    <t>1、生成数据成功；
2、加解密异常；
3、加解密正常；
4、加解密正常；
5、加解密异常；
6、加解密正常；
7、加解密异常；</t>
  </si>
  <si>
    <t>test_ske.py::test_ehsm_s050</t>
  </si>
  <si>
    <t>EHSM-S051</t>
  </si>
  <si>
    <t>使用明文密钥接口测试SM4算法的OnePass和三段式处理时，plain_key异常时加密和解密功能</t>
  </si>
  <si>
    <t>1、Onepass处理模式下，测试plain_key参数异常时（None/0）的加解密功能；
2、Onepass处理模式下，测试plain_key参数异常时（正常数据/0）的加解密功能；
3、Onepass处理模式下，测试plain_key参数异常时（None/正常长度）的加解密功能；
4、三段式处理模式下，测试plain_key参数异常时（None/0）的加解密功能；
5、三段式处理模式下，测试plain_key参数异常时（正常数据/0）的加解密功能；
6、三段式处理模式下，测试plain_key参数异常时（None/正常长度）的加解密功能；</t>
  </si>
  <si>
    <t>1、加解密异常；
2、加解密异常；
3、加解密异常；
4、加解密异常；
5、加解密正常；
6、加解密异常；</t>
  </si>
  <si>
    <t>test_ske.py::test_ehsm_s051</t>
  </si>
  <si>
    <t>EHSM-S052</t>
  </si>
  <si>
    <t>使用明文密钥接口测试SM4算法的OnePass模式和三段式处理时，iv异常时加密和解密功能</t>
  </si>
  <si>
    <t>test_ske.py::test_ehsm_s052</t>
  </si>
  <si>
    <t>EHSM-S053</t>
  </si>
  <si>
    <t>使用明文密钥接口测试SM4算法的三段式模式，context异常时加密和解密功能</t>
  </si>
  <si>
    <t>1、生成测试数据 (消息长度: {n} 字节)；
2、三段式处理模式下，测试context参数异常时的加密功能；
3、三段式处理模式下，测试context参数异常时的加密功能；</t>
  </si>
  <si>
    <t>1、生成数据成功；
2、加密异常；
3、加密异常；</t>
  </si>
  <si>
    <t>test_ske.py::test_ehsm_s053</t>
  </si>
  <si>
    <t>EHSM-S054</t>
  </si>
  <si>
    <t>分别使用Stream和SingleCall方式测试AES-XTS算法，input相关参数异常情况下的加解密功能</t>
  </si>
  <si>
    <t>1、生成数据成功；
2、加解密异常；
3、加解密异常；
4、加解密异常；
5、加解密异常；
6、加解密异常；
7、加解密正常；</t>
  </si>
  <si>
    <t>test_ske.py::test_ehsm_s054</t>
  </si>
  <si>
    <t>EHSM-S055</t>
  </si>
  <si>
    <t>分别使用Stream和SingleCall方式测试AES-XTS算法，iv相关参数异常时加解密功能</t>
  </si>
  <si>
    <t>test_ske.py::test_ehsm_s055</t>
  </si>
  <si>
    <t>EHSM-S056</t>
  </si>
  <si>
    <t>使用Stream方式AES-XTS算法，context相关参数异常时加解密功能</t>
  </si>
  <si>
    <t>test_ske.py::test_ehsm_s056</t>
  </si>
  <si>
    <t>EHSM-S057</t>
  </si>
  <si>
    <t>分别使用Stream和SingleCall方式测试SM4-XTS算法，input相关参数异常情况下的加解密功能</t>
  </si>
  <si>
    <t>test_ske.py::test_ehsm_s057</t>
  </si>
  <si>
    <t>EHSM-S058</t>
  </si>
  <si>
    <t>分别使用Stream和SingleCall方式测试SM4-XTS算法，iv相关参数异常时加解密功能</t>
  </si>
  <si>
    <t>test_ske.py::test_ehsm_s058</t>
  </si>
  <si>
    <t>EHSM-S059</t>
  </si>
  <si>
    <t>使用Stream方式SM4-XTS算法，context相关参数异常时加解密功能</t>
  </si>
  <si>
    <t>test_ske.py::test_ehsm_s059</t>
  </si>
  <si>
    <t>EHSM-S060</t>
  </si>
  <si>
    <t>分别使用Stream和SingleCall方式测试AES-XTS算法，input相关参数异常时加解密功能</t>
  </si>
  <si>
    <t>test_ske.py::test_ehsm_s060</t>
  </si>
  <si>
    <t>EHSM-S061</t>
  </si>
  <si>
    <t>分别使用Stream和SingleCall方式测试AES-XTS，iv异常时加密和解密功能</t>
  </si>
  <si>
    <t>test_ske.py::test_ehsm_s061</t>
  </si>
  <si>
    <t>EHSM-S062</t>
  </si>
  <si>
    <t>使用Stream方式测试AES-XTS算法，context异常时加密和解密功能</t>
  </si>
  <si>
    <t>test_ske.py::test_ehsm_s062</t>
  </si>
  <si>
    <t>EHSM-S063</t>
  </si>
  <si>
    <t>分别使用Stream和SingleCall方式测试AES-XTS算法，plain_key异常时加密和解密功能</t>
  </si>
  <si>
    <t>test_ske.py::test_ehsm_s063</t>
  </si>
  <si>
    <t>EHSM-S064</t>
  </si>
  <si>
    <t>分别使用Stream和SingleCall方式测试SM4-XTS算法，input相关参数异常时加解密功能</t>
  </si>
  <si>
    <t>test_ske.py::test_ehsm_s064</t>
  </si>
  <si>
    <t>EHSM-S065</t>
  </si>
  <si>
    <t>分别使用Stream和SingleCall方式测试SM4-XTS，iv异常时加密和解密功能</t>
  </si>
  <si>
    <t>test_ske.py::test_ehsm_s065</t>
  </si>
  <si>
    <t>EHSM-S066</t>
  </si>
  <si>
    <t>使用Stream测试SM4-XTS算法，context异常时加密和解密功能</t>
  </si>
  <si>
    <t>test_ske.py::test_ehsm_s066</t>
  </si>
  <si>
    <t>EHSM-S067</t>
  </si>
  <si>
    <t>分别使用Stream和SingleCall方式测试SM4-XTS算法，plain_key异常时加密和解密功能</t>
  </si>
  <si>
    <t>test_ske.py::test_ehsm_s067</t>
  </si>
  <si>
    <t>EHSM-S068</t>
  </si>
  <si>
    <t>测试AES-GCM算法在input异常时加密和解密功能</t>
  </si>
  <si>
    <t>1、生成数据成功；
2、加解密正常；
3、加解密正常；
4、加解密异常；
5、加解密异常；
6、加解密正常；
7、加解密异常；</t>
  </si>
  <si>
    <t>test_ske.py::test_ehsm_s068</t>
  </si>
  <si>
    <t>EHSM-S069</t>
  </si>
  <si>
    <t>测试AES-GCM算法在iv异常时加密和解密功能</t>
  </si>
  <si>
    <t>1、生成测试数据 (消息长度: {n} 字节)；
2、Onepass处理模式下，测试参数iv异常时（None/0）的加解密功能；
3、Onepass处理模式下，测试参数iv异常时（正常数据/0）的加解密功能；
4、Onepass处理模式下，测试iv参数异常时（None/正常长度）的加解密功能；
5、三段式处理模式下，测试参数iv异常时（None/0）的加解密功能；
6、三段式处理模式下，测试参数iv异常时（正常数据/0）的加解密功能；
7、三段式处理模式下，测试参数iv异常时（None/正常长度）的加解密功能；</t>
  </si>
  <si>
    <t>1、生成数据成功；
2、加解密正常；
3、加解密异常；
4、加解密异常；
5、加解密异常；
6、加解密正常；
7、加解密异常；</t>
  </si>
  <si>
    <t>test_ske.py::test_ehsm_s069</t>
  </si>
  <si>
    <t>EHSM-S070</t>
  </si>
  <si>
    <t>测试AES-GCM算法在context异常时加密和解密功能</t>
  </si>
  <si>
    <t>1、生成测试数据 (消息长度: {n} 字节)；
2、三段式处理模式下，测试参数context异常时（正常数据/正常长度）的加解密功能；</t>
  </si>
  <si>
    <t>1、生成数据成功；
2、加解密异常；</t>
  </si>
  <si>
    <t>test_ske.py::test_ehsm_s070</t>
  </si>
  <si>
    <t>EHSM-S071</t>
  </si>
  <si>
    <t>使用onepass和Stream处理方式测试AES-GCM算法，在tag异常时的解密功能</t>
  </si>
  <si>
    <t>1、生成测试数据 (消息长度: {n} 字节)；
2、Onepass处理模式下，测试参数tag异常时（None/0）的解密功能；
3、Onepass处理模式下，测试参数tag异常时（正常数据/0）的解密功能；
4、Onepass处理模式下，测试tag参数异常时（None/正常长度）的加解密功能；
5、三段式处理模式下，测试参数tag异常时（None/0）的解密功能；
6、三段式处理模式下，测试参数tag异常时（正常数据/0）的加解密功能；
7、三段式处理模式下，测试参数tag异常时（None/正常长度）的加解密功能；</t>
  </si>
  <si>
    <t>1、生成数据成功；
2、解密异常；
3、解密正常；
4、加解密异常；
5、解密异常；
6、加解密正常；
7、加解密异常；</t>
  </si>
  <si>
    <t>test_ske.py::test_ehsm_s071</t>
  </si>
  <si>
    <t>EHSM-S072</t>
  </si>
  <si>
    <t>使用onepass和Stream处理方式测试AES-GCM算法，在aad异常时的解密功能</t>
  </si>
  <si>
    <t>1、生成测试数据 (消息长度: {n} 字节)；
2、Onepass处理模式下，测试参数aad异常时（None/0）的解密功能；
3、Onepass处理模式下，测试参数aad异常时（正常数据/0）的解密功能；
4、Onepass处理模式下，测试参数aad异常时（None/正常长度）的加解密功能；
5、三段式处理模式下，测试参数aad异常时（None/0）的加解密功能；
6、三段式处理模式下，测试参数aad异常时（正常数据/0）的加解密功能；
7、三段式处理模式下，测试参数aad异常时（None/正常长度）的加解密功能；</t>
  </si>
  <si>
    <t>test_ske.py::test_ehsm_s072</t>
  </si>
  <si>
    <t>EHSM-S073</t>
  </si>
  <si>
    <t>测试SM4-GCM算法在input异常时加密和解密功能</t>
  </si>
  <si>
    <t>test_ske.py::test_ehsm_s073</t>
  </si>
  <si>
    <t>EHSM-S074</t>
  </si>
  <si>
    <t>测试SM4-GCM算法在iv异常时加密和解密功能</t>
  </si>
  <si>
    <t>test_ske.py::test_ehsm_s074</t>
  </si>
  <si>
    <t>EHSM-S075</t>
  </si>
  <si>
    <t>测试SM4-GCM算法在context异常时加密和解密功能</t>
  </si>
  <si>
    <t>test_ske.py::test_ehsm_s075</t>
  </si>
  <si>
    <t>EHSM-S076</t>
  </si>
  <si>
    <t>使用onepass和Stream处理方式测试SM4-GCM算法，在tag异常时的解密功能</t>
  </si>
  <si>
    <t>test_ske.py::test_ehsm_s076</t>
  </si>
  <si>
    <t>EHSM-S077</t>
  </si>
  <si>
    <t>使用onepass和Stream处理方式测试SM4-GCM算法，在aad异常时的解密功能</t>
  </si>
  <si>
    <t>test_ske.py::test_ehsm_s077</t>
  </si>
  <si>
    <t>EHSM-S078</t>
  </si>
  <si>
    <t>使用明文密钥接口分别在onepass和Stream处理方式测试AES-GCM算法，在plain_key异常时的加解密功能</t>
  </si>
  <si>
    <t>1、生成测试数据 (消息长度: {n} 字节)；
2、Onepass处理模式下，测试参数plain_key异常时（None/0）的解密功能；
3、Onepass处理模式下，测试参数plain_key异常时（正常数据/0）的解密功能；
4、Onepass处理模式下，测试参数plain_key异常时（None/正常长度）的加解密功能；
5、三段式处理模式下，测试参数plain_key异常时（None/0）的加解密功能；
6、三段式处理模式下，测试参数plain_key异常时（正常数据/0）的加解密功能；
7、三段式处理模式下，测试参数plain_key异常时（None/正常长度）的加解密功能；</t>
  </si>
  <si>
    <t>test_ske.py::test_ehsm_s078</t>
  </si>
  <si>
    <t>EHSM-S084</t>
  </si>
  <si>
    <t>使用明文密钥接口测试onepass和Stream处理方式测试SM4-GCM算法，在plain_key异常时的加解密功能</t>
  </si>
  <si>
    <t>test_ske.py::test_ehsm_s084</t>
  </si>
  <si>
    <t>EHSM-S091</t>
  </si>
  <si>
    <t>测试AES-CCM算法在input异常时加密和解密功能</t>
  </si>
  <si>
    <t>test_ske.py::test_ehsm_s091</t>
  </si>
  <si>
    <t>EHSM-S092</t>
  </si>
  <si>
    <t>测试AES-CCM算法在iv异常时加密和解密功能</t>
  </si>
  <si>
    <t>test_ske.py::test_ehsm_s092</t>
  </si>
  <si>
    <t>EHSM-S093</t>
  </si>
  <si>
    <t>测试AES-CCM算法在context异常时加密和解密功能</t>
  </si>
  <si>
    <t>test_ske.py::test_ehsm_s093</t>
  </si>
  <si>
    <t>EHSM-S094</t>
  </si>
  <si>
    <t>使用onepass和Stream处理方式测试AES-CCM算法，在tag异常时的解密功能</t>
  </si>
  <si>
    <t>test_ske.py::test_ehsm_s094</t>
  </si>
  <si>
    <t>EHSM-S095</t>
  </si>
  <si>
    <t>测试AES-CCM算法在aad异常时加密和解密功能</t>
  </si>
  <si>
    <t>1、生成测试数据 (消息长度: {n} 字节)；
2、Onepass处理模式下，测试参数aad异常时（None/0）的加解密功能；
3、Onepass处理模式下，测试参数aad异常时（正常数据/0）的加解密功能；
4、Onepass处理模式下，测试参数aad异常时（None/正常长度）的加解密功能；
5、三段式处理模式下，测试参数aad异常时（None/0）的加解密功能；
6、三段式处理模式下，测试参数aad异常时（正常数据/0）的加解密功能；
7、三段式处理模式下，测试参数aad异常时（None/正常长度）的加解密功能；</t>
  </si>
  <si>
    <t>test_ske.py::test_ehsm_s095</t>
  </si>
  <si>
    <t>EHSM-S096</t>
  </si>
  <si>
    <t>测试SM4-CCM算法在input异常时加密和解密功能</t>
  </si>
  <si>
    <t>test_ske.py::test_ehsm_s096</t>
  </si>
  <si>
    <t>EHSM-S097</t>
  </si>
  <si>
    <t>测试SM4-CCM算法在iv异常时加密和解密功能</t>
  </si>
  <si>
    <t>test_ske.py::test_ehsm_s097</t>
  </si>
  <si>
    <t>EHSM-S098</t>
  </si>
  <si>
    <t>测试SM4-CCM算法在context异常时加密和解密功能</t>
  </si>
  <si>
    <t>test_ske.py::test_ehsm_s098</t>
  </si>
  <si>
    <t>EHSM-S099</t>
  </si>
  <si>
    <t>使用onepass和Stream处理方式测试SM4-CCM算法，在tag异常时的解密功能</t>
  </si>
  <si>
    <t>1、生成测试数据 (消息长度: {n} 字节)；
2、Onepass处理模式下，测试参数tag异常时（None/0）的解密功能；
3、Onepass处理模式下，测试参数tag异常时（正常数据/0）的解密功能；
4、Onepass处理模式下，测试tag参数异常时（None/正常长度）的解密功能；
5、三段式处理模式下，测试参数tag异常时（None/0）的解密功能；
6、三段式处理模式下，测试参数tag异常时（正常数据/0）的加解密功能；
7、三段式处理模式下，测试参数tag异常时（None/正常长度）的加解密功能；</t>
  </si>
  <si>
    <t>test_ske.py::test_ehsm_s099</t>
  </si>
  <si>
    <t>EHSM-S100</t>
  </si>
  <si>
    <t>测试SM4-CCM算法在aad异常时加密和解密功能</t>
  </si>
  <si>
    <t>test_ske.py::test_ehsm_s100</t>
  </si>
  <si>
    <t>EHSM-S155</t>
  </si>
  <si>
    <t>分别使用Stream和SingleCall方式测试算法 DES-CBC ISO7816的加密和解密，对比加密和解密的数据</t>
  </si>
  <si>
    <t>test_ske.py::test_ehsm_s155</t>
  </si>
  <si>
    <t>EHSM-S156</t>
  </si>
  <si>
    <t>分别使用Stream和SingleCall方式测试算法 TDES-ECB ISO7816的加密和解密，对比加密和解密的数据</t>
  </si>
  <si>
    <t>test_ske.py::test_ehsm_s156</t>
  </si>
  <si>
    <t>EHSM-S157</t>
  </si>
  <si>
    <t>分别使用Stream和SingleCall方式测试算法 TDES-CBC ISO7816的加密和解密，对比加密和解密的数据</t>
  </si>
  <si>
    <t>test_ske.py::test_ehsm_s157</t>
  </si>
  <si>
    <t>EHSM-S158</t>
  </si>
  <si>
    <t>分别使用Stream和SingleCall方式测试算法 AES-CBC ISO7816的加密和解密，对比加密和解密的数据</t>
  </si>
  <si>
    <t>test_ske.py::test_ehsm_s158</t>
  </si>
  <si>
    <t>EHSM-S159</t>
  </si>
  <si>
    <t>分别使用Stream和SingleCall方式测试算法 SM4-ECB PKCS7的加密和解密，对比加密和解密的数据</t>
  </si>
  <si>
    <t>test_ske.py::test_ehsm_s159</t>
  </si>
  <si>
    <t>EHSM-S160</t>
  </si>
  <si>
    <t>分别使用Stream和SingleCall方式测试算法 SM4-CBC PKCS7的加密和解密，对比加密和解密的数据</t>
  </si>
  <si>
    <t>test_ske.py::test_ehsm_s160</t>
  </si>
  <si>
    <t>EHSM_S178</t>
  </si>
  <si>
    <t>正常input_sz=1024，output计算正确（BUG-08正路径）</t>
  </si>
  <si>
    <t>1、AES-128 CBC加密input_size=1024字节；</t>
  </si>
  <si>
    <t>1、正常成功；</t>
  </si>
  <si>
    <t>test_ske.py::test_ehsm_s178</t>
  </si>
  <si>
    <t>EHSM_S179</t>
  </si>
  <si>
    <t>input_sz=0xFFFFFFF0（溢出触发点），拒绝（BUG-08 P0）</t>
  </si>
  <si>
    <t>1、确认正常路径有效；
2、AES-128 CBC input=0xFFFFFFF0；</t>
  </si>
  <si>
    <t>test_ske.py::test_ehsm_s179</t>
  </si>
  <si>
    <t>EHSM_S180</t>
  </si>
  <si>
    <t>input_sz=UINT32_MAX，拒绝（BUG-08）</t>
  </si>
  <si>
    <t>1、确认AES-128 CBC正常加密正路径有效；
2、AES-128 CBC input=0xFFFFFFFF；</t>
  </si>
  <si>
    <t>test_ske.py::test_ehsm_s180</t>
  </si>
  <si>
    <t>EHSM_S181</t>
  </si>
  <si>
    <t>AES/SM4遍历，各算法溢出边界均正确拒绝（BUG-08 P0）</t>
  </si>
  <si>
    <t>1、{algo} input=UINT32_MAX-block_sz+1；</t>
  </si>
  <si>
    <t>test_ske.py::test_ehsm_s181</t>
  </si>
  <si>
    <t>soc_verify</t>
  </si>
  <si>
    <t>EHSM-895</t>
  </si>
  <si>
    <t>在Test模式下，测试 AES-CMAC(128 or 256)算法签名，AES-CBC(128 or 256)算法加密的eHSM加密算法密钥，SOC-eHSM校验镜像的校验流程</t>
  </si>
  <si>
    <t>1、生成OTP数据配置；
2、写入OTP数据并重置eHSM，等待启动完成；
3、生成启动镜像；
4、执行镜像验证并比对结果；</t>
  </si>
  <si>
    <t>1、配置生成成功；
2、写入成功，eHSM启动完成；
3、启动镜像生成成功；
4、验证成功，镜像内容正确；</t>
  </si>
  <si>
    <t>test_soc_verify.py::test_ehsm_895</t>
  </si>
  <si>
    <t>EHSM-896</t>
  </si>
  <si>
    <t>在Test模式下，测试 RSA-2048算法签名，AES-CBC(128 or 256)算法加密的eHSM加密算法密钥，SOC-eHSM校验镜像的校验流程</t>
  </si>
  <si>
    <t>test_soc_verify.py::test_ehsm_896</t>
  </si>
  <si>
    <t>EHSM-897</t>
  </si>
  <si>
    <t>在Test模式下，测试 RSA-3072算法签名，AES-CBC(128 or 256)算法加密的eHSM加密算法密钥，SOC-eHSM校验镜像的校验流程</t>
  </si>
  <si>
    <t>test_soc_verify.py::test_ehsm_897</t>
  </si>
  <si>
    <t>EHSM-898</t>
  </si>
  <si>
    <t>在Test模式下，测试 ECC-P256R1算法签名，AES-CBC(128 or 256)算法加密的eHSM加密算法密钥，SOC-eHSM校验镜像的校验流程</t>
  </si>
  <si>
    <t>test_soc_verify.py::test_ehsm_898</t>
  </si>
  <si>
    <t>EHSM-899</t>
  </si>
  <si>
    <t>在Test模式下，测试 SM4-CMAC算法签名，SM4-CBC算法加密的eHSM加密算法密钥，SOC-eHSM校验镜像的校验流程</t>
  </si>
  <si>
    <t>test_soc_verify.py::test_ehsm_899</t>
  </si>
  <si>
    <t>EHSM-900</t>
  </si>
  <si>
    <t>在Test模式下，测试SM2算法签名，SM4-CBC算法加密的eHSM加密算法密钥，SOC-eHSM校验镜像的校验流程</t>
  </si>
  <si>
    <t>test_soc_verify.py::test_ehsm_900</t>
  </si>
  <si>
    <t>EHSM-901</t>
  </si>
  <si>
    <t>在User模式下，校验SOC-eHSM镜像的校验流程</t>
  </si>
  <si>
    <t>test_soc_verify.py::test_ehsm_901</t>
  </si>
  <si>
    <t>EHSM-902</t>
  </si>
  <si>
    <t>在Dev模式下，校验SOC-eHSM镜像的校验流程</t>
  </si>
  <si>
    <t>test_soc_verify.py::test_ehsm_902</t>
  </si>
  <si>
    <t>EHSM-903</t>
  </si>
  <si>
    <t>在MANU模式下，校验SOC-eHSM镜像的校验流程</t>
  </si>
  <si>
    <t>test_soc_verify.py::test_ehsm_903</t>
  </si>
  <si>
    <t>EHSM-904</t>
  </si>
  <si>
    <t>在DEBUG模式下，校验SOC-eHSM镜像的校验流程</t>
  </si>
  <si>
    <t>test_soc_verify.py::test_ehsm_904</t>
  </si>
  <si>
    <t>EHSM-905</t>
  </si>
  <si>
    <t>在Dev模式下，测试 AES-CMAC(128 or 256)算法签名，AES-CBC(128 or 256)算法加密的SOC加密算法密钥，SOC校验镜像的校验流程</t>
  </si>
  <si>
    <t>test_soc_verify.py::test_ehsm_905</t>
  </si>
  <si>
    <t>EHSM-906</t>
  </si>
  <si>
    <t>在Test模式下，测试 RSA-2048算法签名，AES-CBC(128 or 256)算法加密的SOC加密算法密钥，SOC校验镜像的校验流程</t>
  </si>
  <si>
    <t>test_soc_verify.py::test_ehsm_906</t>
  </si>
  <si>
    <t>EHSM-907</t>
  </si>
  <si>
    <t>在Manu模式下，测试 RSA-3072算法签名，AES-CBC(128 or 256)算法加密的SOC加密算法密钥，SOC校验镜像的校验流程</t>
  </si>
  <si>
    <t>test_soc_verify.py::test_ehsm_907</t>
  </si>
  <si>
    <t>EHSM-908</t>
  </si>
  <si>
    <t>在User模式下，测试 ECC-P256R1算法签名，AES-CBC(128 or 256)算法加密的SOC加密算法密钥，SOC校验镜像的校验流程</t>
  </si>
  <si>
    <t>test_soc_verify.py::test_ehsm_908</t>
  </si>
  <si>
    <t>EHSM-909</t>
  </si>
  <si>
    <t>在Debug模式下，测试 SM4-CMAC算法签名，SM4-CBC算法加密的SOC加密算法密钥，SOC校验镜像的校验流程</t>
  </si>
  <si>
    <t>test_soc_verify.py::test_ehsm_909</t>
  </si>
  <si>
    <t>EHSM-910</t>
  </si>
  <si>
    <t>在Test模式下，测试SM2算法签名，SM4-CBC算法加密的SOC加密算法密钥，SOC校验镜像的校验流程</t>
  </si>
  <si>
    <t>test_soc_verify.py::test_ehsm_910</t>
  </si>
  <si>
    <t>EHSM-911</t>
  </si>
  <si>
    <t>在Test模式下，测试 RSA-2048算法签名，不加密的明文SOC_eHSM自启动镜像的校验流程</t>
  </si>
  <si>
    <t>test_soc_verify.py::test_ehsm_911</t>
  </si>
  <si>
    <t>EHSM-912</t>
  </si>
  <si>
    <t>在Dev模式下，测试 RSA-2048算法签名，不加密的明文SOC_eHSM自启动镜像的校验流程</t>
  </si>
  <si>
    <t>test_soc_verify.py::test_ehsm_912</t>
  </si>
  <si>
    <t>EHSM-913</t>
  </si>
  <si>
    <t>在User模式下，测试 RSA-2048算法签名，不加密的明文SOC_eHSM自启动镜像的校验流程</t>
  </si>
  <si>
    <t>test_soc_verify.py::test_ehsm_913</t>
  </si>
  <si>
    <t>EHSM-914</t>
  </si>
  <si>
    <t>在Debug模式下，测试 RSA-3072算法签名，不加密的明文SOC_eHSM自启动镜像的校验流程</t>
  </si>
  <si>
    <t>test_soc_verify.py::test_ehsm_914</t>
  </si>
  <si>
    <t>EHSM-915</t>
  </si>
  <si>
    <t>在Test模式下，测试 ECC-P256R1算法签名，不加密的明文SOC_eHSM自启动镜像的校验流程</t>
  </si>
  <si>
    <t>test_soc_verify.py::test_ehsm_915</t>
  </si>
  <si>
    <t>EHSM-916</t>
  </si>
  <si>
    <t>在Test模式下，测试 AES-CBC(128 or 256)算法签名，不加密的明文SOC自启动镜像的版本校验失败流程</t>
  </si>
  <si>
    <t>1、生成带有高版本计数器的OTP数据配置；
2、写入OTP数据并重置eHSM，等待启动完成；
3、生成低版本号的启动镜像；
4、执行镜像验证并验证版本检查失败；</t>
  </si>
  <si>
    <t>1、配置生成成功；
2、写入成功，eHSM启动完成；
3、启动镜像生成成功；
4、版本校验失败（预期结果）；</t>
  </si>
  <si>
    <t>test_soc_verify.py::test_ehsm_916</t>
  </si>
  <si>
    <t>EHSM-917</t>
  </si>
  <si>
    <t>在Test模式下，测试 AES-CBC(128 or 256)算法签名，不加密的明文SOC自启动镜像的较小版本校验流程</t>
  </si>
  <si>
    <t>1、生成OTP数据配置；
2、写入OTP数据并重置eHSM，等待启动完成；
3、生成高版本号的启动镜像；
4、执行镜像验证并比对结果；</t>
  </si>
  <si>
    <t>test_soc_verify.py::test_ehsm_917</t>
  </si>
  <si>
    <t>EHSM-918</t>
  </si>
  <si>
    <t>在Test模式下，测试校验接口对异常参数的处理过程</t>
  </si>
  <si>
    <t>1、生成OTP数据配置；
2、写入OTP数据并重置eHSM，等待启动完成；
3、测试非法镜像类型参数验证失败；
4、测试非法镜像大小参数验证失败；
5、测试非法明文标志参数验证失败；
6、测试非法镜像所有者标志参数验证失败；
7、使用正常参数验证基本功能；</t>
  </si>
  <si>
    <t>1、配置生成成功；
2、写入成功，eHSM启动完成；
3、验证失败（预期结果）；
4、验证失败（预期结果）；
5、验证失败（预期结果）；
6、验证失败（预期结果）；
7、验证成功，镜像内容正确；</t>
  </si>
  <si>
    <t>test_soc_verify.py::test_ehsm_918</t>
  </si>
  <si>
    <t>EHSM-919</t>
  </si>
  <si>
    <t>在TEST模式下，测试 AES-CBC(128 or 256)算法签名，不加密的明文SOC自启动镜像，Upgrade_Valid_Flag数据和预期不一致会导致升级失败</t>
  </si>
  <si>
    <t>1、生成OTP数据配置；
2、写入OTP数据并重置eHSM，等待启动完成；
3、生成带有非法Valid_Flag的镜像；
4、执行镜像验证并验证Valid_Flag检查失败；</t>
  </si>
  <si>
    <t>1、配置生成成功；
2、写入成功，eHSM启动完成；
3、损坏镜像生成成功；
4、验证失败（预期结果）；</t>
  </si>
  <si>
    <t>test_soc_verify.py::test_ehsm_919</t>
  </si>
  <si>
    <t>EHSM-920</t>
  </si>
  <si>
    <t>在Test 模式下，测试AES-CMAC(128 or 256)校验算法配置下，AES-CMAC(128 or 256)算法签名区域被篡改后的 soc 固件镜像的安全校验过程</t>
  </si>
  <si>
    <t>1、生成OTP数据配置；
2、写入OTP数据并重置eHSM，等待启动完成；
3、生成带有被篡改签名的镜像；
4、执行镜像验证并验证签名检查失败；</t>
  </si>
  <si>
    <t>test_soc_verify.py::test_ehsm_920</t>
  </si>
  <si>
    <t>EHSM-921</t>
  </si>
  <si>
    <t>在Test 模式下，测试固件对 eHSM 固件镜像（不支持的镜像）的安全校验过程</t>
  </si>
  <si>
    <t>1、生成OTP数据配置；
2、写入OTP数据并重置eHSM，等待启动完成；
3、生成eHSM类型镜像；
4、执行SOC验证不支持的eHSM镜像；</t>
  </si>
  <si>
    <t>1、配置生成成功；
2、写入成功，eHSM启动完成；
3、eHSM镜像生成成功；
4、验证失败（预期结果）；</t>
  </si>
  <si>
    <t>test_soc_verify.py::test_ehsm_921</t>
  </si>
  <si>
    <t>EHSM-SV001</t>
  </si>
  <si>
    <t>在Test模式下，测试 AES-CMAC(128 or 256)算法签名，AES-CBC(128 or 256)算法加密的eHSM加密算法密钥，SOC-eHSM校验镜像异常情况下的校验流程</t>
  </si>
  <si>
    <t>1、生成OTP数据配置；
2、写入OTP数据并重置eHSM，等待启动完成；
3、生成启动镜像；
4、传入空镜像(None/0)进行验证；
5、传入空镜像(None/正常长度)进行验证；
6、传入空镜像(正常地址/0)进行验证；
7、check_version传入保留值（2）传入进行验证；
8、传入空的image_out_addr（0）进行验证；</t>
  </si>
  <si>
    <t>1、配置生成成功；
2、写入成功，eHSM启动完成；
3、启动镜像生成成功；
4、验证失败，镜像内容错误；
4、验证失败，镜像内容错误；
4、验证失败，镜像内容错误；
4、验证成功，镜像内容正确；
4、验证成功，镜像内容正确；</t>
  </si>
  <si>
    <t>test_soc_verify.py::test_ehsm_sv001</t>
  </si>
  <si>
    <t>trng</t>
  </si>
  <si>
    <t>EHSM-643</t>
  </si>
  <si>
    <t>测试随机数的生成，最小长度随机数，最少生成10次，并与上次生成的数据做对比</t>
  </si>
  <si>
    <t>1、准备随机数命令，配置长度为最小长度；
2、发送随机数命令，并获取随机数；
3、读取随机数，并保存，与上一次生成的随机数进行比较；
4、循环2/3 10次；</t>
  </si>
  <si>
    <t>1、配置成功；
2、读取成功，数据正确；
3、读取成功，数据正确；
4、执行成功；</t>
  </si>
  <si>
    <t>test_trng.py::test_ehsm_643</t>
  </si>
  <si>
    <t>EHSM-644</t>
  </si>
  <si>
    <t>测试随机数的生成，最大长度随机数，最少生成10次，并与上次生成的数据做对比</t>
  </si>
  <si>
    <t>1、准备随机数命令，配置长度为最大长度；
2、发送随机数命令，并获取随机数；
3、读取随机数，并保存，与上一次生成的随机数进行比较；
4、循环2/3 10次；</t>
  </si>
  <si>
    <t>test_trng.py::test_ehsm_644</t>
  </si>
  <si>
    <t>EHSM-645</t>
  </si>
  <si>
    <t>生成随机数，使用 CTRDBG_SM4算法</t>
  </si>
  <si>
    <t>1、准备随机数命令，配置算法为SM4_CTRDRBG，长度固定；
2、发送随机数命令，并获取随机数；
3、读取随机数，并保存，与上一次生成的随机数进行比较；
4、将测试数据存放到mailbox 通道，并发送到eHSM；并在发送前后获取定时器计数，并计算时间；
5、循环2/3 10次；</t>
  </si>
  <si>
    <t>1、配置成功；
2、读取成功，数据正确；
3、读取成功，数据正确；
4、读取成功，数据正确；
5、执行成功；</t>
  </si>
  <si>
    <t>test_trng.py::test_ehsm_645</t>
  </si>
  <si>
    <t>EHSM-646</t>
  </si>
  <si>
    <t>生成随机数，使用 CTRDBG_AES算法</t>
  </si>
  <si>
    <t>1、准备随机数命令，配置算法为AES_CTRDRBG，长度固定；
2、发送随机数命令，并获取随机数；
3、读取随机数，并保存，与上一次生成的随机数进行比较；
4、将测试数据存放到mailbox 通道，并发送到eHSM；并在发送前后获取定时器计数，并计算时间；
5、循环2/3 10次；</t>
  </si>
  <si>
    <t>test_trng.py::test_ehsm_646</t>
  </si>
  <si>
    <t>EHSM-647</t>
  </si>
  <si>
    <t>随机数生成测试，使用非法的算法。</t>
  </si>
  <si>
    <t>1、准备随机数命令，配置算法为非法值，长度固定；
2、发送随机数命令，并获取随机数；
3、将测试数据存放到mailbox 通道，并发送到eHSM；并在发送前后获取定时器计数，并计算时间；</t>
  </si>
  <si>
    <t>1、配置成功；
2、读取成功，数据正确；
3、读取成功，数据正确；</t>
  </si>
  <si>
    <t>test_trng.py::test_ehsm_647</t>
  </si>
  <si>
    <t>EHSM-T001</t>
  </si>
  <si>
    <t>随机数生成测试，使用非法的随机数据地址。</t>
  </si>
  <si>
    <t>1、准备随机数命令，配置随机数据地址为非法值，长度为0；
2、发送随机数命令，并获取随机数；
3、将测试数据存放到mailbox 通道，并发送到eHSM；并在发送前后获取定时器计数，并计算时间；</t>
  </si>
  <si>
    <t>test_trng.py::test_ehsm_t001</t>
  </si>
  <si>
    <t>upgrade</t>
  </si>
  <si>
    <t>EHSM-1757</t>
  </si>
  <si>
    <t>在User模式下，测试 AES128-CMAC算法签名，AES-CBC(128 or 256)算法加密的eHSM升级镜像，内部启动镜像明文时，升级成功校验成功</t>
  </si>
  <si>
    <t>1、生成OTP数据配置；
2、写入OTP数据并重置eHSM，等待启动完成；
3、生成升级镜像；
4、执行镜像升级并验证输出镜像内容；</t>
  </si>
  <si>
    <t>1、配置生成成功；
2、写入成功，eHSM启动完成；
3、升级镜像生成成功；
4、升级成功，镜像内容验证通过；</t>
  </si>
  <si>
    <t>test_upgrade.py::test_ehsm_1757</t>
  </si>
  <si>
    <t>EHSM-1758</t>
  </si>
  <si>
    <t>在User模式下，测试 AES128-CMAC算法签名，AES-CBC(128 or 256)算法加密的SOC_HSMK升级镜像，内部启动镜像明文时，升级成功校验成功</t>
  </si>
  <si>
    <t>1、生成OTP数据配置；
2、写入OTP数据并重置eHSM，等待启动完成；
3、生成升级镜像；
4、执行镜像升级并验证输出镜像内容；
5、执行镜像验证并比对结果；</t>
  </si>
  <si>
    <t>1、配置生成成功；
2、写入成功，eHSM启动完成；
3、升级镜像生成成功；
4、升级成功，镜像内容验证通过；
5、验证成功，镜像内容正确；</t>
  </si>
  <si>
    <t>test_upgrade.py::test_ehsm_1758</t>
  </si>
  <si>
    <t>EHSM-1759</t>
  </si>
  <si>
    <t>在User模式下，测试 AES128-CMAC算法签名，AES-CBC(128 or 256)算法加密的SOC_SOCK升级镜像，内部启动镜像明文时，升级成功校验成功</t>
  </si>
  <si>
    <t>test_upgrade.py::test_ehsm_1759</t>
  </si>
  <si>
    <t>EHSM-1760</t>
  </si>
  <si>
    <t>在User模式下，测试 SM2算法签名，SM4-CBC算法加密的eHSM升级镜像，内部启动镜像明文时，升级成功校验成功</t>
  </si>
  <si>
    <t>test_upgrade.py::test_ehsm_1760</t>
  </si>
  <si>
    <t>EHSM-1761</t>
  </si>
  <si>
    <t>在User模式下，测试 SM2算法签名，SM4-CBC算法加密的SOC_HSMK升级镜像，内部启动镜像明文时，升级成功校验成功</t>
  </si>
  <si>
    <t>test_upgrade.py::test_ehsm_1761</t>
  </si>
  <si>
    <t>EHSM-1762</t>
  </si>
  <si>
    <t>在User模式下，测试 SM2算法签名，SM4-CBC算法加密的SOC_SOCK升级镜像，内部启动镜像明文时，升级成功校验成功</t>
  </si>
  <si>
    <t>test_upgrade.py::test_ehsm_1762</t>
  </si>
  <si>
    <t>EHSM-852</t>
  </si>
  <si>
    <t>在DEV模式下，测试 AES-CMAC(128 or 256)算法签名，AES-CBC(128 or 256)算法加密的eHSM升级镜像的升级流程</t>
  </si>
  <si>
    <t>test_upgrade.py::test_ehsm_852</t>
  </si>
  <si>
    <t>EHSM-853</t>
  </si>
  <si>
    <t>在TEST模式下，测试 AES-CMAC(128 or 256)算法签名，AES-CBC(128 or 256)算法加密的eHSM升级镜像的升级流程</t>
  </si>
  <si>
    <t>test_upgrade.py::test_ehsm_853</t>
  </si>
  <si>
    <t>EHSM-854</t>
  </si>
  <si>
    <t>在Manu模式下，测试 RSA-2048算法签名，AES-CBC(128 or 256)算法加密的eHSM升级镜像的升级流程</t>
  </si>
  <si>
    <t>test_upgrade.py::test_ehsm_854</t>
  </si>
  <si>
    <t>EHSM-855</t>
  </si>
  <si>
    <t>在Debug模式下，测试 RSA-3072算法签名，AES-CBC(128 or 256)算法加密的eHSM升级镜像的升级流程</t>
  </si>
  <si>
    <t>test_upgrade.py::test_ehsm_855</t>
  </si>
  <si>
    <t>EHSM-856</t>
  </si>
  <si>
    <t>在Test模式下，测试  ECC-P256R1算法签名，AES-CBC(128 or 256)算法加密的eHSM升级镜像的升级流程</t>
  </si>
  <si>
    <t>test_upgrade.py::test_ehsm_856</t>
  </si>
  <si>
    <t>EHSM-857</t>
  </si>
  <si>
    <t>在User模式下，测试 SM4-CMAC算法签名，SM4-CBC算法加密的eHSM升级镜像的升级流程</t>
  </si>
  <si>
    <t>test_upgrade.py::test_ehsm_857</t>
  </si>
  <si>
    <t>EHSM-858</t>
  </si>
  <si>
    <t>在Test模式下，测试SM2算法签名，SM4-CBC算法加密的安全启动eHSM镜像的升级流程</t>
  </si>
  <si>
    <t>test_upgrade.py::test_ehsm_858</t>
  </si>
  <si>
    <t>EHSM-859</t>
  </si>
  <si>
    <t>在Dev模式下，测试 AES-CMAC(128 or 256)算法签名，AES-CBC(128 or 256)算法加密的eHSM加密算法密钥，SOC-eHSM升级镜像的升级流程</t>
  </si>
  <si>
    <t>1、生成OTP数据配置；
2、写入OTP数据并重置eHSM，等待启动完成；
3、生成升级镜像；
4、执行镜像升级并验证输出镜像内容；
5、执行SOC镜像验证并比对结果；</t>
  </si>
  <si>
    <t>test_upgrade.py::test_ehsm_859</t>
  </si>
  <si>
    <t>EHSM-860</t>
  </si>
  <si>
    <t>在Test模式下，测试 RSA-2048算法签名，AES-CBC(128 or 256)算法加密的eHSM加密算法密钥，SOC-eHSM升级镜像的升级流程</t>
  </si>
  <si>
    <t>test_upgrade.py::test_ehsm_860</t>
  </si>
  <si>
    <t>EHSM-861</t>
  </si>
  <si>
    <t>在Manu模式下，测试 RSA-3072算法签名，AES-CBC(128 or 256)算法加密的eHSM加密算法密钥，SOC-eHSM升级镜像的升级流程</t>
  </si>
  <si>
    <t>test_upgrade.py::test_ehsm_861</t>
  </si>
  <si>
    <t>EHSM-862</t>
  </si>
  <si>
    <t>在User模式下，测试 ECC-P256R1算法签名，AES-CBC(128 or 256)算法加密的eHSM加密算法密钥，SOC-eHSM升级镜像的升级流程</t>
  </si>
  <si>
    <t>test_upgrade.py::test_ehsm_862</t>
  </si>
  <si>
    <t>EHSM-863</t>
  </si>
  <si>
    <t>在Debug模式下，测试 SM4-CMAC算法签名，SM4-CBC算法加密的eHSM加密算法密钥，SOC-eHSM升级镜像的升级流程</t>
  </si>
  <si>
    <t>test_upgrade.py::test_ehsm_863</t>
  </si>
  <si>
    <t>EHSM-864</t>
  </si>
  <si>
    <t>在Test模式下，测试SM2算法签名，SM4-CBC算法加密的eHSM加密算法密钥，SOC-eHSM升级镜像的升级流程</t>
  </si>
  <si>
    <t>test_upgrade.py::test_ehsm_864</t>
  </si>
  <si>
    <t>EHSM-865</t>
  </si>
  <si>
    <t>在Dev模式下，测试 AES-CMAC(128 or 256)算法签名，AES-CBC(128 or 256)算法加密的SOC加密算法密钥，SOC升级镜像的升级流程</t>
  </si>
  <si>
    <t>test_upgrade.py::test_ehsm_865</t>
  </si>
  <si>
    <t>EHSM-866</t>
  </si>
  <si>
    <t>在Test模式下，测试 RSA-2048算法签名，AES-CBC(128 or 256)算法加密的SOC加密算法密钥，SOC升级镜像的升级流程</t>
  </si>
  <si>
    <t>test_upgrade.py::test_ehsm_866</t>
  </si>
  <si>
    <t>EHSM-867</t>
  </si>
  <si>
    <t>在Manu模式下，测试 RSA-3072算法签名，AES-CBC(128 or 256)算法加密的SOC加密算法密钥，SOC升级镜像的升级流程</t>
  </si>
  <si>
    <t>test_upgrade.py::test_ehsm_867</t>
  </si>
  <si>
    <t>EHSM-868</t>
  </si>
  <si>
    <t>在User模式下，测试 ECC-P256R1算法签名，AES-CBC(128 or 256)算法加密的SOC加密算法密钥，SOC升级镜像的升级流程</t>
  </si>
  <si>
    <t>test_upgrade.py::test_ehsm_868</t>
  </si>
  <si>
    <t>EHSM-869</t>
  </si>
  <si>
    <t>在Debug模式下，测试 SM4-CMAC算法签名，SM4-CBC算法加密的SOC加密算法密钥，SOC升级镜像的升级流程</t>
  </si>
  <si>
    <t>test_upgrade.py::test_ehsm_869</t>
  </si>
  <si>
    <t>EHSM-870</t>
  </si>
  <si>
    <t>在Test模式下，测试SM2算法签名，SM4-CBC算法加密的SOC加密算法密钥，SOC升级镜像的升级流程</t>
  </si>
  <si>
    <t>test_upgrade.py::test_ehsm_870</t>
  </si>
  <si>
    <t>EHSM-871</t>
  </si>
  <si>
    <t>在Dev模式下，测试 AES-CMAC(128 or 256)算法签名，AES-CBC(128 or 256)算法加密的eHSM升级镜像的三段式升级流程</t>
  </si>
  <si>
    <t>1、配置OTP生命周期为Dev模式，eHSM加密算法密钥为AES-CBC(128 or 256)的预置值，eHSM签名算法密钥为AES-CMAC(128 or 256)预置值；
2、准备好使用预置AES-CBC(128 or 256)密钥加密和预置AES-CMAC(128 or 256)算法密钥签名的eHSM升级镜像，并拷贝至升级加载镜像的地址；
3、重启eHSM生效；
4、发送start指令启动升级，检查升级返回的状态值；
5、发送update指令启动升级，检查升级返回的状态值；
6、发送finish指令启动升级，检查升级返回的状态值；</t>
  </si>
  <si>
    <t>1、配置成功；
2、计算成功；
3、重启成功，状态正常；
4、发送成功；
5、发送成功；
6、发送成功；</t>
  </si>
  <si>
    <t>test_upgrade.py::test_ehsm_871</t>
  </si>
  <si>
    <t>EHSM-872</t>
  </si>
  <si>
    <t>在Test模式下，测试 RSA-2048算法签名，AES-CBC(128 or 256)算法加密的eHSM升级镜像的三段式升级流程</t>
  </si>
  <si>
    <t>1、配置OTP生命周期，eHSM加密算法密钥和签名算法密钥；
2、准备升级镜像；
3、重启eHSM生效；
4、发送start指令启动升级，检查升级返回的状态值；</t>
  </si>
  <si>
    <t>1、配置成功；
2、镜像生成成功；
3、重启成功，状态正常；
4、发送成功；</t>
  </si>
  <si>
    <t>test_upgrade.py::test_ehsm_872</t>
  </si>
  <si>
    <t>1、配置OTP生命周期，eHSM加密算法密钥和签名算法密钥；
2、准备升级镜像；
3、重启eHSM生效；
4、发送start指令启动升级，检查升级返回的状态值；
5、发送update指令更新，检查升级返回的状态值；
6、发送finish指令完成升级，检查升级返回的状态值；</t>
  </si>
  <si>
    <t>1、配置成功；
2、镜像生成成功；
3、重启成功，状态正常；
4、发送成功；
5、发送成功；
6、发送成功；</t>
  </si>
  <si>
    <t>EHSM-873</t>
  </si>
  <si>
    <t>在Manu模式下，测试 RSA-3072算法签名，AES-CBC(128 or 256)算法加密的eHSM升级镜像的三段式升级流程</t>
  </si>
  <si>
    <t>test_upgrade.py::test_ehsm_873</t>
  </si>
  <si>
    <t>EHSM-874</t>
  </si>
  <si>
    <t>在User模式下，测试 ECC-P256R1算法签名，AES-CBC(128 or 256)算法加密的eHSM升级镜像的三段式升级流程</t>
  </si>
  <si>
    <t>test_upgrade.py::test_ehsm_874</t>
  </si>
  <si>
    <t>EHSM-875</t>
  </si>
  <si>
    <t>在Debug模式下，测试 SM4-CMAC算法签名，SM4-CBC算法加密的eHSM升级镜像的三段式升级流程</t>
  </si>
  <si>
    <t>test_upgrade.py::test_ehsm_875</t>
  </si>
  <si>
    <t>EHSM-876</t>
  </si>
  <si>
    <t>在Test模式下，测试SM2算法签名，SM4-CBC算法加密的安全启动eHSM镜像的三段式升级流程</t>
  </si>
  <si>
    <t>test_upgrade.py::test_ehsm_876</t>
  </si>
  <si>
    <t>EHSM-877</t>
  </si>
  <si>
    <t>在Dev模式下，测试 AES-CMAC(128 or 256)算法签名，AES-CBC(128 or 256)算法加密的eHSM加密算法密钥，SOC-eHSM升级镜像的的三段式升级流程</t>
  </si>
  <si>
    <t>test_upgrade.py::test_ehsm_877</t>
  </si>
  <si>
    <t>EHSM-878</t>
  </si>
  <si>
    <t>在Test模式下，测试 RSA-2048算法签名，AES-CBC(128 or 256)算法加密的eHSM加密算法密钥，SOC-eHSM升级镜像的的三段式升级流程</t>
  </si>
  <si>
    <t>test_upgrade.py::test_ehsm_878</t>
  </si>
  <si>
    <t>EHSM-879</t>
  </si>
  <si>
    <t>在Manu模式下，测试 RSA-3072算法签名，AES-CBC(128 or 256)算法加密的eHSM加密算法密钥，SOC-eHSM升级镜像的的三段式升级流程</t>
  </si>
  <si>
    <t>test_upgrade.py::test_ehsm_879</t>
  </si>
  <si>
    <t>EHSM-880</t>
  </si>
  <si>
    <t>在User模式下，测试 ECC-P256R1算法签名，AES-CBC(128 or 256)算法加密的eHSM加密算法密钥，SOC-eHSM升级镜像的的三段式升级流程</t>
  </si>
  <si>
    <t>test_upgrade.py::test_ehsm_880</t>
  </si>
  <si>
    <t>EHSM-881</t>
  </si>
  <si>
    <t>在Debug模式下，测试 SM4-CMAC算法签名，SM4-CBC算法加密的eHSM加密算法密钥，SOC-eHSM升级镜像的的三段式升级流程</t>
  </si>
  <si>
    <t>test_upgrade.py::test_ehsm_881</t>
  </si>
  <si>
    <t>EHSM-882</t>
  </si>
  <si>
    <t>在Test模式下，测试SM2算法签名，SM4-CBC算法加密的eHSM加密算法密钥，SOC-eHSM升级镜像的的三段式升级流程</t>
  </si>
  <si>
    <t>test_upgrade.py::test_ehsm_882</t>
  </si>
  <si>
    <t>EHSM-883</t>
  </si>
  <si>
    <t>在Dev模式下，测试 AES-CMAC(128 or 256)算法签名，AES-CBC(128 or 256)算法加密的SOC加密算法密钥，SOC升级镜像的的三段式升级流程</t>
  </si>
  <si>
    <t>1、配置OTP生命周期，SOC加密算法密钥和签名算法密钥；
2、准备升级镜像；
3、重启eHSM生效；
4、发送start指令启动升级，检查升级返回的状态值；
5、发送update指令更新，检查升级返回的状态值；
6、发送finish指令完成升级，检查升级返回的状态值；</t>
  </si>
  <si>
    <t>test_upgrade.py::test_ehsm_883</t>
  </si>
  <si>
    <t>EHSM-884</t>
  </si>
  <si>
    <t>在Test模式下，测试 RSA-2048算法签名，AES-CBC(128 or 256)算法加密的SOC加密算法密钥，SOC升级镜像的的三段式升级流程</t>
  </si>
  <si>
    <t>test_upgrade.py::test_ehsm_884</t>
  </si>
  <si>
    <t>EHSM-885</t>
  </si>
  <si>
    <t>在Manu模式下，测试 RSA-3072算法签名，AES-CBC(128 or 256)算法加密的SOC加密算法密钥，SOC升级镜像的的三段式升级流程</t>
  </si>
  <si>
    <t>test_upgrade.py::test_ehsm_885</t>
  </si>
  <si>
    <t>EHSM-886</t>
  </si>
  <si>
    <t>在User模式下，测试 ECC-P256R1算法签名，AES-CBC(128 or 256)算法加密的SOC加密算法密钥，SOC升级镜像的的三段式升级流程</t>
  </si>
  <si>
    <t>test_upgrade.py::test_ehsm_886</t>
  </si>
  <si>
    <t>EHSM-887</t>
  </si>
  <si>
    <t>在Debug模式下，测试 SM4-CMAC算法签名，SM4-CBC算法加密的SOC加密算法密钥，SOC升级镜像的的三段式升级流程</t>
  </si>
  <si>
    <t>test_upgrade.py::test_ehsm_887</t>
  </si>
  <si>
    <t>EHSM-888</t>
  </si>
  <si>
    <t>在Test模式下，测试SM2算法签名，SM4-CBC算法加密的SOC加密算法密钥，SOC升级镜像的的三段式升级流程</t>
  </si>
  <si>
    <t>test_upgrade.py::test_ehsm_888</t>
  </si>
  <si>
    <t>EHSM-890</t>
  </si>
  <si>
    <t>在TEST模式下，测试 AES-CMAC(128 or 256)算法签名，AES-CBC(128 or 256)算法加密的eHSM升级镜像中，验签失败会升级失败</t>
  </si>
  <si>
    <t>1、生成OTP数据配置；
2、写入OTP数据并重置eHSM，等待启动完成；
3、生成损坏的升级镜像（签名异常）；
4、执行镜像升级并验证升级失败；</t>
  </si>
  <si>
    <t>1、配置生成成功；
2、写入成功，eHSM启动完成；
3、损坏镜像生成成功；
4、签名验证失败，升级失败（预期结果）；</t>
  </si>
  <si>
    <t>test_upgrade.py::test_ehsm_890</t>
  </si>
  <si>
    <t>EHSM-891</t>
  </si>
  <si>
    <t>在Test模式下，测试 RSA-2048算法签名，AES-CBC(128 or 256)算法加密的eHSM升级镜像，OTP中hash值校验失败会导致升级失败</t>
  </si>
  <si>
    <t>1、生成OTP数据配置（含错误hash值）；
2、写入OTP数据并重置eHSM，等待启动完成；
3、生成升级镜像；
4、执行镜像升级并验证升级失败；</t>
  </si>
  <si>
    <t>1、配置生成成功；
2、写入成功，eHSM启动完成；
3、升级镜像生成成功；
4、OTP中hash值校验失败，升级失败（预期结果）；</t>
  </si>
  <si>
    <t>test_upgrade.py::test_ehsm_891</t>
  </si>
  <si>
    <t>EHSM-892</t>
  </si>
  <si>
    <t>在Test模式下，测试 RSA-2048算法签名，AES-CBC(128 or 256)算法加密的eHSM升级镜像，镜像版本小于OTP中版本会导致升级失败</t>
  </si>
  <si>
    <t>1、生成OTP数据配置（版本VC2高于镜像版本）；
2、写入OTP数据并重置eHSM，等待启动完成；
3、生成升级镜像（低版本VC0）；
4、执行镜像升级并验证升级失败；</t>
  </si>
  <si>
    <t>1、配置生成成功；
2、写入成功，eHSM启动完成；
3、升级镜像生成成功；
4、版本计数器检查失败，升级失败（预期结果）；</t>
  </si>
  <si>
    <t>test_upgrade.py::test_ehsm_892</t>
  </si>
  <si>
    <t>EHSM-893</t>
  </si>
  <si>
    <t>在Test模式下，测试 RSA-2048算法签名，AES-CBC(128 or 256)算法加密的eHSM升级镜像，镜像版本大于OTP中版本，升级成功</t>
  </si>
  <si>
    <t>1、生成OTP数据配置（版本VC0低于镜像版本）；
2、写入OTP数据并重置eHSM，等待启动完成；
3、生成升级镜像（高版本VC2）；
4、执行镜像升级并验证输出镜像内容；</t>
  </si>
  <si>
    <t>test_upgrade.py::test_ehsm_893</t>
  </si>
  <si>
    <t>EHSM-894</t>
  </si>
  <si>
    <t>在Test模式下，测试 RSA-2048算法签名，AES-CBC(128 or 256)算法加密的eHSM升级镜像，输入无效地址、无效模式值会返回对应的错误码</t>
  </si>
  <si>
    <t>1、生成OTP数据配置；
2、写入OTP数据并重置eHSM，等待启动完成；
3、生成升级镜像；
4、测试NULL镜像地址；
5、测试无效镜像大小；
6、测试空镜像数据；</t>
  </si>
  <si>
    <t>1、配置生成成功；
2、写入成功，eHSM启动完成；
3、升级镜像生成成功；
4、返回预期错误码（预期失败）；
5、返回预期错误码（预期失败）；
6、返回预期错误码（预期失败）；</t>
  </si>
  <si>
    <t>test_upgrade.py::test_ehsm_894</t>
  </si>
  <si>
    <t>EHSM-1192</t>
  </si>
  <si>
    <t>在Test模式下，测试soc裸镜像的在OTP数据为空的场景下的校验流程</t>
  </si>
  <si>
    <t>1、配置OTP生命周期Test模式，配置SOC校验算法密钥；
2、生成SOC裸镜像（无加密无签名）并加载到启动镜像地址；
3、发送校验指令进入校验流程，检查返回状态；</t>
  </si>
  <si>
    <t>1、配置成功；
2、计算成功；
3、发送成功；</t>
  </si>
  <si>
    <t>test_upgrade.py::test_ehsm_u001</t>
  </si>
  <si>
    <t>EHSM-1193</t>
  </si>
  <si>
    <t>在DEV模式下，测试soc裸镜像的在OTP数据为空的场景下的校验流程</t>
  </si>
  <si>
    <t>1、配置OTP生命周期DEV模式，其它OTP域使用默认值；
2、生成SOC裸镜像（无加密无签名）并加载到启动镜像地址；
3、发送校验指令进入校验流程，检查返回状态；</t>
  </si>
  <si>
    <t>test_upgrade.py::test_ehsm_u002</t>
  </si>
  <si>
    <t>EHSM_U003</t>
  </si>
  <si>
    <t>在dev模式下，测试SOC_EHSM裸镜像在OTP算法配置SOC AES-CMAC签名、AES-CBC加密的场景下的校验流程</t>
  </si>
  <si>
    <t>1、配置OTP生命周期dev模式，配置SOC校验算法密钥（AES-CMAC签名、AES-CBC加密）；
2、生成SOC_EHSM裸镜像（无加密无签名）并加载到启动镜像地址；
3、发送校验指令进入校验流程，检查返回状态；</t>
  </si>
  <si>
    <t>test_upgrade.py::test_ehsm_u003</t>
  </si>
  <si>
    <t>EHSM_U004</t>
  </si>
  <si>
    <t>在manu模式下，测试SOC_EHSM裸镜像在OTP数据SOC SM4-CMAC签名、SM4-CBC加密的场景下的校验流程，不支持除test/dev外的生命周期</t>
  </si>
  <si>
    <t>1、配置OTP生命周期manu模式，配置SOC校验算法密钥（SM4-CMAC签名、SM4-CBC加密）；
2、生成SOC_EHSM裸镜像（无加密无签名）并加载到启动镜像地址；
3、发送校验指令进入校验流程，预期失败；</t>
  </si>
  <si>
    <t>1、配置成功；
2、计算成功；
3、校验失败（预期）；</t>
  </si>
  <si>
    <t>test_upgrade.py::test_ehsm_u004</t>
  </si>
  <si>
    <t>test_ehsm_u010</t>
  </si>
  <si>
    <t>在Test模式下，测试SOC_HSMK裸镜像的在OTP数据为空的场景下的校验流程</t>
  </si>
  <si>
    <t>1、配置OTP生命周期Test模式，其它OTP域使用默认值；
2、生成SOC_HSMK裸镜像（无加密无签名）并加载到启动镜像地址；
3、发送校验指令进入校验流程，检查返回状态；</t>
  </si>
  <si>
    <t>test_upgrade.py::test_ehsm_u010</t>
  </si>
  <si>
    <t>test_ehsm_u011</t>
  </si>
  <si>
    <t>在Dev模式下，测试SOC_HSMK裸镜像的在OTP数据为空的场景下的校验流程</t>
  </si>
  <si>
    <t>1、配置OTP生命周期Dev模式，其它OTP域使用默认值；
2、生成SOC_HSMK裸镜像（无加密无签名）并加载到启动镜像地址；
3、发送校验指令进入校验流程，检查返回状态；</t>
  </si>
  <si>
    <t>test_upgrade.py::test_ehsm_u011</t>
  </si>
  <si>
    <t>test_ehsm_u012</t>
  </si>
  <si>
    <t>在Test模式下，测试SOC_SOCK裸镜像的在OTP数据为空的场景下的校验流程</t>
  </si>
  <si>
    <t>1、配置OTP生命周期Test模式，其它OTP域使用默认值；
2、生成SOC_SOCK裸镜像（无加密无签名）并加载到启动镜像地址；
3、发送校验指令进入校验流程，检查返回状态；</t>
  </si>
  <si>
    <t>test_upgrade.py::test_ehsm_u012</t>
  </si>
  <si>
    <t>test_ehsm_u013</t>
  </si>
  <si>
    <t>在Dev模式下，测试SOC_SOCK裸镜像的在OTP数据为空的场景下的校验流程</t>
  </si>
  <si>
    <t>1、配置OTP生命周期Dev模式，其它OTP域使用默认值；
2、生成SOC_SOCK裸镜像（无加密无签名）并加载到启动镜像地址；
3、发送校验指令进入校验流程，检查返回状态；</t>
  </si>
  <si>
    <t>test_upgrade.py::test_ehsm_u013</t>
  </si>
  <si>
    <t>test_ehsm_u014</t>
  </si>
  <si>
    <t>在Manu模式下，测试SOC_HSMK裸镜像不支持校验的情况</t>
  </si>
  <si>
    <t>1、配置OTP生命周期Manu模式，其它OTP域使用默认值；
2、生成SOC_HSMK裸镜像（无加密无签名）；
3、发送校验指令，预期校验失败；</t>
  </si>
  <si>
    <t>1、配置成功；
2、生成成功；
3、校验失败（预期结果）；</t>
  </si>
  <si>
    <t>test_upgrade.py::test_ehsm_u014</t>
  </si>
  <si>
    <t>test_ehsm_u015</t>
  </si>
  <si>
    <t>在User模式下，测试SOC_HSMK裸镜像不支持校验的情况</t>
  </si>
  <si>
    <t>1、配置OTP生命周期User模式，其它OTP域使用默认值；
2、生成SOC_HSMK裸镜像（无加密无签名）；
3、发送校验指令，预期校验失败；</t>
  </si>
  <si>
    <t>test_upgrade.py::test_ehsm_u015</t>
  </si>
  <si>
    <t>test_ehsm_u016</t>
  </si>
  <si>
    <t>在Debug模式下，测试SOC_HSMK裸镜像不支持校验的情况</t>
  </si>
  <si>
    <t>1、配置OTP生命周期Debug模式，其它OTP域使用默认值；
2、生成SOC_HSMK裸镜像（无加密无签名）；
3、发送校验指令，预期校验失败；</t>
  </si>
  <si>
    <t>test_upgrade.py::test_ehsm_u016</t>
  </si>
  <si>
    <t>test_ehsm_u017</t>
  </si>
  <si>
    <t>在Manu模式下，测试SOC_SOCK裸镜像不支持校验的情况</t>
  </si>
  <si>
    <t>1、配置OTP生命周期Manu模式，其它OTP域使用默认值；
2、生成SOC_SOCK裸镜像（无加密无签名）；
3、发送校验指令，预期校验失败；</t>
  </si>
  <si>
    <t>test_upgrade.py::test_ehsm_u017</t>
  </si>
  <si>
    <t>test_ehsm_u018</t>
  </si>
  <si>
    <t>在User模式下，测试SOC_SOCK裸镜像不支持校验的情况</t>
  </si>
  <si>
    <t>1、配置OTP生命周期User模式，其它OTP域使用默认值；
2、生成SOC_SOCK裸镜像（无加密无签名）；
3、发送校验指令，预期校验失败；</t>
  </si>
  <si>
    <t>test_upgrade.py::test_ehsm_u018</t>
  </si>
  <si>
    <t>test_ehsm_u019</t>
  </si>
  <si>
    <t>在Debug模式下，测试SOC_SOCK裸镜像不支持校验的情况</t>
  </si>
  <si>
    <t>1、配置OTP生命周期Debug模式，其它OTP域使用默认值；
2、生成SOC_SOCK裸镜像（无加密无签名）；
3、发送校验指令，预期校验失败；</t>
  </si>
  <si>
    <t>test_upgrade.py::test_ehsm_u019</t>
  </si>
  <si>
    <t>EHSM-U020</t>
  </si>
  <si>
    <t>测试升级命令异常参数：镜像数据异常时的升级流程</t>
  </si>
  <si>
    <t>1、生成OTP数据配置；
2、写入OTP数据并重置eHSM，等待启动完成；
3、生成正常的升级镜像作为参考；
4、测试镜像数据为空bytes，image_size为0；
5、测试镜像数据为全零bytes，image_size为0；
6、测试正常镜像数据，但image_size为0；
7、测试镜像数据为空bytes，但image_size为正常值；
8、测试镜像数据为全零bytes，image_size为正常值；
9、测试image_size小于IMAGE_HEAD_SIZE(1024)；
10、测试image_size略大于实际镜像长度；
11、测试image_size小于实际镜像长度；
12、测试storage_addr为0（None）；</t>
  </si>
  <si>
    <t>1、配置生成成功；
2、写入成功，eHSM启动完成；
3、升级镜像生成成功；
4、预期返回参数错误；
5、预期返回参数错误；
6、预期返回参数错误；
7、预期返回镜像格式错误或内存访问错误；
8、预期返回镜像格式错误（魔数错误）；
9、预期返回镜像头部不完整错误；
11、预期返回校验失败或越界错误；
12、预期返回校验失败；
12、预期返回地址错误；</t>
  </si>
  <si>
    <t>test_upgrade.py::test_ehsm_u020</t>
  </si>
  <si>
    <t>EHSM_U021</t>
  </si>
  <si>
    <t>三段式升级镜像API的异常参数测试（image_addr和storage_addr）</t>
  </si>
  <si>
    <t>1、生成OTP数据配置；
2、写入OTP数据并重置eHSM，等待启动完成；
3、生成正常的升级镜像；
4、Init阶段：测试image_header为空bytes，header_size为0；
5、Init阶段：测试header_size为0；
6、Init阶段：测试header_size小于实际头部大小；
7、Init阶段：测试header_size大于IMAGE_HEAD_SIZE；
8、正常执行Init阶段，准备测试Update阶段；
9、Update阶段：测试block_size为0；
10、重新执行Init阶段，准备测试Finish阶段；
11、Finish阶段：测试block_size为0；</t>
  </si>
  <si>
    <t>1、配置生成成功；
2、写入成功，eHSM启动完成；
3、升级镜像生成成功；
4、预期返回参数错误；
5、预期返回参数错误；
6、预期返回头部不完整错误；
7、预期返回头部大小超限错误；
8、Init成功；
9、预期返回参数错误；
10、Init成功；
11、预期返回参数错误；</t>
  </si>
  <si>
    <t>test_upgrade.py::test_ehsm_u021</t>
  </si>
  <si>
    <t>EHSM_U022</t>
  </si>
  <si>
    <t>正常序列START→UPDATE→FINISH，成功（BUG-17正路径）</t>
  </si>
  <si>
    <t>1、配置OTP为USER模式，AES128-CMAC升级算法；
2、生成合法升级镜像；
3、正常序列START(init)→UPDATE→FINISH；</t>
  </si>
  <si>
    <t>1、配置成功；
2、生成成功；
3、升级成功；</t>
  </si>
  <si>
    <t>test_upgrade.py::test_ehsm_u022</t>
  </si>
  <si>
    <t>EHSM_U023</t>
  </si>
  <si>
    <t>直接发UPDATE（跳过START），拒绝（BUG-17 P0）</t>
  </si>
  <si>
    <t>1、配置OTP，重启；
2、确认START后UPDATE正路径有效（正常序列基准验证）；
3、重启固件（重置is_active状态），不调用START，直接发UPDATE；</t>
  </si>
  <si>
    <t>1、配置成功；
2、正路径成功；
3、返回EHSM_ERR_WRONG_PROC_MODE；</t>
  </si>
  <si>
    <t>test_upgrade.py::test_ehsm_u023</t>
  </si>
  <si>
    <t>EHSM_U024</t>
  </si>
  <si>
    <t>直接发FINISH（跳过START和UPDATE），拒绝（BUG-17 P0）</t>
  </si>
  <si>
    <t>1、配置OTP，重启；
2、确认START后FINISH正路径有效（正常序列基准验证）；
3、重启固件（重置is_active状态），不调用START，直接发FINISH；</t>
  </si>
  <si>
    <t>test_upgrade.py::test_ehsm_u024</t>
  </si>
  <si>
    <t>EHSM_U025</t>
  </si>
  <si>
    <t>BUG-16 SOC版本升级：BL校验高版本SOC镜像（VC2），reset后OTP SOC版本号应自动更新（VC0→VC2）</t>
  </si>
  <si>
    <t>1、配置OTP为Test模式，SOC版本初始化为VC0（低版本）；
2、读取 SOC/EHSM OTP 版本计数器基准值，校验 SOC 初始为 VC0；
3、生成版本为 VC2 的 SOC 启动镜像（高于 OTP VC0）；
4、BL 校验 SOC 镜像（check_version=True, boot=False）；
5、reset 固件，等待 FW secboot_update_ver_cnt 执行；
6、读取 OTP SOC 版本计数器，校验读取有效，验证已从 VC0 更新为 VC2；
7、验证 EHSM OTP 版本未受 SOC 版本升级影响；</t>
  </si>
  <si>
    <t>1、OTP写入成功，固件启动成功；
2、读取成功，初始值符合 VC0 编码；
3、镜像生成成功；
4、校验成功，DRAM 写入 VC2 版本标记；
5、固件启动成功；
6、OTP SOC 版本号已更新；
7、EHSM OTP 版本号保持不变；</t>
  </si>
  <si>
    <t>test_upgrade.py::test_ehsm_u025</t>
  </si>
  <si>
    <t>EHSM_U026</t>
  </si>
  <si>
    <t>BUG-16 SOC版本平刷：BL校验同版本SOC镜像（VC1），reset后OTP SOC版本号不变</t>
  </si>
  <si>
    <t>1、配置OTP为Test模式，SOC版本初始化为VC1；
2、读取 SOC/EHSM OTP 版本计数器基准值，校验 SOC 初始为 VC1；
3、生成版本为 VC1 的 SOC 启动镜像（与 OTP 相同）；
4、BL 校验 SOC 镜像（check_version=True, boot=False）；
5、reset 固件，等待 FW secboot_update_ver_cnt 执行；
6、读取 OTP SOC 版本计数器，校验读取有效，验证版本号未变化（平刷不写 OTP）；
7、验证 EHSM OTP 版本未受 SOC 版本平刷影响；</t>
  </si>
  <si>
    <t>1、OTP写入成功，固件启动成功；
2、读取成功，初始值符合 VC1 编码；
3、镜像生成成功；
4、校验成功，DRAM 写入 VC1 版本标记；
5、固件启动成功；
6、OTP SOC 版本号保持 VC1 不变；
7、EHSM OTP 版本号保持不变；</t>
  </si>
  <si>
    <t>test_upgrade.py::test_ehsm_u026</t>
  </si>
  <si>
    <t>EHSM_U027</t>
  </si>
  <si>
    <t>BUG-16 SOC版本回退拒绝：BL校验低版本SOC镜像（VC0 &lt; OTP VC2），版本检查失败，OTP不更新</t>
  </si>
  <si>
    <t>1、配置OTP为Test模式，SOC版本初始化为VC2（高版本）；
2、读取 SOC/EHSM OTP 版本计数器基准值，校验 SOC 初始为 VC2（非 blank）；
3、生成版本为 VC0 的 SOC 启动镜像（低于 OTP VC2）；
4、BL 校验 SOC 镜像（check_version=True, boot=False），预期版本检查失败；
5、reset 固件，等待 FW 启动；
6、读取 OTP SOC 版本计数器，校验读取有效，验证版本号未变化（回退被拒绝）；
7、验证 EHSM OTP 版本未受 SOC 版本回退尝试影响；</t>
  </si>
  <si>
    <t>1、OTP写入成功，固件启动成功；
2、读取成功，初始值符合 VC2 编码；
3、镜像生成成功；
4、BL verify 返回版本拒绝错误；
5、固件启动成功；
6、OTP SOC 版本号保持 VC2 不变；
7、EHSM OTP 版本号保持不变；</t>
  </si>
  <si>
    <t>test_upgrade.py::test_ehsm_u027</t>
  </si>
  <si>
    <t>version</t>
  </si>
  <si>
    <t>EHSM-847</t>
  </si>
  <si>
    <t>读取 firmware version 信息，并打印出来</t>
  </si>
  <si>
    <t>1、发送 read_ehsm_version mailbox 指令；并打印状态值；</t>
  </si>
  <si>
    <t>1、发送成功；</t>
  </si>
  <si>
    <t>test_version.py::test_ehsm_847</t>
  </si>
  <si>
    <t>EHSM-848</t>
  </si>
  <si>
    <t>对 read_version 命令进行异常参数测试</t>
  </si>
  <si>
    <t>1、发送 read_ehsm_version mailbox 指令，ver_addr 传入 NULL；
2、发送 read_ehsm_version mailbox 指令，ver_size 传入 0；</t>
  </si>
  <si>
    <t>1、接口返回对应错误码；
2、接口返回对应错误码；</t>
  </si>
  <si>
    <t>test_version.py::test_ehsm_848</t>
  </si>
  <si>
    <t>watchdog</t>
  </si>
  <si>
    <t>EHSM-W001</t>
  </si>
  <si>
    <t>发送进入循环指令的命令，观察看门狗是否正常超时，并响应超时中断，触发异常错误，计算看门狗超时时间</t>
  </si>
  <si>
    <t>1、进入loop指令会导致下位机不响应指令，需要server配置异步和中断模式；
2、先检查看门狗错误码是否为0；
3、发送固件进入循环指令的命令；
4、200ms 看门狗超时时间，检查看门狗是否触发超时，并反馈错误码；</t>
  </si>
  <si>
    <t>1、配置成功；
2、检查通过；
3、发送成功；
4、检查通过；</t>
  </si>
  <si>
    <t>test_watchdog.py::test_watchdog_w001</t>
  </si>
  <si>
    <t>EHSM-W002</t>
  </si>
  <si>
    <t>检查WFI指令是否生效</t>
  </si>
  <si>
    <t>1、先检查CPU WFI 状态是否为0；
2、发送进入循环指令的命令，观察看门狗是否正常超时，并响应超时中断，触发异常错误，计算看门狗超时时间；
3、检查CPU WFI 状态；</t>
  </si>
  <si>
    <t>1、检查通过；
2、发送成功；
3、检查通过；</t>
  </si>
  <si>
    <t>test_watchdog.py::test_watchdog_w002</t>
  </si>
  <si>
    <t>test_mac.py::test_ehsm_m057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</si>
</sst>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宋体"/>
      <family val="2"/>
      <scheme val="minor"/>
    </font>
    <font>
      <b/>
      <sz val="18"/>
      <name val="Arial"/>
      <family val="2"/>
    </font>
    <font>
      <b/>
      <sz val="10"/>
      <name val="Arial"/>
      <family val="2"/>
    </font>
    <font>
      <sz val="10"/>
      <name val="Arial"/>
      <family val="2"/>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C000"/>
        <bgColor rgb="FFFFC000"/>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1" xfId="0" applyFill="1" applyBorder="1"/>
    <xf numFmtId="0" fontId="2" fillId="2" borderId="1" xfId="0" applyFont="1" applyFill="1" applyBorder="1"/>
    <xf numFmtId="0" fontId="2" fillId="2" borderId="1" xfId="0" applyFont="1" applyFill="1" applyBorder="1" applyAlignment="1">
      <alignment horizontal="center" vertical="center"/>
    </xf>
    <xf numFmtId="0" fontId="4" fillId="2" borderId="1" xfId="0" applyFont="1" applyFill="1" applyBorder="1"/>
    <xf numFmtId="0" fontId="0" fillId="0" borderId="1" xfId="0" applyBorder="1"/>
    <xf numFmtId="0" fontId="0" fillId="0" borderId="1" xfId="0" applyBorder="1"/>
    <xf numFmtId="0" fontId="0" fillId="0" borderId="2" xfId="0" applyBorder="1"/>
    <xf numFmtId="0" fontId="3" fillId="2" borderId="1" xfId="0" applyFont="1" applyFill="1" applyBorder="1"/>
    <xf numFmtId="0" fontId="1" fillId="2" borderId="1" xfId="0" applyFont="1" applyFill="1" applyBorder="1"/>
  </cellXfs>
  <cellStyles count="1">
    <cellStyle name="常规" xfId="0" builtinId="0"/>
  </cellStyles>
  <dxfs count="22">
    <dxf>
      <fill>
        <patternFill patternType="solid">
          <fgColor rgb="FFFFFF00"/>
          <bgColor rgb="FFFFFF00"/>
        </patternFill>
      </fill>
    </dxf>
    <dxf>
      <fill>
        <patternFill patternType="solid">
          <fgColor rgb="FFFFFF00"/>
          <bgColor rgb="FFFFFF00"/>
        </patternFill>
      </fill>
    </dxf>
    <dxf>
      <fill>
        <patternFill patternType="solid">
          <fgColor rgb="FF808080"/>
          <bgColor rgb="FF80808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808080"/>
          <bgColor rgb="FF80808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FF00"/>
          <bgColor rgb="FFFFFF00"/>
        </patternFill>
      </fill>
    </dxf>
    <dxf>
      <fill>
        <patternFill patternType="solid">
          <fgColor rgb="FF808080"/>
          <bgColor rgb="FF80808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808080"/>
          <bgColor rgb="FF80808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808080"/>
          <bgColor rgb="FF808080"/>
        </patternFill>
      </fill>
    </dxf>
    <dxf>
      <fill>
        <patternFill patternType="solid">
          <fgColor rgb="FFFF0000"/>
          <bgColor rgb="FFFF0000"/>
        </patternFill>
      </fill>
    </dxf>
    <dxf>
      <fill>
        <patternFill patternType="solid">
          <fgColor rgb="FF00B050"/>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E17" sqref="E17"/>
    </sheetView>
  </sheetViews>
  <sheetFormatPr defaultRowHeight="13.5"/>
  <cols>
    <col min="1" max="1" width="22" customWidth="1"/>
    <col min="2" max="2" width="42" customWidth="1"/>
    <col min="3" max="10" width="12" customWidth="1"/>
  </cols>
  <sheetData>
    <row r="1" spans="1:10" ht="24" customHeight="1">
      <c r="A1" s="9" t="s">
        <v>0</v>
      </c>
      <c r="B1" s="7"/>
    </row>
    <row r="2" spans="1:10" ht="14.25">
      <c r="A2" s="2" t="s">
        <v>1</v>
      </c>
      <c r="B2" s="1" t="s">
        <v>2</v>
      </c>
    </row>
    <row r="3" spans="1:10" ht="14.25">
      <c r="A3" s="2" t="s">
        <v>3</v>
      </c>
      <c r="B3" s="1" t="s">
        <v>4</v>
      </c>
    </row>
    <row r="4" spans="1:10" ht="14.25">
      <c r="A4" s="2" t="s">
        <v>5</v>
      </c>
      <c r="B4" s="1"/>
    </row>
    <row r="5" spans="1:10" ht="14.25">
      <c r="A5" s="2" t="s">
        <v>6</v>
      </c>
      <c r="B5" s="1"/>
    </row>
    <row r="6" spans="1:10" ht="14.25">
      <c r="A6" s="2" t="s">
        <v>7</v>
      </c>
      <c r="B6" s="1"/>
    </row>
    <row r="9" spans="1:10">
      <c r="A9" s="3" t="s">
        <v>8</v>
      </c>
      <c r="B9" s="3" t="s">
        <v>9</v>
      </c>
      <c r="C9" s="3" t="s">
        <v>10</v>
      </c>
      <c r="D9" s="3" t="s">
        <v>11</v>
      </c>
      <c r="E9" s="3" t="s">
        <v>12</v>
      </c>
      <c r="F9" s="3" t="s">
        <v>13</v>
      </c>
      <c r="G9" s="3" t="s">
        <v>14</v>
      </c>
      <c r="H9" s="3" t="s">
        <v>15</v>
      </c>
      <c r="I9" s="3" t="s">
        <v>16</v>
      </c>
      <c r="J9" s="3" t="s">
        <v>17</v>
      </c>
    </row>
    <row r="10" spans="1:10">
      <c r="A10" s="5" t="s">
        <v>18</v>
      </c>
      <c r="B10" s="5" t="s">
        <v>19</v>
      </c>
      <c r="C10" s="5"/>
      <c r="D10" s="5" t="s">
        <v>20</v>
      </c>
      <c r="E10" s="5">
        <f>COUNTIF(TestCases!H2:H997,"PASS")</f>
        <v>812</v>
      </c>
      <c r="F10" s="5">
        <f>COUNTIF(TestCases!H2:H997,"FAIL")</f>
        <v>0</v>
      </c>
      <c r="G10" s="5">
        <f>COUNTIFS(TestCases!H2:H997,"UNTEST")+COUNTIFS(TestCases!H2:H997,"NA")</f>
        <v>0</v>
      </c>
      <c r="H10" s="5">
        <f>COUNTIF(TestCases!H2:H997,"SKIP")</f>
        <v>0</v>
      </c>
      <c r="I10" s="5">
        <f>COUNTA(TestCases!B2:B997)</f>
        <v>812</v>
      </c>
      <c r="J10" s="5"/>
    </row>
    <row r="11" spans="1:10">
      <c r="A11" s="5"/>
      <c r="B11" s="5"/>
      <c r="C11" s="5"/>
      <c r="D11" s="5"/>
      <c r="E11" s="5"/>
      <c r="F11" s="5"/>
      <c r="G11" s="5"/>
      <c r="H11" s="5"/>
      <c r="I11" s="5"/>
      <c r="J11" s="5"/>
    </row>
    <row r="15" spans="1:10" ht="14.25">
      <c r="A15" s="8" t="s">
        <v>21</v>
      </c>
      <c r="B15" s="7"/>
    </row>
    <row r="16" spans="1:10">
      <c r="A16" s="6"/>
      <c r="B16" s="7"/>
    </row>
    <row r="17" spans="1:2">
      <c r="A17" s="6"/>
      <c r="B17" s="7"/>
    </row>
    <row r="18" spans="1:2">
      <c r="A18" s="6"/>
      <c r="B18" s="7"/>
    </row>
    <row r="19" spans="1:2">
      <c r="A19" s="6"/>
      <c r="B19" s="7"/>
    </row>
  </sheetData>
  <mergeCells count="6">
    <mergeCell ref="A16:B16"/>
    <mergeCell ref="A15:B15"/>
    <mergeCell ref="A19:B19"/>
    <mergeCell ref="A1:B1"/>
    <mergeCell ref="A17:B17"/>
    <mergeCell ref="A18:B18"/>
  </mergeCells>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3"/>
  <sheetViews>
    <sheetView tabSelected="1" topLeftCell="A874" workbookViewId="0">
      <selection activeCell="F899" sqref="F899"/>
    </sheetView>
  </sheetViews>
  <sheetFormatPr defaultRowHeight="13.5"/>
  <cols>
    <col min="1" max="3" width="10" customWidth="1"/>
    <col min="4" max="7" width="34" customWidth="1"/>
    <col min="8" max="11" width="10" customWidth="1"/>
  </cols>
  <sheetData>
    <row r="1" spans="1:11" ht="15" customHeight="1">
      <c r="A1" s="4" t="s">
        <v>22</v>
      </c>
      <c r="B1" s="4" t="s">
        <v>23</v>
      </c>
      <c r="C1" s="4" t="s">
        <v>24</v>
      </c>
      <c r="D1" s="4" t="s">
        <v>25</v>
      </c>
      <c r="E1" s="4" t="s">
        <v>26</v>
      </c>
      <c r="F1" s="4" t="s">
        <v>27</v>
      </c>
      <c r="G1" s="4" t="s">
        <v>28</v>
      </c>
      <c r="H1" s="4" t="s">
        <v>29</v>
      </c>
      <c r="I1" s="4" t="s">
        <v>30</v>
      </c>
      <c r="J1" s="4" t="s">
        <v>31</v>
      </c>
      <c r="K1" s="4" t="s">
        <v>32</v>
      </c>
    </row>
    <row r="2" spans="1:11">
      <c r="A2" s="5" t="s">
        <v>33</v>
      </c>
      <c r="B2" s="5" t="s">
        <v>34</v>
      </c>
      <c r="C2" s="5" t="s">
        <v>35</v>
      </c>
      <c r="D2" s="5" t="s">
        <v>36</v>
      </c>
      <c r="E2" s="5" t="s">
        <v>37</v>
      </c>
      <c r="F2" s="5" t="s">
        <v>38</v>
      </c>
      <c r="G2" s="5" t="s">
        <v>39</v>
      </c>
      <c r="H2" s="5" t="s">
        <v>12</v>
      </c>
      <c r="I2" s="5" t="s">
        <v>40</v>
      </c>
      <c r="J2" s="5" t="s">
        <v>41</v>
      </c>
      <c r="K2" s="5"/>
    </row>
    <row r="3" spans="1:11">
      <c r="A3" s="5" t="s">
        <v>33</v>
      </c>
      <c r="B3" s="5" t="s">
        <v>42</v>
      </c>
      <c r="C3" s="5" t="s">
        <v>35</v>
      </c>
      <c r="D3" s="5" t="s">
        <v>43</v>
      </c>
      <c r="E3" s="5" t="s">
        <v>44</v>
      </c>
      <c r="F3" s="5" t="s">
        <v>45</v>
      </c>
      <c r="G3" s="5" t="s">
        <v>46</v>
      </c>
      <c r="H3" s="5" t="s">
        <v>12</v>
      </c>
      <c r="I3" s="5" t="s">
        <v>40</v>
      </c>
      <c r="J3" s="5" t="s">
        <v>41</v>
      </c>
      <c r="K3" s="5"/>
    </row>
    <row r="4" spans="1:11">
      <c r="A4" s="5" t="s">
        <v>33</v>
      </c>
      <c r="B4" s="5" t="s">
        <v>47</v>
      </c>
      <c r="C4" s="5" t="s">
        <v>35</v>
      </c>
      <c r="D4" s="5" t="s">
        <v>48</v>
      </c>
      <c r="E4" s="5" t="s">
        <v>49</v>
      </c>
      <c r="F4" s="5" t="s">
        <v>50</v>
      </c>
      <c r="G4" s="5" t="s">
        <v>51</v>
      </c>
      <c r="H4" s="5" t="s">
        <v>12</v>
      </c>
      <c r="I4" s="5" t="s">
        <v>40</v>
      </c>
      <c r="J4" s="5" t="s">
        <v>41</v>
      </c>
      <c r="K4" s="5"/>
    </row>
    <row r="5" spans="1:11">
      <c r="A5" s="5" t="s">
        <v>33</v>
      </c>
      <c r="B5" s="5" t="s">
        <v>52</v>
      </c>
      <c r="C5" s="5" t="s">
        <v>35</v>
      </c>
      <c r="D5" s="5" t="s">
        <v>53</v>
      </c>
      <c r="E5" s="5" t="s">
        <v>54</v>
      </c>
      <c r="F5" s="5" t="s">
        <v>55</v>
      </c>
      <c r="G5" s="5" t="s">
        <v>56</v>
      </c>
      <c r="H5" s="5" t="s">
        <v>12</v>
      </c>
      <c r="I5" s="5" t="s">
        <v>40</v>
      </c>
      <c r="J5" s="5" t="s">
        <v>41</v>
      </c>
      <c r="K5" s="5"/>
    </row>
    <row r="6" spans="1:11">
      <c r="A6" s="5" t="s">
        <v>33</v>
      </c>
      <c r="B6" s="5" t="s">
        <v>57</v>
      </c>
      <c r="C6" s="5" t="s">
        <v>35</v>
      </c>
      <c r="D6" s="5" t="s">
        <v>58</v>
      </c>
      <c r="E6" s="5" t="s">
        <v>59</v>
      </c>
      <c r="F6" s="5" t="s">
        <v>60</v>
      </c>
      <c r="G6" s="5" t="s">
        <v>61</v>
      </c>
      <c r="H6" s="5" t="s">
        <v>12</v>
      </c>
      <c r="I6" s="5" t="s">
        <v>40</v>
      </c>
      <c r="J6" s="5" t="s">
        <v>41</v>
      </c>
      <c r="K6" s="5"/>
    </row>
    <row r="7" spans="1:11">
      <c r="A7" s="5" t="s">
        <v>33</v>
      </c>
      <c r="B7" s="5" t="s">
        <v>62</v>
      </c>
      <c r="C7" s="5" t="s">
        <v>35</v>
      </c>
      <c r="D7" s="5" t="s">
        <v>63</v>
      </c>
      <c r="E7" s="5" t="s">
        <v>64</v>
      </c>
      <c r="F7" s="5" t="s">
        <v>65</v>
      </c>
      <c r="G7" s="5" t="s">
        <v>66</v>
      </c>
      <c r="H7" s="5" t="s">
        <v>12</v>
      </c>
      <c r="I7" s="5" t="s">
        <v>40</v>
      </c>
      <c r="J7" s="5" t="s">
        <v>41</v>
      </c>
      <c r="K7" s="5"/>
    </row>
    <row r="8" spans="1:11">
      <c r="A8" s="5" t="s">
        <v>67</v>
      </c>
      <c r="B8" s="5" t="s">
        <v>68</v>
      </c>
      <c r="C8" s="5" t="s">
        <v>35</v>
      </c>
      <c r="D8" s="5" t="s">
        <v>69</v>
      </c>
      <c r="E8" s="5" t="s">
        <v>70</v>
      </c>
      <c r="F8" s="5" t="s">
        <v>71</v>
      </c>
      <c r="G8" s="5" t="s">
        <v>72</v>
      </c>
      <c r="H8" s="5" t="s">
        <v>12</v>
      </c>
      <c r="I8" s="5" t="s">
        <v>40</v>
      </c>
      <c r="J8" s="5" t="s">
        <v>41</v>
      </c>
      <c r="K8" s="5"/>
    </row>
    <row r="9" spans="1:11">
      <c r="A9" s="5" t="s">
        <v>67</v>
      </c>
      <c r="B9" s="5" t="s">
        <v>73</v>
      </c>
      <c r="C9" s="5" t="s">
        <v>35</v>
      </c>
      <c r="D9" s="5" t="s">
        <v>74</v>
      </c>
      <c r="E9" s="5" t="s">
        <v>75</v>
      </c>
      <c r="F9" s="5" t="s">
        <v>71</v>
      </c>
      <c r="G9" s="5" t="s">
        <v>76</v>
      </c>
      <c r="H9" s="5" t="s">
        <v>12</v>
      </c>
      <c r="I9" s="5" t="s">
        <v>40</v>
      </c>
      <c r="J9" s="5" t="s">
        <v>41</v>
      </c>
      <c r="K9" s="5"/>
    </row>
    <row r="10" spans="1:11">
      <c r="A10" s="5" t="s">
        <v>67</v>
      </c>
      <c r="B10" s="5" t="s">
        <v>77</v>
      </c>
      <c r="C10" s="5" t="s">
        <v>35</v>
      </c>
      <c r="D10" s="5" t="s">
        <v>78</v>
      </c>
      <c r="E10" s="5" t="s">
        <v>79</v>
      </c>
      <c r="F10" s="5" t="s">
        <v>71</v>
      </c>
      <c r="G10" s="5" t="s">
        <v>80</v>
      </c>
      <c r="H10" s="5" t="s">
        <v>12</v>
      </c>
      <c r="I10" s="5" t="s">
        <v>40</v>
      </c>
      <c r="J10" s="5" t="s">
        <v>41</v>
      </c>
      <c r="K10" s="5"/>
    </row>
    <row r="11" spans="1:11">
      <c r="A11" s="5" t="s">
        <v>67</v>
      </c>
      <c r="B11" s="5" t="s">
        <v>81</v>
      </c>
      <c r="C11" s="5" t="s">
        <v>35</v>
      </c>
      <c r="D11" s="5" t="s">
        <v>82</v>
      </c>
      <c r="E11" s="5" t="s">
        <v>83</v>
      </c>
      <c r="F11" s="5" t="s">
        <v>71</v>
      </c>
      <c r="G11" s="5" t="s">
        <v>84</v>
      </c>
      <c r="H11" s="5" t="s">
        <v>12</v>
      </c>
      <c r="I11" s="5" t="s">
        <v>40</v>
      </c>
      <c r="J11" s="5" t="s">
        <v>41</v>
      </c>
      <c r="K11" s="5"/>
    </row>
    <row r="12" spans="1:11">
      <c r="A12" s="5" t="s">
        <v>67</v>
      </c>
      <c r="B12" s="5" t="s">
        <v>85</v>
      </c>
      <c r="C12" s="5" t="s">
        <v>35</v>
      </c>
      <c r="D12" s="5" t="s">
        <v>86</v>
      </c>
      <c r="E12" s="5" t="s">
        <v>87</v>
      </c>
      <c r="F12" s="5" t="s">
        <v>71</v>
      </c>
      <c r="G12" s="5" t="s">
        <v>88</v>
      </c>
      <c r="H12" s="5" t="s">
        <v>12</v>
      </c>
      <c r="I12" s="5" t="s">
        <v>40</v>
      </c>
      <c r="J12" s="5" t="s">
        <v>41</v>
      </c>
      <c r="K12" s="5"/>
    </row>
    <row r="13" spans="1:11">
      <c r="A13" s="5" t="s">
        <v>67</v>
      </c>
      <c r="B13" s="5" t="s">
        <v>89</v>
      </c>
      <c r="C13" s="5" t="s">
        <v>35</v>
      </c>
      <c r="D13" s="5" t="s">
        <v>90</v>
      </c>
      <c r="E13" s="5" t="s">
        <v>91</v>
      </c>
      <c r="F13" s="5" t="s">
        <v>71</v>
      </c>
      <c r="G13" s="5" t="s">
        <v>92</v>
      </c>
      <c r="H13" s="5" t="s">
        <v>12</v>
      </c>
      <c r="I13" s="5" t="s">
        <v>40</v>
      </c>
      <c r="J13" s="5" t="s">
        <v>41</v>
      </c>
      <c r="K13" s="5"/>
    </row>
    <row r="14" spans="1:11">
      <c r="A14" s="5" t="s">
        <v>67</v>
      </c>
      <c r="B14" s="5" t="s">
        <v>93</v>
      </c>
      <c r="C14" s="5" t="s">
        <v>35</v>
      </c>
      <c r="D14" s="5" t="s">
        <v>94</v>
      </c>
      <c r="E14" s="5" t="s">
        <v>95</v>
      </c>
      <c r="F14" s="5" t="s">
        <v>96</v>
      </c>
      <c r="G14" s="5" t="s">
        <v>97</v>
      </c>
      <c r="H14" s="5" t="s">
        <v>12</v>
      </c>
      <c r="I14" s="5" t="s">
        <v>40</v>
      </c>
      <c r="J14" s="5" t="s">
        <v>41</v>
      </c>
      <c r="K14" s="5"/>
    </row>
    <row r="15" spans="1:11">
      <c r="A15" s="5" t="s">
        <v>67</v>
      </c>
      <c r="B15" s="5" t="s">
        <v>98</v>
      </c>
      <c r="C15" s="5" t="s">
        <v>35</v>
      </c>
      <c r="D15" s="5" t="s">
        <v>99</v>
      </c>
      <c r="E15" s="5" t="s">
        <v>100</v>
      </c>
      <c r="F15" s="5" t="s">
        <v>96</v>
      </c>
      <c r="G15" s="5" t="s">
        <v>101</v>
      </c>
      <c r="H15" s="5" t="s">
        <v>12</v>
      </c>
      <c r="I15" s="5" t="s">
        <v>40</v>
      </c>
      <c r="J15" s="5" t="s">
        <v>41</v>
      </c>
      <c r="K15" s="5"/>
    </row>
    <row r="16" spans="1:11">
      <c r="A16" s="5" t="s">
        <v>67</v>
      </c>
      <c r="B16" s="5" t="s">
        <v>102</v>
      </c>
      <c r="C16" s="5" t="s">
        <v>35</v>
      </c>
      <c r="D16" s="5" t="s">
        <v>103</v>
      </c>
      <c r="E16" s="5" t="s">
        <v>104</v>
      </c>
      <c r="F16" s="5" t="s">
        <v>71</v>
      </c>
      <c r="G16" s="5" t="s">
        <v>105</v>
      </c>
      <c r="H16" s="5" t="s">
        <v>12</v>
      </c>
      <c r="I16" s="5" t="s">
        <v>40</v>
      </c>
      <c r="J16" s="5" t="s">
        <v>41</v>
      </c>
      <c r="K16" s="5"/>
    </row>
    <row r="17" spans="1:11">
      <c r="A17" s="5" t="s">
        <v>67</v>
      </c>
      <c r="B17" s="5" t="s">
        <v>106</v>
      </c>
      <c r="C17" s="5" t="s">
        <v>35</v>
      </c>
      <c r="D17" s="5" t="s">
        <v>107</v>
      </c>
      <c r="E17" s="5" t="s">
        <v>108</v>
      </c>
      <c r="F17" s="5" t="s">
        <v>109</v>
      </c>
      <c r="G17" s="5" t="s">
        <v>110</v>
      </c>
      <c r="H17" s="5" t="s">
        <v>12</v>
      </c>
      <c r="I17" s="5" t="s">
        <v>40</v>
      </c>
      <c r="J17" s="5" t="s">
        <v>41</v>
      </c>
      <c r="K17" s="5"/>
    </row>
    <row r="18" spans="1:11">
      <c r="A18" s="5" t="s">
        <v>67</v>
      </c>
      <c r="B18" s="5" t="s">
        <v>111</v>
      </c>
      <c r="C18" s="5" t="s">
        <v>35</v>
      </c>
      <c r="D18" s="5" t="s">
        <v>112</v>
      </c>
      <c r="E18" s="5" t="s">
        <v>113</v>
      </c>
      <c r="F18" s="5" t="s">
        <v>109</v>
      </c>
      <c r="G18" s="5" t="s">
        <v>114</v>
      </c>
      <c r="H18" s="5" t="s">
        <v>12</v>
      </c>
      <c r="I18" s="5" t="s">
        <v>40</v>
      </c>
      <c r="J18" s="5" t="s">
        <v>41</v>
      </c>
      <c r="K18" s="5"/>
    </row>
    <row r="19" spans="1:11">
      <c r="A19" s="5" t="s">
        <v>67</v>
      </c>
      <c r="B19" s="5" t="s">
        <v>115</v>
      </c>
      <c r="C19" s="5" t="s">
        <v>35</v>
      </c>
      <c r="D19" s="5" t="s">
        <v>116</v>
      </c>
      <c r="E19" s="5" t="s">
        <v>117</v>
      </c>
      <c r="F19" s="5" t="s">
        <v>109</v>
      </c>
      <c r="G19" s="5" t="s">
        <v>118</v>
      </c>
      <c r="H19" s="5" t="s">
        <v>12</v>
      </c>
      <c r="I19" s="5" t="s">
        <v>40</v>
      </c>
      <c r="J19" s="5" t="s">
        <v>41</v>
      </c>
      <c r="K19" s="5"/>
    </row>
    <row r="20" spans="1:11">
      <c r="A20" s="5" t="s">
        <v>67</v>
      </c>
      <c r="B20" s="5" t="s">
        <v>119</v>
      </c>
      <c r="C20" s="5" t="s">
        <v>35</v>
      </c>
      <c r="D20" s="5" t="s">
        <v>120</v>
      </c>
      <c r="E20" s="5" t="s">
        <v>121</v>
      </c>
      <c r="F20" s="5" t="s">
        <v>122</v>
      </c>
      <c r="G20" s="5" t="s">
        <v>123</v>
      </c>
      <c r="H20" s="5" t="s">
        <v>12</v>
      </c>
      <c r="I20" s="5" t="s">
        <v>40</v>
      </c>
      <c r="J20" s="5" t="s">
        <v>41</v>
      </c>
      <c r="K20" s="5"/>
    </row>
    <row r="21" spans="1:11">
      <c r="A21" s="5" t="s">
        <v>67</v>
      </c>
      <c r="B21" s="5" t="s">
        <v>124</v>
      </c>
      <c r="C21" s="5" t="s">
        <v>35</v>
      </c>
      <c r="D21" s="5" t="s">
        <v>125</v>
      </c>
      <c r="E21" s="5" t="s">
        <v>126</v>
      </c>
      <c r="F21" s="5" t="s">
        <v>122</v>
      </c>
      <c r="G21" s="5" t="s">
        <v>127</v>
      </c>
      <c r="H21" s="5" t="s">
        <v>12</v>
      </c>
      <c r="I21" s="5" t="s">
        <v>40</v>
      </c>
      <c r="J21" s="5" t="s">
        <v>41</v>
      </c>
      <c r="K21" s="5"/>
    </row>
    <row r="22" spans="1:11">
      <c r="A22" s="5" t="s">
        <v>67</v>
      </c>
      <c r="B22" s="5" t="s">
        <v>128</v>
      </c>
      <c r="C22" s="5" t="s">
        <v>35</v>
      </c>
      <c r="D22" s="5" t="s">
        <v>129</v>
      </c>
      <c r="E22" s="5" t="s">
        <v>130</v>
      </c>
      <c r="F22" s="5" t="s">
        <v>122</v>
      </c>
      <c r="G22" s="5" t="s">
        <v>131</v>
      </c>
      <c r="H22" s="5" t="s">
        <v>12</v>
      </c>
      <c r="I22" s="5" t="s">
        <v>40</v>
      </c>
      <c r="J22" s="5" t="s">
        <v>41</v>
      </c>
      <c r="K22" s="5"/>
    </row>
    <row r="23" spans="1:11">
      <c r="A23" s="5" t="s">
        <v>67</v>
      </c>
      <c r="B23" s="5" t="s">
        <v>132</v>
      </c>
      <c r="C23" s="5" t="s">
        <v>35</v>
      </c>
      <c r="D23" s="5" t="s">
        <v>133</v>
      </c>
      <c r="E23" s="5" t="s">
        <v>134</v>
      </c>
      <c r="F23" s="5" t="s">
        <v>135</v>
      </c>
      <c r="G23" s="5" t="s">
        <v>136</v>
      </c>
      <c r="H23" s="5" t="s">
        <v>12</v>
      </c>
      <c r="I23" s="5" t="s">
        <v>40</v>
      </c>
      <c r="J23" s="5" t="s">
        <v>41</v>
      </c>
      <c r="K23" s="5"/>
    </row>
    <row r="24" spans="1:11">
      <c r="A24" s="5" t="s">
        <v>67</v>
      </c>
      <c r="B24" s="5" t="s">
        <v>137</v>
      </c>
      <c r="C24" s="5" t="s">
        <v>35</v>
      </c>
      <c r="D24" s="5" t="s">
        <v>138</v>
      </c>
      <c r="E24" s="5" t="s">
        <v>139</v>
      </c>
      <c r="F24" s="5" t="s">
        <v>140</v>
      </c>
      <c r="G24" s="5" t="s">
        <v>141</v>
      </c>
      <c r="H24" s="5" t="s">
        <v>12</v>
      </c>
      <c r="I24" s="5" t="s">
        <v>40</v>
      </c>
      <c r="J24" s="5" t="s">
        <v>41</v>
      </c>
      <c r="K24" s="5"/>
    </row>
    <row r="25" spans="1:11">
      <c r="A25" s="5" t="s">
        <v>142</v>
      </c>
      <c r="B25" s="5" t="s">
        <v>143</v>
      </c>
      <c r="C25" s="5" t="s">
        <v>35</v>
      </c>
      <c r="D25" s="5" t="s">
        <v>144</v>
      </c>
      <c r="E25" s="5" t="s">
        <v>145</v>
      </c>
      <c r="F25" s="5" t="s">
        <v>146</v>
      </c>
      <c r="G25" s="5" t="s">
        <v>147</v>
      </c>
      <c r="H25" s="5" t="s">
        <v>12</v>
      </c>
      <c r="I25" s="5" t="s">
        <v>40</v>
      </c>
      <c r="J25" s="5" t="s">
        <v>41</v>
      </c>
      <c r="K25" s="5"/>
    </row>
    <row r="26" spans="1:11">
      <c r="A26" s="5" t="s">
        <v>142</v>
      </c>
      <c r="B26" s="5" t="s">
        <v>148</v>
      </c>
      <c r="C26" s="5" t="s">
        <v>35</v>
      </c>
      <c r="D26" s="5" t="s">
        <v>149</v>
      </c>
      <c r="E26" s="5" t="s">
        <v>150</v>
      </c>
      <c r="F26" s="5" t="s">
        <v>151</v>
      </c>
      <c r="G26" s="5" t="s">
        <v>152</v>
      </c>
      <c r="H26" s="5" t="s">
        <v>12</v>
      </c>
      <c r="I26" s="5" t="s">
        <v>40</v>
      </c>
      <c r="J26" s="5" t="s">
        <v>41</v>
      </c>
      <c r="K26" s="5"/>
    </row>
    <row r="27" spans="1:11">
      <c r="A27" s="5" t="s">
        <v>142</v>
      </c>
      <c r="B27" s="5" t="s">
        <v>153</v>
      </c>
      <c r="C27" s="5" t="s">
        <v>35</v>
      </c>
      <c r="D27" s="5" t="s">
        <v>154</v>
      </c>
      <c r="E27" s="5" t="s">
        <v>155</v>
      </c>
      <c r="F27" s="5" t="s">
        <v>151</v>
      </c>
      <c r="G27" s="5" t="s">
        <v>156</v>
      </c>
      <c r="H27" s="5" t="s">
        <v>12</v>
      </c>
      <c r="I27" s="5" t="s">
        <v>40</v>
      </c>
      <c r="J27" s="5" t="s">
        <v>41</v>
      </c>
      <c r="K27" s="5"/>
    </row>
    <row r="28" spans="1:11">
      <c r="A28" s="5" t="s">
        <v>142</v>
      </c>
      <c r="B28" s="5" t="s">
        <v>157</v>
      </c>
      <c r="C28" s="5" t="s">
        <v>35</v>
      </c>
      <c r="D28" s="5" t="s">
        <v>158</v>
      </c>
      <c r="E28" s="5" t="s">
        <v>159</v>
      </c>
      <c r="F28" s="5" t="s">
        <v>151</v>
      </c>
      <c r="G28" s="5" t="s">
        <v>160</v>
      </c>
      <c r="H28" s="5" t="s">
        <v>12</v>
      </c>
      <c r="I28" s="5" t="s">
        <v>40</v>
      </c>
      <c r="J28" s="5" t="s">
        <v>41</v>
      </c>
      <c r="K28" s="5"/>
    </row>
    <row r="29" spans="1:11">
      <c r="A29" s="5" t="s">
        <v>142</v>
      </c>
      <c r="B29" s="5" t="s">
        <v>161</v>
      </c>
      <c r="C29" s="5" t="s">
        <v>35</v>
      </c>
      <c r="D29" s="5" t="s">
        <v>162</v>
      </c>
      <c r="E29" s="5" t="s">
        <v>163</v>
      </c>
      <c r="F29" s="5" t="s">
        <v>151</v>
      </c>
      <c r="G29" s="5" t="s">
        <v>164</v>
      </c>
      <c r="H29" s="5" t="s">
        <v>12</v>
      </c>
      <c r="I29" s="5" t="s">
        <v>40</v>
      </c>
      <c r="J29" s="5" t="s">
        <v>41</v>
      </c>
      <c r="K29" s="5"/>
    </row>
    <row r="30" spans="1:11">
      <c r="A30" s="5" t="s">
        <v>142</v>
      </c>
      <c r="B30" s="5" t="s">
        <v>165</v>
      </c>
      <c r="C30" s="5" t="s">
        <v>35</v>
      </c>
      <c r="D30" s="5" t="s">
        <v>166</v>
      </c>
      <c r="E30" s="5" t="s">
        <v>167</v>
      </c>
      <c r="F30" s="5" t="s">
        <v>168</v>
      </c>
      <c r="G30" s="5" t="s">
        <v>169</v>
      </c>
      <c r="H30" s="5" t="s">
        <v>12</v>
      </c>
      <c r="I30" s="5" t="s">
        <v>40</v>
      </c>
      <c r="J30" s="5" t="s">
        <v>41</v>
      </c>
      <c r="K30" s="5"/>
    </row>
    <row r="31" spans="1:11">
      <c r="A31" s="5" t="s">
        <v>142</v>
      </c>
      <c r="B31" s="5" t="s">
        <v>170</v>
      </c>
      <c r="C31" s="5" t="s">
        <v>35</v>
      </c>
      <c r="D31" s="5" t="s">
        <v>171</v>
      </c>
      <c r="E31" s="5" t="s">
        <v>172</v>
      </c>
      <c r="F31" s="5" t="s">
        <v>168</v>
      </c>
      <c r="G31" s="5" t="s">
        <v>173</v>
      </c>
      <c r="H31" s="5" t="s">
        <v>12</v>
      </c>
      <c r="I31" s="5" t="s">
        <v>40</v>
      </c>
      <c r="J31" s="5" t="s">
        <v>41</v>
      </c>
      <c r="K31" s="5"/>
    </row>
    <row r="32" spans="1:11">
      <c r="A32" s="5" t="s">
        <v>142</v>
      </c>
      <c r="B32" s="5" t="s">
        <v>174</v>
      </c>
      <c r="C32" s="5" t="s">
        <v>35</v>
      </c>
      <c r="D32" s="5" t="s">
        <v>175</v>
      </c>
      <c r="E32" s="5" t="s">
        <v>176</v>
      </c>
      <c r="F32" s="5" t="s">
        <v>177</v>
      </c>
      <c r="G32" s="5" t="s">
        <v>178</v>
      </c>
      <c r="H32" s="5" t="s">
        <v>12</v>
      </c>
      <c r="I32" s="5" t="s">
        <v>40</v>
      </c>
      <c r="J32" s="5" t="s">
        <v>41</v>
      </c>
      <c r="K32" s="5"/>
    </row>
    <row r="33" spans="1:11">
      <c r="A33" s="5" t="s">
        <v>142</v>
      </c>
      <c r="B33" s="5" t="s">
        <v>179</v>
      </c>
      <c r="C33" s="5" t="s">
        <v>35</v>
      </c>
      <c r="D33" s="5" t="s">
        <v>180</v>
      </c>
      <c r="E33" s="5" t="s">
        <v>181</v>
      </c>
      <c r="F33" s="5" t="s">
        <v>177</v>
      </c>
      <c r="G33" s="5" t="s">
        <v>182</v>
      </c>
      <c r="H33" s="5" t="s">
        <v>12</v>
      </c>
      <c r="I33" s="5" t="s">
        <v>40</v>
      </c>
      <c r="J33" s="5" t="s">
        <v>41</v>
      </c>
      <c r="K33" s="5"/>
    </row>
    <row r="34" spans="1:11">
      <c r="A34" s="5" t="s">
        <v>142</v>
      </c>
      <c r="B34" s="5" t="s">
        <v>183</v>
      </c>
      <c r="C34" s="5" t="s">
        <v>35</v>
      </c>
      <c r="D34" s="5" t="s">
        <v>184</v>
      </c>
      <c r="E34" s="5" t="s">
        <v>185</v>
      </c>
      <c r="F34" s="5" t="s">
        <v>177</v>
      </c>
      <c r="G34" s="5" t="s">
        <v>186</v>
      </c>
      <c r="H34" s="5" t="s">
        <v>12</v>
      </c>
      <c r="I34" s="5" t="s">
        <v>40</v>
      </c>
      <c r="J34" s="5" t="s">
        <v>41</v>
      </c>
      <c r="K34" s="5"/>
    </row>
    <row r="35" spans="1:11">
      <c r="A35" s="5" t="s">
        <v>142</v>
      </c>
      <c r="B35" s="5" t="s">
        <v>187</v>
      </c>
      <c r="C35" s="5" t="s">
        <v>35</v>
      </c>
      <c r="D35" s="5" t="s">
        <v>188</v>
      </c>
      <c r="E35" s="5" t="s">
        <v>189</v>
      </c>
      <c r="F35" s="5" t="s">
        <v>168</v>
      </c>
      <c r="G35" s="5" t="s">
        <v>190</v>
      </c>
      <c r="H35" s="5" t="s">
        <v>12</v>
      </c>
      <c r="I35" s="5" t="s">
        <v>40</v>
      </c>
      <c r="J35" s="5" t="s">
        <v>41</v>
      </c>
      <c r="K35" s="5"/>
    </row>
    <row r="36" spans="1:11">
      <c r="A36" s="5" t="s">
        <v>142</v>
      </c>
      <c r="B36" s="5" t="s">
        <v>191</v>
      </c>
      <c r="C36" s="5" t="s">
        <v>35</v>
      </c>
      <c r="D36" s="5" t="s">
        <v>192</v>
      </c>
      <c r="E36" s="5" t="s">
        <v>193</v>
      </c>
      <c r="F36" s="5" t="s">
        <v>194</v>
      </c>
      <c r="G36" s="5" t="s">
        <v>195</v>
      </c>
      <c r="H36" s="5" t="s">
        <v>12</v>
      </c>
      <c r="I36" s="5" t="s">
        <v>40</v>
      </c>
      <c r="J36" s="5" t="s">
        <v>41</v>
      </c>
      <c r="K36" s="5"/>
    </row>
    <row r="37" spans="1:11">
      <c r="A37" s="5" t="s">
        <v>142</v>
      </c>
      <c r="B37" s="5" t="s">
        <v>196</v>
      </c>
      <c r="C37" s="5" t="s">
        <v>35</v>
      </c>
      <c r="D37" s="5" t="s">
        <v>197</v>
      </c>
      <c r="E37" s="5" t="s">
        <v>198</v>
      </c>
      <c r="F37" s="5" t="s">
        <v>168</v>
      </c>
      <c r="G37" s="5" t="s">
        <v>199</v>
      </c>
      <c r="H37" s="5" t="s">
        <v>12</v>
      </c>
      <c r="I37" s="5" t="s">
        <v>40</v>
      </c>
      <c r="J37" s="5" t="s">
        <v>41</v>
      </c>
      <c r="K37" s="5"/>
    </row>
    <row r="38" spans="1:11">
      <c r="A38" s="5" t="s">
        <v>142</v>
      </c>
      <c r="B38" s="5" t="s">
        <v>200</v>
      </c>
      <c r="C38" s="5" t="s">
        <v>35</v>
      </c>
      <c r="D38" s="5" t="s">
        <v>201</v>
      </c>
      <c r="E38" s="5" t="s">
        <v>202</v>
      </c>
      <c r="F38" s="5" t="s">
        <v>177</v>
      </c>
      <c r="G38" s="5" t="s">
        <v>203</v>
      </c>
      <c r="H38" s="5" t="s">
        <v>12</v>
      </c>
      <c r="I38" s="5" t="s">
        <v>40</v>
      </c>
      <c r="J38" s="5" t="s">
        <v>41</v>
      </c>
      <c r="K38" s="5"/>
    </row>
    <row r="39" spans="1:11">
      <c r="A39" s="5" t="s">
        <v>142</v>
      </c>
      <c r="B39" s="5" t="s">
        <v>204</v>
      </c>
      <c r="C39" s="5" t="s">
        <v>35</v>
      </c>
      <c r="D39" s="5" t="s">
        <v>205</v>
      </c>
      <c r="E39" s="5" t="s">
        <v>206</v>
      </c>
      <c r="F39" s="5" t="s">
        <v>168</v>
      </c>
      <c r="G39" s="5" t="s">
        <v>207</v>
      </c>
      <c r="H39" s="5" t="s">
        <v>12</v>
      </c>
      <c r="I39" s="5" t="s">
        <v>40</v>
      </c>
      <c r="J39" s="5" t="s">
        <v>41</v>
      </c>
      <c r="K39" s="5"/>
    </row>
    <row r="40" spans="1:11">
      <c r="A40" s="5" t="s">
        <v>142</v>
      </c>
      <c r="B40" s="5" t="s">
        <v>208</v>
      </c>
      <c r="C40" s="5" t="s">
        <v>35</v>
      </c>
      <c r="D40" s="5" t="s">
        <v>209</v>
      </c>
      <c r="E40" s="5" t="s">
        <v>210</v>
      </c>
      <c r="F40" s="5" t="s">
        <v>168</v>
      </c>
      <c r="G40" s="5" t="s">
        <v>211</v>
      </c>
      <c r="H40" s="5" t="s">
        <v>12</v>
      </c>
      <c r="I40" s="5" t="s">
        <v>40</v>
      </c>
      <c r="J40" s="5" t="s">
        <v>41</v>
      </c>
      <c r="K40" s="5"/>
    </row>
    <row r="41" spans="1:11">
      <c r="A41" s="5" t="s">
        <v>142</v>
      </c>
      <c r="B41" s="5" t="s">
        <v>212</v>
      </c>
      <c r="C41" s="5" t="s">
        <v>35</v>
      </c>
      <c r="D41" s="5" t="s">
        <v>213</v>
      </c>
      <c r="E41" s="5" t="s">
        <v>214</v>
      </c>
      <c r="F41" s="5" t="s">
        <v>177</v>
      </c>
      <c r="G41" s="5" t="s">
        <v>215</v>
      </c>
      <c r="H41" s="5" t="s">
        <v>12</v>
      </c>
      <c r="I41" s="5" t="s">
        <v>40</v>
      </c>
      <c r="J41" s="5" t="s">
        <v>41</v>
      </c>
      <c r="K41" s="5"/>
    </row>
    <row r="42" spans="1:11">
      <c r="A42" s="5" t="s">
        <v>142</v>
      </c>
      <c r="B42" s="5" t="s">
        <v>216</v>
      </c>
      <c r="C42" s="5" t="s">
        <v>35</v>
      </c>
      <c r="D42" s="5" t="s">
        <v>217</v>
      </c>
      <c r="E42" s="5" t="s">
        <v>218</v>
      </c>
      <c r="F42" s="5" t="s">
        <v>168</v>
      </c>
      <c r="G42" s="5" t="s">
        <v>219</v>
      </c>
      <c r="H42" s="5" t="s">
        <v>12</v>
      </c>
      <c r="I42" s="5" t="s">
        <v>40</v>
      </c>
      <c r="J42" s="5" t="s">
        <v>41</v>
      </c>
      <c r="K42" s="5"/>
    </row>
    <row r="43" spans="1:11">
      <c r="A43" s="5" t="s">
        <v>142</v>
      </c>
      <c r="B43" s="5" t="s">
        <v>220</v>
      </c>
      <c r="C43" s="5" t="s">
        <v>35</v>
      </c>
      <c r="D43" s="5" t="s">
        <v>221</v>
      </c>
      <c r="E43" s="5" t="s">
        <v>222</v>
      </c>
      <c r="F43" s="5" t="s">
        <v>168</v>
      </c>
      <c r="G43" s="5" t="s">
        <v>223</v>
      </c>
      <c r="H43" s="5" t="s">
        <v>12</v>
      </c>
      <c r="I43" s="5" t="s">
        <v>40</v>
      </c>
      <c r="J43" s="5" t="s">
        <v>41</v>
      </c>
      <c r="K43" s="5"/>
    </row>
    <row r="44" spans="1:11">
      <c r="A44" s="5" t="s">
        <v>142</v>
      </c>
      <c r="B44" s="5" t="s">
        <v>224</v>
      </c>
      <c r="C44" s="5" t="s">
        <v>35</v>
      </c>
      <c r="D44" s="5" t="s">
        <v>225</v>
      </c>
      <c r="E44" s="5" t="s">
        <v>226</v>
      </c>
      <c r="F44" s="5" t="s">
        <v>227</v>
      </c>
      <c r="G44" s="5" t="s">
        <v>228</v>
      </c>
      <c r="H44" s="5" t="s">
        <v>12</v>
      </c>
      <c r="I44" s="5" t="s">
        <v>40</v>
      </c>
      <c r="J44" s="5" t="s">
        <v>41</v>
      </c>
      <c r="K44" s="5"/>
    </row>
    <row r="45" spans="1:11">
      <c r="A45" s="5" t="s">
        <v>142</v>
      </c>
      <c r="B45" s="5" t="s">
        <v>229</v>
      </c>
      <c r="C45" s="5" t="s">
        <v>35</v>
      </c>
      <c r="D45" s="5" t="s">
        <v>230</v>
      </c>
      <c r="E45" s="5" t="s">
        <v>231</v>
      </c>
      <c r="F45" s="5" t="s">
        <v>168</v>
      </c>
      <c r="G45" s="5" t="s">
        <v>232</v>
      </c>
      <c r="H45" s="5" t="s">
        <v>12</v>
      </c>
      <c r="I45" s="5" t="s">
        <v>40</v>
      </c>
      <c r="J45" s="5" t="s">
        <v>41</v>
      </c>
      <c r="K45" s="5"/>
    </row>
    <row r="46" spans="1:11">
      <c r="A46" s="5" t="s">
        <v>142</v>
      </c>
      <c r="B46" s="5" t="s">
        <v>233</v>
      </c>
      <c r="C46" s="5" t="s">
        <v>35</v>
      </c>
      <c r="D46" s="5" t="s">
        <v>234</v>
      </c>
      <c r="E46" s="5" t="s">
        <v>235</v>
      </c>
      <c r="F46" s="5" t="s">
        <v>236</v>
      </c>
      <c r="G46" s="5" t="s">
        <v>237</v>
      </c>
      <c r="H46" s="5" t="s">
        <v>12</v>
      </c>
      <c r="I46" s="5" t="s">
        <v>40</v>
      </c>
      <c r="J46" s="5" t="s">
        <v>41</v>
      </c>
      <c r="K46" s="5"/>
    </row>
    <row r="47" spans="1:11">
      <c r="A47" s="5" t="s">
        <v>142</v>
      </c>
      <c r="B47" s="5" t="s">
        <v>238</v>
      </c>
      <c r="C47" s="5" t="s">
        <v>35</v>
      </c>
      <c r="D47" s="5" t="s">
        <v>239</v>
      </c>
      <c r="E47" s="5" t="s">
        <v>240</v>
      </c>
      <c r="F47" s="5" t="s">
        <v>236</v>
      </c>
      <c r="G47" s="5" t="s">
        <v>241</v>
      </c>
      <c r="H47" s="5" t="s">
        <v>12</v>
      </c>
      <c r="I47" s="5" t="s">
        <v>40</v>
      </c>
      <c r="J47" s="5" t="s">
        <v>41</v>
      </c>
      <c r="K47" s="5"/>
    </row>
    <row r="48" spans="1:11">
      <c r="A48" s="5" t="s">
        <v>142</v>
      </c>
      <c r="B48" s="5" t="s">
        <v>242</v>
      </c>
      <c r="C48" s="5" t="s">
        <v>35</v>
      </c>
      <c r="D48" s="5" t="s">
        <v>243</v>
      </c>
      <c r="E48" s="5" t="s">
        <v>244</v>
      </c>
      <c r="F48" s="5" t="s">
        <v>236</v>
      </c>
      <c r="G48" s="5" t="s">
        <v>245</v>
      </c>
      <c r="H48" s="5" t="s">
        <v>12</v>
      </c>
      <c r="I48" s="5" t="s">
        <v>40</v>
      </c>
      <c r="J48" s="5" t="s">
        <v>41</v>
      </c>
      <c r="K48" s="5"/>
    </row>
    <row r="49" spans="1:11">
      <c r="A49" s="5" t="s">
        <v>142</v>
      </c>
      <c r="B49" s="5" t="s">
        <v>246</v>
      </c>
      <c r="C49" s="5" t="s">
        <v>35</v>
      </c>
      <c r="D49" s="5" t="s">
        <v>247</v>
      </c>
      <c r="E49" s="5" t="s">
        <v>248</v>
      </c>
      <c r="F49" s="5" t="s">
        <v>249</v>
      </c>
      <c r="G49" s="5" t="s">
        <v>250</v>
      </c>
      <c r="H49" s="5" t="s">
        <v>12</v>
      </c>
      <c r="I49" s="5" t="s">
        <v>40</v>
      </c>
      <c r="J49" s="5" t="s">
        <v>41</v>
      </c>
      <c r="K49" s="5"/>
    </row>
    <row r="50" spans="1:11">
      <c r="A50" s="5" t="s">
        <v>142</v>
      </c>
      <c r="B50" s="5" t="s">
        <v>251</v>
      </c>
      <c r="C50" s="5" t="s">
        <v>35</v>
      </c>
      <c r="D50" s="5" t="s">
        <v>252</v>
      </c>
      <c r="E50" s="5" t="s">
        <v>253</v>
      </c>
      <c r="F50" s="5" t="s">
        <v>249</v>
      </c>
      <c r="G50" s="5" t="s">
        <v>254</v>
      </c>
      <c r="H50" s="5" t="s">
        <v>12</v>
      </c>
      <c r="I50" s="5" t="s">
        <v>40</v>
      </c>
      <c r="J50" s="5" t="s">
        <v>41</v>
      </c>
      <c r="K50" s="5"/>
    </row>
    <row r="51" spans="1:11">
      <c r="A51" s="5" t="s">
        <v>142</v>
      </c>
      <c r="B51" s="5" t="s">
        <v>255</v>
      </c>
      <c r="C51" s="5" t="s">
        <v>35</v>
      </c>
      <c r="D51" s="5" t="s">
        <v>256</v>
      </c>
      <c r="E51" s="5" t="s">
        <v>257</v>
      </c>
      <c r="F51" s="5" t="s">
        <v>258</v>
      </c>
      <c r="G51" s="5" t="s">
        <v>259</v>
      </c>
      <c r="H51" s="5" t="s">
        <v>12</v>
      </c>
      <c r="I51" s="5" t="s">
        <v>40</v>
      </c>
      <c r="J51" s="5" t="s">
        <v>41</v>
      </c>
      <c r="K51" s="5"/>
    </row>
    <row r="52" spans="1:11">
      <c r="A52" s="5" t="s">
        <v>142</v>
      </c>
      <c r="B52" s="5" t="s">
        <v>260</v>
      </c>
      <c r="C52" s="5" t="s">
        <v>35</v>
      </c>
      <c r="D52" s="5" t="s">
        <v>261</v>
      </c>
      <c r="E52" s="5" t="s">
        <v>262</v>
      </c>
      <c r="F52" s="5" t="s">
        <v>263</v>
      </c>
      <c r="G52" s="5" t="s">
        <v>264</v>
      </c>
      <c r="H52" s="5" t="s">
        <v>12</v>
      </c>
      <c r="I52" s="5" t="s">
        <v>40</v>
      </c>
      <c r="J52" s="5" t="s">
        <v>41</v>
      </c>
      <c r="K52" s="5"/>
    </row>
    <row r="53" spans="1:11">
      <c r="A53" s="5" t="s">
        <v>142</v>
      </c>
      <c r="B53" s="5" t="s">
        <v>265</v>
      </c>
      <c r="C53" s="5" t="s">
        <v>35</v>
      </c>
      <c r="D53" s="5" t="s">
        <v>266</v>
      </c>
      <c r="E53" s="5" t="s">
        <v>267</v>
      </c>
      <c r="F53" s="5" t="s">
        <v>268</v>
      </c>
      <c r="G53" s="5" t="s">
        <v>269</v>
      </c>
      <c r="H53" s="5" t="s">
        <v>12</v>
      </c>
      <c r="I53" s="5" t="s">
        <v>40</v>
      </c>
      <c r="J53" s="5" t="s">
        <v>41</v>
      </c>
      <c r="K53" s="5"/>
    </row>
    <row r="54" spans="1:11">
      <c r="A54" s="5" t="s">
        <v>142</v>
      </c>
      <c r="B54" s="5" t="s">
        <v>270</v>
      </c>
      <c r="C54" s="5" t="s">
        <v>35</v>
      </c>
      <c r="D54" s="5" t="s">
        <v>271</v>
      </c>
      <c r="E54" s="5" t="s">
        <v>272</v>
      </c>
      <c r="F54" s="5" t="s">
        <v>273</v>
      </c>
      <c r="G54" s="5" t="s">
        <v>274</v>
      </c>
      <c r="H54" s="5" t="s">
        <v>12</v>
      </c>
      <c r="I54" s="5" t="s">
        <v>40</v>
      </c>
      <c r="J54" s="5" t="s">
        <v>41</v>
      </c>
      <c r="K54" s="5"/>
    </row>
    <row r="55" spans="1:11">
      <c r="A55" s="5" t="s">
        <v>142</v>
      </c>
      <c r="B55" s="5" t="s">
        <v>275</v>
      </c>
      <c r="C55" s="5" t="s">
        <v>35</v>
      </c>
      <c r="D55" s="5" t="s">
        <v>276</v>
      </c>
      <c r="E55" s="5" t="s">
        <v>277</v>
      </c>
      <c r="F55" s="5" t="s">
        <v>278</v>
      </c>
      <c r="G55" s="5" t="s">
        <v>279</v>
      </c>
      <c r="H55" s="5" t="s">
        <v>12</v>
      </c>
      <c r="I55" s="5" t="s">
        <v>40</v>
      </c>
      <c r="J55" s="5" t="s">
        <v>41</v>
      </c>
      <c r="K55" s="5"/>
    </row>
    <row r="56" spans="1:11">
      <c r="A56" s="5" t="s">
        <v>142</v>
      </c>
      <c r="B56" s="5" t="s">
        <v>280</v>
      </c>
      <c r="C56" s="5" t="s">
        <v>35</v>
      </c>
      <c r="D56" s="5" t="s">
        <v>281</v>
      </c>
      <c r="E56" s="5" t="s">
        <v>282</v>
      </c>
      <c r="F56" s="5" t="s">
        <v>283</v>
      </c>
      <c r="G56" s="5" t="s">
        <v>284</v>
      </c>
      <c r="H56" s="5" t="s">
        <v>12</v>
      </c>
      <c r="I56" s="5" t="s">
        <v>40</v>
      </c>
      <c r="J56" s="5" t="s">
        <v>41</v>
      </c>
      <c r="K56" s="5"/>
    </row>
    <row r="57" spans="1:11">
      <c r="A57" s="5" t="s">
        <v>142</v>
      </c>
      <c r="B57" s="5" t="s">
        <v>285</v>
      </c>
      <c r="C57" s="5" t="s">
        <v>35</v>
      </c>
      <c r="D57" s="5" t="s">
        <v>286</v>
      </c>
      <c r="E57" s="5" t="s">
        <v>287</v>
      </c>
      <c r="F57" s="5" t="s">
        <v>283</v>
      </c>
      <c r="G57" s="5" t="s">
        <v>288</v>
      </c>
      <c r="H57" s="5" t="s">
        <v>12</v>
      </c>
      <c r="I57" s="5" t="s">
        <v>40</v>
      </c>
      <c r="J57" s="5" t="s">
        <v>41</v>
      </c>
      <c r="K57" s="5"/>
    </row>
    <row r="58" spans="1:11">
      <c r="A58" s="5" t="s">
        <v>142</v>
      </c>
      <c r="B58" s="5" t="s">
        <v>289</v>
      </c>
      <c r="C58" s="5" t="s">
        <v>35</v>
      </c>
      <c r="D58" s="5" t="s">
        <v>290</v>
      </c>
      <c r="E58" s="5" t="s">
        <v>291</v>
      </c>
      <c r="F58" s="5" t="s">
        <v>283</v>
      </c>
      <c r="G58" s="5" t="s">
        <v>292</v>
      </c>
      <c r="H58" s="5" t="s">
        <v>12</v>
      </c>
      <c r="I58" s="5" t="s">
        <v>40</v>
      </c>
      <c r="J58" s="5" t="s">
        <v>41</v>
      </c>
      <c r="K58" s="5"/>
    </row>
    <row r="59" spans="1:11">
      <c r="A59" s="5" t="s">
        <v>142</v>
      </c>
      <c r="B59" s="5" t="s">
        <v>293</v>
      </c>
      <c r="C59" s="5" t="s">
        <v>35</v>
      </c>
      <c r="D59" s="5" t="s">
        <v>294</v>
      </c>
      <c r="E59" s="5" t="s">
        <v>295</v>
      </c>
      <c r="F59" s="5" t="s">
        <v>296</v>
      </c>
      <c r="G59" s="5" t="s">
        <v>297</v>
      </c>
      <c r="H59" s="5" t="s">
        <v>12</v>
      </c>
      <c r="I59" s="5" t="s">
        <v>40</v>
      </c>
      <c r="J59" s="5" t="s">
        <v>41</v>
      </c>
      <c r="K59" s="5"/>
    </row>
    <row r="60" spans="1:11">
      <c r="A60" s="5" t="s">
        <v>142</v>
      </c>
      <c r="B60" s="5" t="s">
        <v>298</v>
      </c>
      <c r="C60" s="5" t="s">
        <v>35</v>
      </c>
      <c r="D60" s="5" t="s">
        <v>299</v>
      </c>
      <c r="E60" s="5" t="s">
        <v>300</v>
      </c>
      <c r="F60" s="5" t="s">
        <v>301</v>
      </c>
      <c r="G60" s="5" t="s">
        <v>302</v>
      </c>
      <c r="H60" s="5" t="s">
        <v>12</v>
      </c>
      <c r="I60" s="5" t="s">
        <v>40</v>
      </c>
      <c r="J60" s="5" t="s">
        <v>41</v>
      </c>
      <c r="K60" s="5"/>
    </row>
    <row r="61" spans="1:11">
      <c r="A61" s="5" t="s">
        <v>142</v>
      </c>
      <c r="B61" s="5" t="s">
        <v>303</v>
      </c>
      <c r="C61" s="5" t="s">
        <v>35</v>
      </c>
      <c r="D61" s="5" t="s">
        <v>304</v>
      </c>
      <c r="E61" s="5" t="s">
        <v>305</v>
      </c>
      <c r="F61" s="5" t="s">
        <v>306</v>
      </c>
      <c r="G61" s="5" t="s">
        <v>307</v>
      </c>
      <c r="H61" s="5" t="s">
        <v>12</v>
      </c>
      <c r="I61" s="5" t="s">
        <v>40</v>
      </c>
      <c r="J61" s="5" t="s">
        <v>41</v>
      </c>
      <c r="K61" s="5"/>
    </row>
    <row r="62" spans="1:11">
      <c r="A62" s="5" t="s">
        <v>142</v>
      </c>
      <c r="B62" s="5" t="s">
        <v>308</v>
      </c>
      <c r="C62" s="5" t="s">
        <v>35</v>
      </c>
      <c r="D62" s="5" t="s">
        <v>309</v>
      </c>
      <c r="E62" s="5" t="s">
        <v>310</v>
      </c>
      <c r="F62" s="5" t="s">
        <v>296</v>
      </c>
      <c r="G62" s="5" t="s">
        <v>311</v>
      </c>
      <c r="H62" s="5" t="s">
        <v>12</v>
      </c>
      <c r="I62" s="5" t="s">
        <v>40</v>
      </c>
      <c r="J62" s="5" t="s">
        <v>41</v>
      </c>
      <c r="K62" s="5"/>
    </row>
    <row r="63" spans="1:11">
      <c r="A63" s="5" t="s">
        <v>142</v>
      </c>
      <c r="B63" s="5" t="s">
        <v>312</v>
      </c>
      <c r="C63" s="5" t="s">
        <v>35</v>
      </c>
      <c r="D63" s="5" t="s">
        <v>313</v>
      </c>
      <c r="E63" s="5" t="s">
        <v>314</v>
      </c>
      <c r="F63" s="5" t="s">
        <v>315</v>
      </c>
      <c r="G63" s="5" t="s">
        <v>316</v>
      </c>
      <c r="H63" s="5" t="s">
        <v>12</v>
      </c>
      <c r="I63" s="5" t="s">
        <v>40</v>
      </c>
      <c r="J63" s="5" t="s">
        <v>41</v>
      </c>
      <c r="K63" s="5"/>
    </row>
    <row r="64" spans="1:11">
      <c r="A64" s="5" t="s">
        <v>142</v>
      </c>
      <c r="B64" s="5" t="s">
        <v>317</v>
      </c>
      <c r="C64" s="5" t="s">
        <v>35</v>
      </c>
      <c r="D64" s="5" t="s">
        <v>318</v>
      </c>
      <c r="E64" s="5" t="s">
        <v>319</v>
      </c>
      <c r="F64" s="5" t="s">
        <v>315</v>
      </c>
      <c r="G64" s="5" t="s">
        <v>320</v>
      </c>
      <c r="H64" s="5" t="s">
        <v>12</v>
      </c>
      <c r="I64" s="5" t="s">
        <v>40</v>
      </c>
      <c r="J64" s="5" t="s">
        <v>41</v>
      </c>
      <c r="K64" s="5"/>
    </row>
    <row r="65" spans="1:11">
      <c r="A65" s="5" t="s">
        <v>142</v>
      </c>
      <c r="B65" s="5" t="s">
        <v>321</v>
      </c>
      <c r="C65" s="5" t="s">
        <v>35</v>
      </c>
      <c r="D65" s="5" t="s">
        <v>322</v>
      </c>
      <c r="E65" s="5" t="s">
        <v>323</v>
      </c>
      <c r="F65" s="5" t="s">
        <v>324</v>
      </c>
      <c r="G65" s="5" t="s">
        <v>325</v>
      </c>
      <c r="H65" s="5" t="s">
        <v>12</v>
      </c>
      <c r="I65" s="5" t="s">
        <v>40</v>
      </c>
      <c r="J65" s="5" t="s">
        <v>41</v>
      </c>
      <c r="K65" s="5"/>
    </row>
    <row r="66" spans="1:11">
      <c r="A66" s="5" t="s">
        <v>142</v>
      </c>
      <c r="B66" s="5" t="s">
        <v>326</v>
      </c>
      <c r="C66" s="5" t="s">
        <v>35</v>
      </c>
      <c r="D66" s="5" t="s">
        <v>327</v>
      </c>
      <c r="E66" s="5" t="s">
        <v>328</v>
      </c>
      <c r="F66" s="5" t="s">
        <v>324</v>
      </c>
      <c r="G66" s="5" t="s">
        <v>329</v>
      </c>
      <c r="H66" s="5" t="s">
        <v>12</v>
      </c>
      <c r="I66" s="5" t="s">
        <v>40</v>
      </c>
      <c r="J66" s="5" t="s">
        <v>41</v>
      </c>
      <c r="K66" s="5"/>
    </row>
    <row r="67" spans="1:11">
      <c r="A67" s="5" t="s">
        <v>142</v>
      </c>
      <c r="B67" s="5" t="s">
        <v>330</v>
      </c>
      <c r="C67" s="5" t="s">
        <v>35</v>
      </c>
      <c r="D67" s="5" t="s">
        <v>331</v>
      </c>
      <c r="E67" s="5" t="s">
        <v>332</v>
      </c>
      <c r="F67" s="5" t="s">
        <v>315</v>
      </c>
      <c r="G67" s="5" t="s">
        <v>333</v>
      </c>
      <c r="H67" s="5" t="s">
        <v>12</v>
      </c>
      <c r="I67" s="5" t="s">
        <v>40</v>
      </c>
      <c r="J67" s="5" t="s">
        <v>41</v>
      </c>
      <c r="K67" s="5"/>
    </row>
    <row r="68" spans="1:11">
      <c r="A68" s="5" t="s">
        <v>142</v>
      </c>
      <c r="B68" s="5" t="s">
        <v>334</v>
      </c>
      <c r="C68" s="5" t="s">
        <v>35</v>
      </c>
      <c r="D68" s="5" t="s">
        <v>335</v>
      </c>
      <c r="E68" s="5" t="s">
        <v>336</v>
      </c>
      <c r="F68" s="5" t="s">
        <v>337</v>
      </c>
      <c r="G68" s="5" t="s">
        <v>338</v>
      </c>
      <c r="H68" s="5" t="s">
        <v>12</v>
      </c>
      <c r="I68" s="5" t="s">
        <v>40</v>
      </c>
      <c r="J68" s="5" t="s">
        <v>41</v>
      </c>
      <c r="K68" s="5"/>
    </row>
    <row r="69" spans="1:11">
      <c r="A69" s="5" t="s">
        <v>142</v>
      </c>
      <c r="B69" s="5" t="s">
        <v>339</v>
      </c>
      <c r="C69" s="5" t="s">
        <v>35</v>
      </c>
      <c r="D69" s="5" t="s">
        <v>340</v>
      </c>
      <c r="E69" s="5" t="s">
        <v>341</v>
      </c>
      <c r="F69" s="5" t="s">
        <v>342</v>
      </c>
      <c r="G69" s="5" t="s">
        <v>343</v>
      </c>
      <c r="H69" s="5" t="s">
        <v>12</v>
      </c>
      <c r="I69" s="5" t="s">
        <v>40</v>
      </c>
      <c r="J69" s="5" t="s">
        <v>41</v>
      </c>
      <c r="K69" s="5"/>
    </row>
    <row r="70" spans="1:11">
      <c r="A70" s="5" t="s">
        <v>142</v>
      </c>
      <c r="B70" s="5" t="s">
        <v>344</v>
      </c>
      <c r="C70" s="5" t="s">
        <v>35</v>
      </c>
      <c r="D70" s="5" t="s">
        <v>345</v>
      </c>
      <c r="E70" s="5" t="s">
        <v>346</v>
      </c>
      <c r="F70" s="5" t="s">
        <v>342</v>
      </c>
      <c r="G70" s="5" t="s">
        <v>347</v>
      </c>
      <c r="H70" s="5" t="s">
        <v>12</v>
      </c>
      <c r="I70" s="5" t="s">
        <v>40</v>
      </c>
      <c r="J70" s="5" t="s">
        <v>41</v>
      </c>
      <c r="K70" s="5"/>
    </row>
    <row r="71" spans="1:11">
      <c r="A71" s="5" t="s">
        <v>142</v>
      </c>
      <c r="B71" s="5" t="s">
        <v>348</v>
      </c>
      <c r="C71" s="5" t="s">
        <v>35</v>
      </c>
      <c r="D71" s="5" t="s">
        <v>349</v>
      </c>
      <c r="E71" s="5" t="s">
        <v>350</v>
      </c>
      <c r="F71" s="5" t="s">
        <v>351</v>
      </c>
      <c r="G71" s="5" t="s">
        <v>352</v>
      </c>
      <c r="H71" s="5" t="s">
        <v>12</v>
      </c>
      <c r="I71" s="5" t="s">
        <v>40</v>
      </c>
      <c r="J71" s="5" t="s">
        <v>41</v>
      </c>
      <c r="K71" s="5"/>
    </row>
    <row r="72" spans="1:11">
      <c r="A72" s="5" t="s">
        <v>142</v>
      </c>
      <c r="B72" s="5" t="s">
        <v>353</v>
      </c>
      <c r="C72" s="5" t="s">
        <v>35</v>
      </c>
      <c r="D72" s="5" t="s">
        <v>354</v>
      </c>
      <c r="E72" s="5" t="s">
        <v>355</v>
      </c>
      <c r="F72" s="5" t="s">
        <v>356</v>
      </c>
      <c r="G72" s="5" t="s">
        <v>357</v>
      </c>
      <c r="H72" s="5" t="s">
        <v>12</v>
      </c>
      <c r="I72" s="5" t="s">
        <v>40</v>
      </c>
      <c r="J72" s="5" t="s">
        <v>41</v>
      </c>
      <c r="K72" s="5"/>
    </row>
    <row r="73" spans="1:11">
      <c r="A73" s="5" t="s">
        <v>142</v>
      </c>
      <c r="B73" s="5" t="s">
        <v>358</v>
      </c>
      <c r="C73" s="5" t="s">
        <v>35</v>
      </c>
      <c r="D73" s="5" t="s">
        <v>359</v>
      </c>
      <c r="E73" s="5" t="s">
        <v>360</v>
      </c>
      <c r="F73" s="5" t="s">
        <v>361</v>
      </c>
      <c r="G73" s="5" t="s">
        <v>362</v>
      </c>
      <c r="H73" s="5" t="s">
        <v>12</v>
      </c>
      <c r="I73" s="5" t="s">
        <v>40</v>
      </c>
      <c r="J73" s="5" t="s">
        <v>41</v>
      </c>
      <c r="K73" s="5"/>
    </row>
    <row r="74" spans="1:11">
      <c r="A74" s="5" t="s">
        <v>142</v>
      </c>
      <c r="B74" s="5" t="s">
        <v>363</v>
      </c>
      <c r="C74" s="5" t="s">
        <v>35</v>
      </c>
      <c r="D74" s="5" t="s">
        <v>364</v>
      </c>
      <c r="E74" s="5" t="s">
        <v>365</v>
      </c>
      <c r="F74" s="5" t="s">
        <v>366</v>
      </c>
      <c r="G74" s="5" t="s">
        <v>367</v>
      </c>
      <c r="H74" s="5" t="s">
        <v>12</v>
      </c>
      <c r="I74" s="5" t="s">
        <v>40</v>
      </c>
      <c r="J74" s="5" t="s">
        <v>41</v>
      </c>
      <c r="K74" s="5"/>
    </row>
    <row r="75" spans="1:11">
      <c r="A75" s="5" t="s">
        <v>142</v>
      </c>
      <c r="B75" s="5" t="s">
        <v>368</v>
      </c>
      <c r="C75" s="5" t="s">
        <v>35</v>
      </c>
      <c r="D75" s="5" t="s">
        <v>369</v>
      </c>
      <c r="E75" s="5" t="s">
        <v>370</v>
      </c>
      <c r="F75" s="5" t="s">
        <v>371</v>
      </c>
      <c r="G75" s="5" t="s">
        <v>372</v>
      </c>
      <c r="H75" s="5" t="s">
        <v>12</v>
      </c>
      <c r="I75" s="5" t="s">
        <v>40</v>
      </c>
      <c r="J75" s="5" t="s">
        <v>41</v>
      </c>
      <c r="K75" s="5"/>
    </row>
    <row r="76" spans="1:11">
      <c r="A76" s="5" t="s">
        <v>142</v>
      </c>
      <c r="B76" s="5" t="s">
        <v>373</v>
      </c>
      <c r="C76" s="5" t="s">
        <v>35</v>
      </c>
      <c r="D76" s="5" t="s">
        <v>374</v>
      </c>
      <c r="E76" s="5" t="s">
        <v>375</v>
      </c>
      <c r="F76" s="5" t="s">
        <v>296</v>
      </c>
      <c r="G76" s="5" t="s">
        <v>376</v>
      </c>
      <c r="H76" s="5" t="s">
        <v>12</v>
      </c>
      <c r="I76" s="5" t="s">
        <v>40</v>
      </c>
      <c r="J76" s="5" t="s">
        <v>41</v>
      </c>
      <c r="K76" s="5"/>
    </row>
    <row r="77" spans="1:11">
      <c r="A77" s="5" t="s">
        <v>142</v>
      </c>
      <c r="B77" s="5" t="s">
        <v>377</v>
      </c>
      <c r="C77" s="5" t="s">
        <v>35</v>
      </c>
      <c r="D77" s="5" t="s">
        <v>378</v>
      </c>
      <c r="E77" s="5" t="s">
        <v>379</v>
      </c>
      <c r="F77" s="5" t="s">
        <v>296</v>
      </c>
      <c r="G77" s="5" t="s">
        <v>380</v>
      </c>
      <c r="H77" s="5" t="s">
        <v>12</v>
      </c>
      <c r="I77" s="5" t="s">
        <v>40</v>
      </c>
      <c r="J77" s="5" t="s">
        <v>41</v>
      </c>
      <c r="K77" s="5"/>
    </row>
    <row r="78" spans="1:11">
      <c r="A78" s="5" t="s">
        <v>142</v>
      </c>
      <c r="B78" s="5" t="s">
        <v>381</v>
      </c>
      <c r="C78" s="5" t="s">
        <v>35</v>
      </c>
      <c r="D78" s="5" t="s">
        <v>382</v>
      </c>
      <c r="E78" s="5" t="s">
        <v>383</v>
      </c>
      <c r="F78" s="5" t="s">
        <v>296</v>
      </c>
      <c r="G78" s="5" t="s">
        <v>384</v>
      </c>
      <c r="H78" s="5" t="s">
        <v>12</v>
      </c>
      <c r="I78" s="5" t="s">
        <v>40</v>
      </c>
      <c r="J78" s="5" t="s">
        <v>41</v>
      </c>
      <c r="K78" s="5"/>
    </row>
    <row r="79" spans="1:11">
      <c r="A79" s="5" t="s">
        <v>142</v>
      </c>
      <c r="B79" s="5" t="s">
        <v>385</v>
      </c>
      <c r="C79" s="5" t="s">
        <v>35</v>
      </c>
      <c r="D79" s="5" t="s">
        <v>386</v>
      </c>
      <c r="E79" s="5" t="s">
        <v>387</v>
      </c>
      <c r="F79" s="5" t="s">
        <v>296</v>
      </c>
      <c r="G79" s="5" t="s">
        <v>388</v>
      </c>
      <c r="H79" s="5" t="s">
        <v>12</v>
      </c>
      <c r="I79" s="5" t="s">
        <v>40</v>
      </c>
      <c r="J79" s="5" t="s">
        <v>41</v>
      </c>
      <c r="K79" s="5"/>
    </row>
    <row r="80" spans="1:11">
      <c r="A80" s="5" t="s">
        <v>142</v>
      </c>
      <c r="B80" s="5" t="s">
        <v>389</v>
      </c>
      <c r="C80" s="5" t="s">
        <v>35</v>
      </c>
      <c r="D80" s="5" t="s">
        <v>390</v>
      </c>
      <c r="E80" s="5" t="s">
        <v>391</v>
      </c>
      <c r="F80" s="5" t="s">
        <v>296</v>
      </c>
      <c r="G80" s="5" t="s">
        <v>392</v>
      </c>
      <c r="H80" s="5" t="s">
        <v>12</v>
      </c>
      <c r="I80" s="5" t="s">
        <v>40</v>
      </c>
      <c r="J80" s="5" t="s">
        <v>41</v>
      </c>
      <c r="K80" s="5"/>
    </row>
    <row r="81" spans="1:11">
      <c r="A81" s="5" t="s">
        <v>142</v>
      </c>
      <c r="B81" s="5" t="s">
        <v>393</v>
      </c>
      <c r="C81" s="5" t="s">
        <v>35</v>
      </c>
      <c r="D81" s="5" t="s">
        <v>394</v>
      </c>
      <c r="E81" s="5" t="s">
        <v>395</v>
      </c>
      <c r="F81" s="5" t="s">
        <v>296</v>
      </c>
      <c r="G81" s="5" t="s">
        <v>396</v>
      </c>
      <c r="H81" s="5" t="s">
        <v>12</v>
      </c>
      <c r="I81" s="5" t="s">
        <v>40</v>
      </c>
      <c r="J81" s="5" t="s">
        <v>41</v>
      </c>
      <c r="K81" s="5"/>
    </row>
    <row r="82" spans="1:11">
      <c r="A82" s="5" t="s">
        <v>142</v>
      </c>
      <c r="B82" s="5" t="s">
        <v>397</v>
      </c>
      <c r="C82" s="5" t="s">
        <v>35</v>
      </c>
      <c r="D82" s="5" t="s">
        <v>398</v>
      </c>
      <c r="E82" s="5" t="s">
        <v>399</v>
      </c>
      <c r="F82" s="5" t="s">
        <v>400</v>
      </c>
      <c r="G82" s="5" t="s">
        <v>401</v>
      </c>
      <c r="H82" s="5" t="s">
        <v>12</v>
      </c>
      <c r="I82" s="5" t="s">
        <v>40</v>
      </c>
      <c r="J82" s="5" t="s">
        <v>41</v>
      </c>
      <c r="K82" s="5"/>
    </row>
    <row r="83" spans="1:11">
      <c r="A83" s="5" t="s">
        <v>142</v>
      </c>
      <c r="B83" s="5" t="s">
        <v>402</v>
      </c>
      <c r="C83" s="5" t="s">
        <v>35</v>
      </c>
      <c r="D83" s="5" t="s">
        <v>403</v>
      </c>
      <c r="E83" s="5" t="s">
        <v>404</v>
      </c>
      <c r="F83" s="5" t="s">
        <v>296</v>
      </c>
      <c r="G83" s="5" t="s">
        <v>405</v>
      </c>
      <c r="H83" s="5" t="s">
        <v>12</v>
      </c>
      <c r="I83" s="5" t="s">
        <v>40</v>
      </c>
      <c r="J83" s="5" t="s">
        <v>41</v>
      </c>
      <c r="K83" s="5"/>
    </row>
    <row r="84" spans="1:11">
      <c r="A84" s="5" t="s">
        <v>142</v>
      </c>
      <c r="B84" s="5" t="s">
        <v>406</v>
      </c>
      <c r="C84" s="5" t="s">
        <v>35</v>
      </c>
      <c r="D84" s="5" t="s">
        <v>407</v>
      </c>
      <c r="E84" s="5" t="s">
        <v>408</v>
      </c>
      <c r="F84" s="5" t="s">
        <v>301</v>
      </c>
      <c r="G84" s="5" t="s">
        <v>409</v>
      </c>
      <c r="H84" s="5" t="s">
        <v>12</v>
      </c>
      <c r="I84" s="5" t="s">
        <v>40</v>
      </c>
      <c r="J84" s="5" t="s">
        <v>41</v>
      </c>
      <c r="K84" s="5"/>
    </row>
    <row r="85" spans="1:11">
      <c r="A85" s="5" t="s">
        <v>142</v>
      </c>
      <c r="B85" s="5" t="s">
        <v>410</v>
      </c>
      <c r="C85" s="5" t="s">
        <v>35</v>
      </c>
      <c r="D85" s="5" t="s">
        <v>411</v>
      </c>
      <c r="E85" s="5" t="s">
        <v>412</v>
      </c>
      <c r="F85" s="5" t="s">
        <v>301</v>
      </c>
      <c r="G85" s="5" t="s">
        <v>413</v>
      </c>
      <c r="H85" s="5" t="s">
        <v>12</v>
      </c>
      <c r="I85" s="5" t="s">
        <v>40</v>
      </c>
      <c r="J85" s="5" t="s">
        <v>41</v>
      </c>
      <c r="K85" s="5"/>
    </row>
    <row r="86" spans="1:11">
      <c r="A86" s="5" t="s">
        <v>142</v>
      </c>
      <c r="B86" s="5" t="s">
        <v>414</v>
      </c>
      <c r="C86" s="5" t="s">
        <v>35</v>
      </c>
      <c r="D86" s="5" t="s">
        <v>415</v>
      </c>
      <c r="E86" s="5" t="s">
        <v>416</v>
      </c>
      <c r="F86" s="5" t="s">
        <v>417</v>
      </c>
      <c r="G86" s="5" t="s">
        <v>418</v>
      </c>
      <c r="H86" s="5" t="s">
        <v>12</v>
      </c>
      <c r="I86" s="5" t="s">
        <v>40</v>
      </c>
      <c r="J86" s="5" t="s">
        <v>41</v>
      </c>
      <c r="K86" s="5"/>
    </row>
    <row r="87" spans="1:11">
      <c r="A87" s="5" t="s">
        <v>142</v>
      </c>
      <c r="B87" s="5" t="s">
        <v>419</v>
      </c>
      <c r="C87" s="5" t="s">
        <v>35</v>
      </c>
      <c r="D87" s="5" t="s">
        <v>420</v>
      </c>
      <c r="E87" s="5" t="s">
        <v>421</v>
      </c>
      <c r="F87" s="5" t="s">
        <v>417</v>
      </c>
      <c r="G87" s="5" t="s">
        <v>422</v>
      </c>
      <c r="H87" s="5" t="s">
        <v>12</v>
      </c>
      <c r="I87" s="5" t="s">
        <v>40</v>
      </c>
      <c r="J87" s="5" t="s">
        <v>41</v>
      </c>
      <c r="K87" s="5"/>
    </row>
    <row r="88" spans="1:11">
      <c r="A88" s="5" t="s">
        <v>142</v>
      </c>
      <c r="B88" s="5" t="s">
        <v>423</v>
      </c>
      <c r="C88" s="5" t="s">
        <v>35</v>
      </c>
      <c r="D88" s="5" t="s">
        <v>424</v>
      </c>
      <c r="E88" s="5" t="s">
        <v>425</v>
      </c>
      <c r="F88" s="5" t="s">
        <v>426</v>
      </c>
      <c r="G88" s="5" t="s">
        <v>427</v>
      </c>
      <c r="H88" s="5" t="s">
        <v>12</v>
      </c>
      <c r="I88" s="5" t="s">
        <v>40</v>
      </c>
      <c r="J88" s="5" t="s">
        <v>41</v>
      </c>
      <c r="K88" s="5"/>
    </row>
    <row r="89" spans="1:11">
      <c r="A89" s="5" t="s">
        <v>142</v>
      </c>
      <c r="B89" s="5" t="s">
        <v>428</v>
      </c>
      <c r="C89" s="5" t="s">
        <v>35</v>
      </c>
      <c r="D89" s="5" t="s">
        <v>429</v>
      </c>
      <c r="E89" s="5" t="s">
        <v>430</v>
      </c>
      <c r="F89" s="5" t="s">
        <v>426</v>
      </c>
      <c r="G89" s="5" t="s">
        <v>431</v>
      </c>
      <c r="H89" s="5" t="s">
        <v>12</v>
      </c>
      <c r="I89" s="5" t="s">
        <v>40</v>
      </c>
      <c r="J89" s="5" t="s">
        <v>41</v>
      </c>
      <c r="K89" s="5"/>
    </row>
    <row r="90" spans="1:11">
      <c r="A90" s="5" t="s">
        <v>142</v>
      </c>
      <c r="B90" s="5" t="s">
        <v>432</v>
      </c>
      <c r="C90" s="5" t="s">
        <v>35</v>
      </c>
      <c r="D90" s="5" t="s">
        <v>433</v>
      </c>
      <c r="E90" s="5" t="s">
        <v>434</v>
      </c>
      <c r="F90" s="5" t="s">
        <v>435</v>
      </c>
      <c r="G90" s="5" t="s">
        <v>436</v>
      </c>
      <c r="H90" s="5" t="s">
        <v>12</v>
      </c>
      <c r="I90" s="5" t="s">
        <v>40</v>
      </c>
      <c r="J90" s="5" t="s">
        <v>41</v>
      </c>
      <c r="K90" s="5"/>
    </row>
    <row r="91" spans="1:11">
      <c r="A91" s="5" t="s">
        <v>142</v>
      </c>
      <c r="B91" s="5" t="s">
        <v>437</v>
      </c>
      <c r="C91" s="5" t="s">
        <v>35</v>
      </c>
      <c r="D91" s="5" t="s">
        <v>438</v>
      </c>
      <c r="E91" s="5" t="s">
        <v>439</v>
      </c>
      <c r="F91" s="5" t="s">
        <v>435</v>
      </c>
      <c r="G91" s="5" t="s">
        <v>440</v>
      </c>
      <c r="H91" s="5" t="s">
        <v>12</v>
      </c>
      <c r="I91" s="5" t="s">
        <v>40</v>
      </c>
      <c r="J91" s="5" t="s">
        <v>41</v>
      </c>
      <c r="K91" s="5"/>
    </row>
    <row r="92" spans="1:11">
      <c r="A92" s="5" t="s">
        <v>142</v>
      </c>
      <c r="B92" s="5" t="s">
        <v>441</v>
      </c>
      <c r="C92" s="5" t="s">
        <v>35</v>
      </c>
      <c r="D92" s="5" t="s">
        <v>442</v>
      </c>
      <c r="E92" s="5" t="s">
        <v>443</v>
      </c>
      <c r="F92" s="5" t="s">
        <v>444</v>
      </c>
      <c r="G92" s="5" t="s">
        <v>445</v>
      </c>
      <c r="H92" s="5" t="s">
        <v>12</v>
      </c>
      <c r="I92" s="5" t="s">
        <v>40</v>
      </c>
      <c r="J92" s="5" t="s">
        <v>41</v>
      </c>
      <c r="K92" s="5"/>
    </row>
    <row r="93" spans="1:11">
      <c r="A93" s="5" t="s">
        <v>142</v>
      </c>
      <c r="B93" s="5" t="s">
        <v>446</v>
      </c>
      <c r="C93" s="5" t="s">
        <v>35</v>
      </c>
      <c r="D93" s="5" t="s">
        <v>447</v>
      </c>
      <c r="E93" s="5" t="s">
        <v>448</v>
      </c>
      <c r="F93" s="5" t="s">
        <v>444</v>
      </c>
      <c r="G93" s="5" t="s">
        <v>449</v>
      </c>
      <c r="H93" s="5" t="s">
        <v>12</v>
      </c>
      <c r="I93" s="5" t="s">
        <v>40</v>
      </c>
      <c r="J93" s="5" t="s">
        <v>41</v>
      </c>
      <c r="K93" s="5"/>
    </row>
    <row r="94" spans="1:11">
      <c r="A94" s="5" t="s">
        <v>142</v>
      </c>
      <c r="B94" s="5" t="s">
        <v>450</v>
      </c>
      <c r="C94" s="5" t="s">
        <v>35</v>
      </c>
      <c r="D94" s="5" t="s">
        <v>451</v>
      </c>
      <c r="E94" s="5" t="s">
        <v>452</v>
      </c>
      <c r="F94" s="5" t="s">
        <v>453</v>
      </c>
      <c r="G94" s="5" t="s">
        <v>454</v>
      </c>
      <c r="H94" s="5" t="s">
        <v>12</v>
      </c>
      <c r="I94" s="5" t="s">
        <v>40</v>
      </c>
      <c r="J94" s="5" t="s">
        <v>41</v>
      </c>
      <c r="K94" s="5"/>
    </row>
    <row r="95" spans="1:11">
      <c r="A95" s="5" t="s">
        <v>142</v>
      </c>
      <c r="B95" s="5" t="s">
        <v>455</v>
      </c>
      <c r="C95" s="5" t="s">
        <v>35</v>
      </c>
      <c r="D95" s="5" t="s">
        <v>456</v>
      </c>
      <c r="E95" s="5" t="s">
        <v>457</v>
      </c>
      <c r="F95" s="5" t="s">
        <v>458</v>
      </c>
      <c r="G95" s="5" t="s">
        <v>459</v>
      </c>
      <c r="H95" s="5" t="s">
        <v>12</v>
      </c>
      <c r="I95" s="5" t="s">
        <v>40</v>
      </c>
      <c r="J95" s="5" t="s">
        <v>41</v>
      </c>
      <c r="K95" s="5"/>
    </row>
    <row r="96" spans="1:11">
      <c r="A96" s="5" t="s">
        <v>142</v>
      </c>
      <c r="B96" s="5" t="s">
        <v>460</v>
      </c>
      <c r="C96" s="5" t="s">
        <v>35</v>
      </c>
      <c r="D96" s="5" t="s">
        <v>461</v>
      </c>
      <c r="E96" s="5" t="s">
        <v>462</v>
      </c>
      <c r="F96" s="5" t="s">
        <v>458</v>
      </c>
      <c r="G96" s="5" t="s">
        <v>463</v>
      </c>
      <c r="H96" s="5" t="s">
        <v>12</v>
      </c>
      <c r="I96" s="5" t="s">
        <v>40</v>
      </c>
      <c r="J96" s="5" t="s">
        <v>41</v>
      </c>
      <c r="K96" s="5"/>
    </row>
    <row r="97" spans="1:11">
      <c r="A97" s="5" t="s">
        <v>142</v>
      </c>
      <c r="B97" s="5" t="s">
        <v>464</v>
      </c>
      <c r="C97" s="5" t="s">
        <v>35</v>
      </c>
      <c r="D97" s="5" t="s">
        <v>465</v>
      </c>
      <c r="E97" s="5" t="s">
        <v>466</v>
      </c>
      <c r="F97" s="5" t="s">
        <v>467</v>
      </c>
      <c r="G97" s="5" t="s">
        <v>468</v>
      </c>
      <c r="H97" s="5" t="s">
        <v>12</v>
      </c>
      <c r="I97" s="5" t="s">
        <v>40</v>
      </c>
      <c r="J97" s="5" t="s">
        <v>41</v>
      </c>
      <c r="K97" s="5"/>
    </row>
    <row r="98" spans="1:11">
      <c r="A98" s="5" t="s">
        <v>142</v>
      </c>
      <c r="B98" s="5" t="s">
        <v>469</v>
      </c>
      <c r="C98" s="5" t="s">
        <v>35</v>
      </c>
      <c r="D98" s="5" t="s">
        <v>470</v>
      </c>
      <c r="E98" s="5" t="s">
        <v>471</v>
      </c>
      <c r="F98" s="5" t="s">
        <v>472</v>
      </c>
      <c r="G98" s="5" t="s">
        <v>473</v>
      </c>
      <c r="H98" s="5" t="s">
        <v>12</v>
      </c>
      <c r="I98" s="5" t="s">
        <v>40</v>
      </c>
      <c r="J98" s="5" t="s">
        <v>41</v>
      </c>
      <c r="K98" s="5"/>
    </row>
    <row r="99" spans="1:11">
      <c r="A99" s="5" t="s">
        <v>142</v>
      </c>
      <c r="B99" s="5" t="s">
        <v>474</v>
      </c>
      <c r="C99" s="5" t="s">
        <v>35</v>
      </c>
      <c r="D99" s="5" t="s">
        <v>475</v>
      </c>
      <c r="E99" s="5" t="s">
        <v>476</v>
      </c>
      <c r="F99" s="5" t="s">
        <v>472</v>
      </c>
      <c r="G99" s="5" t="s">
        <v>477</v>
      </c>
      <c r="H99" s="5" t="s">
        <v>12</v>
      </c>
      <c r="I99" s="5" t="s">
        <v>40</v>
      </c>
      <c r="J99" s="5" t="s">
        <v>41</v>
      </c>
      <c r="K99" s="5"/>
    </row>
    <row r="100" spans="1:11">
      <c r="A100" s="5" t="s">
        <v>142</v>
      </c>
      <c r="B100" s="5" t="s">
        <v>478</v>
      </c>
      <c r="C100" s="5" t="s">
        <v>35</v>
      </c>
      <c r="D100" s="5" t="s">
        <v>479</v>
      </c>
      <c r="E100" s="5" t="s">
        <v>480</v>
      </c>
      <c r="F100" s="5" t="s">
        <v>481</v>
      </c>
      <c r="G100" s="5" t="s">
        <v>482</v>
      </c>
      <c r="H100" s="5" t="s">
        <v>12</v>
      </c>
      <c r="I100" s="5" t="s">
        <v>40</v>
      </c>
      <c r="J100" s="5" t="s">
        <v>41</v>
      </c>
      <c r="K100" s="5"/>
    </row>
    <row r="101" spans="1:11">
      <c r="A101" s="5" t="s">
        <v>142</v>
      </c>
      <c r="B101" s="5" t="s">
        <v>483</v>
      </c>
      <c r="C101" s="5" t="s">
        <v>35</v>
      </c>
      <c r="D101" s="5" t="s">
        <v>484</v>
      </c>
      <c r="E101" s="5" t="s">
        <v>485</v>
      </c>
      <c r="F101" s="5" t="s">
        <v>486</v>
      </c>
      <c r="G101" s="5" t="s">
        <v>487</v>
      </c>
      <c r="H101" s="5" t="s">
        <v>12</v>
      </c>
      <c r="I101" s="5" t="s">
        <v>40</v>
      </c>
      <c r="J101" s="5" t="s">
        <v>41</v>
      </c>
      <c r="K101" s="5"/>
    </row>
    <row r="102" spans="1:11">
      <c r="A102" s="5" t="s">
        <v>142</v>
      </c>
      <c r="B102" s="5" t="s">
        <v>488</v>
      </c>
      <c r="C102" s="5" t="s">
        <v>35</v>
      </c>
      <c r="D102" s="5" t="s">
        <v>489</v>
      </c>
      <c r="E102" s="5" t="s">
        <v>490</v>
      </c>
      <c r="F102" s="5" t="s">
        <v>491</v>
      </c>
      <c r="G102" s="5" t="s">
        <v>492</v>
      </c>
      <c r="H102" s="5" t="s">
        <v>12</v>
      </c>
      <c r="I102" s="5" t="s">
        <v>40</v>
      </c>
      <c r="J102" s="5" t="s">
        <v>41</v>
      </c>
      <c r="K102" s="5"/>
    </row>
    <row r="103" spans="1:11">
      <c r="A103" s="5" t="s">
        <v>142</v>
      </c>
      <c r="B103" s="5" t="s">
        <v>493</v>
      </c>
      <c r="C103" s="5" t="s">
        <v>35</v>
      </c>
      <c r="D103" s="5" t="s">
        <v>494</v>
      </c>
      <c r="E103" s="5" t="s">
        <v>495</v>
      </c>
      <c r="F103" s="5" t="s">
        <v>496</v>
      </c>
      <c r="G103" s="5" t="s">
        <v>497</v>
      </c>
      <c r="H103" s="5" t="s">
        <v>12</v>
      </c>
      <c r="I103" s="5" t="s">
        <v>40</v>
      </c>
      <c r="J103" s="5" t="s">
        <v>41</v>
      </c>
      <c r="K103" s="5"/>
    </row>
    <row r="104" spans="1:11">
      <c r="A104" s="5" t="s">
        <v>142</v>
      </c>
      <c r="B104" s="5" t="s">
        <v>498</v>
      </c>
      <c r="C104" s="5" t="s">
        <v>35</v>
      </c>
      <c r="D104" s="5" t="s">
        <v>499</v>
      </c>
      <c r="E104" s="5" t="s">
        <v>500</v>
      </c>
      <c r="F104" s="5" t="s">
        <v>501</v>
      </c>
      <c r="G104" s="5" t="s">
        <v>502</v>
      </c>
      <c r="H104" s="5" t="s">
        <v>12</v>
      </c>
      <c r="I104" s="5" t="s">
        <v>40</v>
      </c>
      <c r="J104" s="5" t="s">
        <v>41</v>
      </c>
      <c r="K104" s="5"/>
    </row>
    <row r="105" spans="1:11">
      <c r="A105" s="5" t="s">
        <v>142</v>
      </c>
      <c r="B105" s="5" t="s">
        <v>503</v>
      </c>
      <c r="C105" s="5" t="s">
        <v>35</v>
      </c>
      <c r="D105" s="5" t="s">
        <v>504</v>
      </c>
      <c r="E105" s="5" t="s">
        <v>505</v>
      </c>
      <c r="F105" s="5" t="s">
        <v>506</v>
      </c>
      <c r="G105" s="5" t="s">
        <v>507</v>
      </c>
      <c r="H105" s="5" t="s">
        <v>12</v>
      </c>
      <c r="I105" s="5" t="s">
        <v>40</v>
      </c>
      <c r="J105" s="5" t="s">
        <v>41</v>
      </c>
      <c r="K105" s="5"/>
    </row>
    <row r="106" spans="1:11">
      <c r="A106" s="5" t="s">
        <v>142</v>
      </c>
      <c r="B106" s="5" t="s">
        <v>508</v>
      </c>
      <c r="C106" s="5" t="s">
        <v>35</v>
      </c>
      <c r="D106" s="5" t="s">
        <v>509</v>
      </c>
      <c r="E106" s="5" t="s">
        <v>510</v>
      </c>
      <c r="F106" s="5" t="s">
        <v>511</v>
      </c>
      <c r="G106" s="5" t="s">
        <v>512</v>
      </c>
      <c r="H106" s="5" t="s">
        <v>12</v>
      </c>
      <c r="I106" s="5" t="s">
        <v>40</v>
      </c>
      <c r="J106" s="5" t="s">
        <v>41</v>
      </c>
      <c r="K106" s="5"/>
    </row>
    <row r="107" spans="1:11">
      <c r="A107" s="5" t="s">
        <v>142</v>
      </c>
      <c r="B107" s="5" t="s">
        <v>513</v>
      </c>
      <c r="C107" s="5" t="s">
        <v>35</v>
      </c>
      <c r="D107" s="5" t="s">
        <v>514</v>
      </c>
      <c r="E107" s="5" t="s">
        <v>515</v>
      </c>
      <c r="F107" s="5" t="s">
        <v>516</v>
      </c>
      <c r="G107" s="5" t="s">
        <v>517</v>
      </c>
      <c r="H107" s="5" t="s">
        <v>12</v>
      </c>
      <c r="I107" s="5" t="s">
        <v>40</v>
      </c>
      <c r="J107" s="5" t="s">
        <v>41</v>
      </c>
      <c r="K107" s="5"/>
    </row>
    <row r="108" spans="1:11">
      <c r="A108" s="5" t="s">
        <v>142</v>
      </c>
      <c r="B108" s="5" t="s">
        <v>518</v>
      </c>
      <c r="C108" s="5" t="s">
        <v>35</v>
      </c>
      <c r="D108" s="5" t="s">
        <v>519</v>
      </c>
      <c r="E108" s="5" t="s">
        <v>520</v>
      </c>
      <c r="F108" s="5" t="s">
        <v>521</v>
      </c>
      <c r="G108" s="5" t="s">
        <v>522</v>
      </c>
      <c r="H108" s="5" t="s">
        <v>12</v>
      </c>
      <c r="I108" s="5" t="s">
        <v>40</v>
      </c>
      <c r="J108" s="5" t="s">
        <v>41</v>
      </c>
      <c r="K108" s="5"/>
    </row>
    <row r="109" spans="1:11">
      <c r="A109" s="5" t="s">
        <v>142</v>
      </c>
      <c r="B109" s="5" t="s">
        <v>523</v>
      </c>
      <c r="C109" s="5" t="s">
        <v>35</v>
      </c>
      <c r="D109" s="5" t="s">
        <v>524</v>
      </c>
      <c r="E109" s="5" t="s">
        <v>525</v>
      </c>
      <c r="F109" s="5" t="s">
        <v>521</v>
      </c>
      <c r="G109" s="5" t="s">
        <v>526</v>
      </c>
      <c r="H109" s="5" t="s">
        <v>12</v>
      </c>
      <c r="I109" s="5" t="s">
        <v>40</v>
      </c>
      <c r="J109" s="5" t="s">
        <v>41</v>
      </c>
      <c r="K109" s="5"/>
    </row>
    <row r="110" spans="1:11">
      <c r="A110" s="5" t="s">
        <v>142</v>
      </c>
      <c r="B110" s="5" t="s">
        <v>527</v>
      </c>
      <c r="C110" s="5" t="s">
        <v>35</v>
      </c>
      <c r="D110" s="5" t="s">
        <v>528</v>
      </c>
      <c r="E110" s="5" t="s">
        <v>529</v>
      </c>
      <c r="F110" s="5" t="s">
        <v>530</v>
      </c>
      <c r="G110" s="5" t="s">
        <v>531</v>
      </c>
      <c r="H110" s="5" t="s">
        <v>12</v>
      </c>
      <c r="I110" s="5" t="s">
        <v>40</v>
      </c>
      <c r="J110" s="5" t="s">
        <v>41</v>
      </c>
      <c r="K110" s="5"/>
    </row>
    <row r="111" spans="1:11">
      <c r="A111" s="5" t="s">
        <v>142</v>
      </c>
      <c r="B111" s="5" t="s">
        <v>532</v>
      </c>
      <c r="C111" s="5" t="s">
        <v>35</v>
      </c>
      <c r="D111" s="5" t="s">
        <v>533</v>
      </c>
      <c r="E111" s="5" t="s">
        <v>534</v>
      </c>
      <c r="F111" s="5" t="s">
        <v>535</v>
      </c>
      <c r="G111" s="5" t="s">
        <v>536</v>
      </c>
      <c r="H111" s="5" t="s">
        <v>12</v>
      </c>
      <c r="I111" s="5" t="s">
        <v>40</v>
      </c>
      <c r="J111" s="5" t="s">
        <v>41</v>
      </c>
      <c r="K111" s="5"/>
    </row>
    <row r="112" spans="1:11">
      <c r="A112" s="5" t="s">
        <v>142</v>
      </c>
      <c r="B112" s="5" t="s">
        <v>537</v>
      </c>
      <c r="C112" s="5" t="s">
        <v>35</v>
      </c>
      <c r="D112" s="5" t="s">
        <v>538</v>
      </c>
      <c r="E112" s="5" t="s">
        <v>539</v>
      </c>
      <c r="F112" s="5" t="s">
        <v>540</v>
      </c>
      <c r="G112" s="5" t="s">
        <v>541</v>
      </c>
      <c r="H112" s="5" t="s">
        <v>12</v>
      </c>
      <c r="I112" s="5" t="s">
        <v>40</v>
      </c>
      <c r="J112" s="5" t="s">
        <v>41</v>
      </c>
      <c r="K112" s="5"/>
    </row>
    <row r="113" spans="1:11">
      <c r="A113" s="5" t="s">
        <v>142</v>
      </c>
      <c r="B113" s="5" t="s">
        <v>542</v>
      </c>
      <c r="C113" s="5" t="s">
        <v>35</v>
      </c>
      <c r="D113" s="5" t="s">
        <v>543</v>
      </c>
      <c r="E113" s="5" t="s">
        <v>544</v>
      </c>
      <c r="F113" s="5" t="s">
        <v>545</v>
      </c>
      <c r="G113" s="5" t="s">
        <v>546</v>
      </c>
      <c r="H113" s="5" t="s">
        <v>12</v>
      </c>
      <c r="I113" s="5" t="s">
        <v>40</v>
      </c>
      <c r="J113" s="5" t="s">
        <v>41</v>
      </c>
      <c r="K113" s="5"/>
    </row>
    <row r="114" spans="1:11">
      <c r="A114" s="5" t="s">
        <v>142</v>
      </c>
      <c r="B114" s="5" t="s">
        <v>547</v>
      </c>
      <c r="C114" s="5" t="s">
        <v>35</v>
      </c>
      <c r="D114" s="5" t="s">
        <v>548</v>
      </c>
      <c r="E114" s="5" t="s">
        <v>549</v>
      </c>
      <c r="F114" s="5" t="s">
        <v>550</v>
      </c>
      <c r="G114" s="5" t="s">
        <v>551</v>
      </c>
      <c r="H114" s="5" t="s">
        <v>12</v>
      </c>
      <c r="I114" s="5" t="s">
        <v>40</v>
      </c>
      <c r="J114" s="5" t="s">
        <v>41</v>
      </c>
      <c r="K114" s="5"/>
    </row>
    <row r="115" spans="1:11">
      <c r="A115" s="5" t="s">
        <v>142</v>
      </c>
      <c r="B115" s="5" t="s">
        <v>552</v>
      </c>
      <c r="C115" s="5" t="s">
        <v>35</v>
      </c>
      <c r="D115" s="5" t="s">
        <v>553</v>
      </c>
      <c r="E115" s="5" t="s">
        <v>554</v>
      </c>
      <c r="F115" s="5" t="s">
        <v>496</v>
      </c>
      <c r="G115" s="5" t="s">
        <v>555</v>
      </c>
      <c r="H115" s="5" t="s">
        <v>12</v>
      </c>
      <c r="I115" s="5" t="s">
        <v>40</v>
      </c>
      <c r="J115" s="5" t="s">
        <v>41</v>
      </c>
      <c r="K115" s="5"/>
    </row>
    <row r="116" spans="1:11">
      <c r="A116" s="5" t="s">
        <v>142</v>
      </c>
      <c r="B116" s="5" t="s">
        <v>556</v>
      </c>
      <c r="C116" s="5" t="s">
        <v>35</v>
      </c>
      <c r="D116" s="5" t="s">
        <v>557</v>
      </c>
      <c r="E116" s="5" t="s">
        <v>558</v>
      </c>
      <c r="F116" s="5" t="s">
        <v>559</v>
      </c>
      <c r="G116" s="5" t="s">
        <v>560</v>
      </c>
      <c r="H116" s="5" t="s">
        <v>12</v>
      </c>
      <c r="I116" s="5" t="s">
        <v>40</v>
      </c>
      <c r="J116" s="5" t="s">
        <v>41</v>
      </c>
      <c r="K116" s="5"/>
    </row>
    <row r="117" spans="1:11">
      <c r="A117" s="5" t="s">
        <v>142</v>
      </c>
      <c r="B117" s="5" t="s">
        <v>561</v>
      </c>
      <c r="C117" s="5" t="s">
        <v>35</v>
      </c>
      <c r="D117" s="5" t="s">
        <v>562</v>
      </c>
      <c r="E117" s="5" t="s">
        <v>563</v>
      </c>
      <c r="F117" s="5" t="s">
        <v>467</v>
      </c>
      <c r="G117" s="5" t="s">
        <v>564</v>
      </c>
      <c r="H117" s="5" t="s">
        <v>12</v>
      </c>
      <c r="I117" s="5" t="s">
        <v>40</v>
      </c>
      <c r="J117" s="5" t="s">
        <v>41</v>
      </c>
      <c r="K117" s="5"/>
    </row>
    <row r="118" spans="1:11">
      <c r="A118" s="5" t="s">
        <v>142</v>
      </c>
      <c r="B118" s="5" t="s">
        <v>565</v>
      </c>
      <c r="C118" s="5" t="s">
        <v>35</v>
      </c>
      <c r="D118" s="5" t="s">
        <v>566</v>
      </c>
      <c r="E118" s="5" t="s">
        <v>567</v>
      </c>
      <c r="F118" s="5" t="s">
        <v>568</v>
      </c>
      <c r="G118" s="5" t="s">
        <v>569</v>
      </c>
      <c r="H118" s="5" t="s">
        <v>12</v>
      </c>
      <c r="I118" s="5" t="s">
        <v>40</v>
      </c>
      <c r="J118" s="5" t="s">
        <v>41</v>
      </c>
      <c r="K118" s="5"/>
    </row>
    <row r="119" spans="1:11">
      <c r="A119" s="5" t="s">
        <v>142</v>
      </c>
      <c r="B119" s="5" t="s">
        <v>570</v>
      </c>
      <c r="C119" s="5" t="s">
        <v>35</v>
      </c>
      <c r="D119" s="5" t="s">
        <v>571</v>
      </c>
      <c r="E119" s="5" t="s">
        <v>572</v>
      </c>
      <c r="F119" s="5" t="s">
        <v>573</v>
      </c>
      <c r="G119" s="5" t="s">
        <v>574</v>
      </c>
      <c r="H119" s="5" t="s">
        <v>12</v>
      </c>
      <c r="I119" s="5" t="s">
        <v>40</v>
      </c>
      <c r="J119" s="5" t="s">
        <v>41</v>
      </c>
      <c r="K119" s="5"/>
    </row>
    <row r="120" spans="1:11">
      <c r="A120" s="5" t="s">
        <v>142</v>
      </c>
      <c r="B120" s="5" t="s">
        <v>575</v>
      </c>
      <c r="C120" s="5" t="s">
        <v>35</v>
      </c>
      <c r="D120" s="5" t="s">
        <v>576</v>
      </c>
      <c r="E120" s="5" t="s">
        <v>577</v>
      </c>
      <c r="F120" s="5" t="s">
        <v>578</v>
      </c>
      <c r="G120" s="5" t="s">
        <v>579</v>
      </c>
      <c r="H120" s="5" t="s">
        <v>12</v>
      </c>
      <c r="I120" s="5" t="s">
        <v>40</v>
      </c>
      <c r="J120" s="5" t="s">
        <v>41</v>
      </c>
      <c r="K120" s="5"/>
    </row>
    <row r="121" spans="1:11">
      <c r="A121" s="5" t="s">
        <v>142</v>
      </c>
      <c r="B121" s="5" t="s">
        <v>580</v>
      </c>
      <c r="C121" s="5" t="s">
        <v>35</v>
      </c>
      <c r="D121" s="5" t="s">
        <v>581</v>
      </c>
      <c r="E121" s="5" t="s">
        <v>582</v>
      </c>
      <c r="F121" s="5" t="s">
        <v>578</v>
      </c>
      <c r="G121" s="5" t="s">
        <v>583</v>
      </c>
      <c r="H121" s="5" t="s">
        <v>12</v>
      </c>
      <c r="I121" s="5" t="s">
        <v>40</v>
      </c>
      <c r="J121" s="5" t="s">
        <v>41</v>
      </c>
      <c r="K121" s="5"/>
    </row>
    <row r="122" spans="1:11">
      <c r="A122" s="5" t="s">
        <v>142</v>
      </c>
      <c r="B122" s="5" t="s">
        <v>584</v>
      </c>
      <c r="C122" s="5" t="s">
        <v>35</v>
      </c>
      <c r="D122" s="5" t="s">
        <v>585</v>
      </c>
      <c r="E122" s="5" t="s">
        <v>586</v>
      </c>
      <c r="F122" s="5" t="s">
        <v>587</v>
      </c>
      <c r="G122" s="5" t="s">
        <v>588</v>
      </c>
      <c r="H122" s="5" t="s">
        <v>12</v>
      </c>
      <c r="I122" s="5" t="s">
        <v>40</v>
      </c>
      <c r="J122" s="5" t="s">
        <v>41</v>
      </c>
      <c r="K122" s="5"/>
    </row>
    <row r="123" spans="1:11">
      <c r="A123" s="5" t="s">
        <v>142</v>
      </c>
      <c r="B123" s="5" t="s">
        <v>589</v>
      </c>
      <c r="C123" s="5" t="s">
        <v>35</v>
      </c>
      <c r="D123" s="5" t="s">
        <v>590</v>
      </c>
      <c r="E123" s="5" t="s">
        <v>591</v>
      </c>
      <c r="F123" s="5" t="s">
        <v>587</v>
      </c>
      <c r="G123" s="5" t="s">
        <v>592</v>
      </c>
      <c r="H123" s="5" t="s">
        <v>12</v>
      </c>
      <c r="I123" s="5" t="s">
        <v>40</v>
      </c>
      <c r="J123" s="5" t="s">
        <v>41</v>
      </c>
      <c r="K123" s="5"/>
    </row>
    <row r="124" spans="1:11">
      <c r="A124" s="5" t="s">
        <v>142</v>
      </c>
      <c r="B124" s="5" t="s">
        <v>593</v>
      </c>
      <c r="C124" s="5" t="s">
        <v>35</v>
      </c>
      <c r="D124" s="5" t="s">
        <v>594</v>
      </c>
      <c r="E124" s="5" t="s">
        <v>595</v>
      </c>
      <c r="F124" s="5" t="s">
        <v>587</v>
      </c>
      <c r="G124" s="5" t="s">
        <v>596</v>
      </c>
      <c r="H124" s="5" t="s">
        <v>12</v>
      </c>
      <c r="I124" s="5" t="s">
        <v>40</v>
      </c>
      <c r="J124" s="5" t="s">
        <v>41</v>
      </c>
      <c r="K124" s="5"/>
    </row>
    <row r="125" spans="1:11">
      <c r="A125" s="5" t="s">
        <v>142</v>
      </c>
      <c r="B125" s="5" t="s">
        <v>597</v>
      </c>
      <c r="C125" s="5" t="s">
        <v>35</v>
      </c>
      <c r="D125" s="5" t="s">
        <v>598</v>
      </c>
      <c r="E125" s="5" t="s">
        <v>599</v>
      </c>
      <c r="F125" s="5" t="s">
        <v>587</v>
      </c>
      <c r="G125" s="5" t="s">
        <v>600</v>
      </c>
      <c r="H125" s="5" t="s">
        <v>12</v>
      </c>
      <c r="I125" s="5" t="s">
        <v>40</v>
      </c>
      <c r="J125" s="5" t="s">
        <v>41</v>
      </c>
      <c r="K125" s="5"/>
    </row>
    <row r="126" spans="1:11">
      <c r="A126" s="5" t="s">
        <v>142</v>
      </c>
      <c r="B126" s="5" t="s">
        <v>601</v>
      </c>
      <c r="C126" s="5" t="s">
        <v>35</v>
      </c>
      <c r="D126" s="5" t="s">
        <v>602</v>
      </c>
      <c r="E126" s="5" t="s">
        <v>603</v>
      </c>
      <c r="F126" s="5" t="s">
        <v>587</v>
      </c>
      <c r="G126" s="5" t="s">
        <v>604</v>
      </c>
      <c r="H126" s="5" t="s">
        <v>12</v>
      </c>
      <c r="I126" s="5" t="s">
        <v>40</v>
      </c>
      <c r="J126" s="5" t="s">
        <v>41</v>
      </c>
      <c r="K126" s="5"/>
    </row>
    <row r="127" spans="1:11">
      <c r="A127" s="5" t="s">
        <v>142</v>
      </c>
      <c r="B127" s="5" t="s">
        <v>605</v>
      </c>
      <c r="C127" s="5" t="s">
        <v>35</v>
      </c>
      <c r="D127" s="5" t="s">
        <v>606</v>
      </c>
      <c r="E127" s="5" t="s">
        <v>607</v>
      </c>
      <c r="F127" s="5" t="s">
        <v>608</v>
      </c>
      <c r="G127" s="5" t="s">
        <v>609</v>
      </c>
      <c r="H127" s="5" t="s">
        <v>12</v>
      </c>
      <c r="I127" s="5" t="s">
        <v>40</v>
      </c>
      <c r="J127" s="5" t="s">
        <v>41</v>
      </c>
      <c r="K127" s="5"/>
    </row>
    <row r="128" spans="1:11">
      <c r="A128" s="5" t="s">
        <v>142</v>
      </c>
      <c r="B128" s="5" t="s">
        <v>610</v>
      </c>
      <c r="C128" s="5" t="s">
        <v>35</v>
      </c>
      <c r="D128" s="5" t="s">
        <v>611</v>
      </c>
      <c r="E128" s="5" t="s">
        <v>612</v>
      </c>
      <c r="F128" s="5" t="s">
        <v>613</v>
      </c>
      <c r="G128" s="5" t="s">
        <v>614</v>
      </c>
      <c r="H128" s="5" t="s">
        <v>12</v>
      </c>
      <c r="I128" s="5" t="s">
        <v>40</v>
      </c>
      <c r="J128" s="5" t="s">
        <v>41</v>
      </c>
      <c r="K128" s="5"/>
    </row>
    <row r="129" spans="1:11">
      <c r="A129" s="5" t="s">
        <v>142</v>
      </c>
      <c r="B129" s="5" t="s">
        <v>615</v>
      </c>
      <c r="C129" s="5" t="s">
        <v>35</v>
      </c>
      <c r="D129" s="5" t="s">
        <v>616</v>
      </c>
      <c r="E129" s="5" t="s">
        <v>617</v>
      </c>
      <c r="F129" s="5" t="s">
        <v>618</v>
      </c>
      <c r="G129" s="5" t="s">
        <v>619</v>
      </c>
      <c r="H129" s="5" t="s">
        <v>12</v>
      </c>
      <c r="I129" s="5" t="s">
        <v>40</v>
      </c>
      <c r="J129" s="5" t="s">
        <v>41</v>
      </c>
      <c r="K129" s="5"/>
    </row>
    <row r="130" spans="1:11">
      <c r="A130" s="5" t="s">
        <v>142</v>
      </c>
      <c r="B130" s="5" t="s">
        <v>620</v>
      </c>
      <c r="C130" s="5" t="s">
        <v>35</v>
      </c>
      <c r="D130" s="5" t="s">
        <v>621</v>
      </c>
      <c r="E130" s="5" t="s">
        <v>622</v>
      </c>
      <c r="F130" s="5" t="s">
        <v>623</v>
      </c>
      <c r="G130" s="5" t="s">
        <v>624</v>
      </c>
      <c r="H130" s="5" t="s">
        <v>12</v>
      </c>
      <c r="I130" s="5" t="s">
        <v>40</v>
      </c>
      <c r="J130" s="5" t="s">
        <v>41</v>
      </c>
      <c r="K130" s="5"/>
    </row>
    <row r="131" spans="1:11">
      <c r="A131" s="5" t="s">
        <v>142</v>
      </c>
      <c r="B131" s="5" t="s">
        <v>625</v>
      </c>
      <c r="C131" s="5" t="s">
        <v>35</v>
      </c>
      <c r="D131" s="5" t="s">
        <v>626</v>
      </c>
      <c r="E131" s="5" t="s">
        <v>627</v>
      </c>
      <c r="F131" s="5" t="s">
        <v>628</v>
      </c>
      <c r="G131" s="5" t="s">
        <v>629</v>
      </c>
      <c r="H131" s="5" t="s">
        <v>12</v>
      </c>
      <c r="I131" s="5" t="s">
        <v>40</v>
      </c>
      <c r="J131" s="5" t="s">
        <v>41</v>
      </c>
      <c r="K131" s="5"/>
    </row>
    <row r="132" spans="1:11">
      <c r="A132" s="5" t="s">
        <v>142</v>
      </c>
      <c r="B132" s="5" t="s">
        <v>630</v>
      </c>
      <c r="C132" s="5" t="s">
        <v>35</v>
      </c>
      <c r="D132" s="5" t="s">
        <v>631</v>
      </c>
      <c r="E132" s="5" t="s">
        <v>632</v>
      </c>
      <c r="F132" s="5" t="s">
        <v>633</v>
      </c>
      <c r="G132" s="5" t="s">
        <v>634</v>
      </c>
      <c r="H132" s="5" t="s">
        <v>12</v>
      </c>
      <c r="I132" s="5" t="s">
        <v>40</v>
      </c>
      <c r="J132" s="5" t="s">
        <v>41</v>
      </c>
      <c r="K132" s="5"/>
    </row>
    <row r="133" spans="1:11">
      <c r="A133" s="5" t="s">
        <v>142</v>
      </c>
      <c r="B133" s="5" t="s">
        <v>635</v>
      </c>
      <c r="C133" s="5" t="s">
        <v>35</v>
      </c>
      <c r="D133" s="5" t="s">
        <v>636</v>
      </c>
      <c r="E133" s="5" t="s">
        <v>637</v>
      </c>
      <c r="F133" s="5" t="s">
        <v>638</v>
      </c>
      <c r="G133" s="5" t="s">
        <v>639</v>
      </c>
      <c r="H133" s="5" t="s">
        <v>12</v>
      </c>
      <c r="I133" s="5" t="s">
        <v>40</v>
      </c>
      <c r="J133" s="5" t="s">
        <v>41</v>
      </c>
      <c r="K133" s="5"/>
    </row>
    <row r="134" spans="1:11">
      <c r="A134" s="5" t="s">
        <v>640</v>
      </c>
      <c r="B134" s="5" t="s">
        <v>641</v>
      </c>
      <c r="C134" s="5" t="s">
        <v>35</v>
      </c>
      <c r="D134" s="5" t="s">
        <v>642</v>
      </c>
      <c r="E134" s="5" t="s">
        <v>643</v>
      </c>
      <c r="F134" s="5" t="s">
        <v>644</v>
      </c>
      <c r="G134" s="5" t="s">
        <v>645</v>
      </c>
      <c r="H134" s="5" t="s">
        <v>12</v>
      </c>
      <c r="I134" s="5" t="s">
        <v>40</v>
      </c>
      <c r="J134" s="5" t="s">
        <v>41</v>
      </c>
      <c r="K134" s="5"/>
    </row>
    <row r="135" spans="1:11">
      <c r="A135" s="5" t="s">
        <v>640</v>
      </c>
      <c r="B135" s="5" t="s">
        <v>646</v>
      </c>
      <c r="C135" s="5" t="s">
        <v>35</v>
      </c>
      <c r="D135" s="5" t="s">
        <v>647</v>
      </c>
      <c r="E135" s="5" t="s">
        <v>648</v>
      </c>
      <c r="F135" s="5" t="s">
        <v>649</v>
      </c>
      <c r="G135" s="5" t="s">
        <v>650</v>
      </c>
      <c r="H135" s="5" t="s">
        <v>12</v>
      </c>
      <c r="I135" s="5" t="s">
        <v>40</v>
      </c>
      <c r="J135" s="5" t="s">
        <v>41</v>
      </c>
      <c r="K135" s="5"/>
    </row>
    <row r="136" spans="1:11">
      <c r="A136" s="5" t="s">
        <v>640</v>
      </c>
      <c r="B136" s="5" t="s">
        <v>651</v>
      </c>
      <c r="C136" s="5" t="s">
        <v>35</v>
      </c>
      <c r="D136" s="5" t="s">
        <v>652</v>
      </c>
      <c r="E136" s="5" t="s">
        <v>643</v>
      </c>
      <c r="F136" s="5" t="s">
        <v>644</v>
      </c>
      <c r="G136" s="5" t="s">
        <v>653</v>
      </c>
      <c r="H136" s="5" t="s">
        <v>12</v>
      </c>
      <c r="I136" s="5" t="s">
        <v>40</v>
      </c>
      <c r="J136" s="5" t="s">
        <v>41</v>
      </c>
      <c r="K136" s="5"/>
    </row>
    <row r="137" spans="1:11">
      <c r="A137" s="5" t="s">
        <v>654</v>
      </c>
      <c r="B137" s="5" t="s">
        <v>655</v>
      </c>
      <c r="C137" s="5" t="s">
        <v>35</v>
      </c>
      <c r="D137" s="5" t="s">
        <v>656</v>
      </c>
      <c r="E137" s="5" t="s">
        <v>657</v>
      </c>
      <c r="F137" s="5" t="s">
        <v>658</v>
      </c>
      <c r="G137" s="5" t="s">
        <v>659</v>
      </c>
      <c r="H137" s="5" t="s">
        <v>12</v>
      </c>
      <c r="I137" s="5" t="s">
        <v>40</v>
      </c>
      <c r="J137" s="5" t="s">
        <v>41</v>
      </c>
      <c r="K137" s="5"/>
    </row>
    <row r="138" spans="1:11">
      <c r="A138" s="5" t="s">
        <v>654</v>
      </c>
      <c r="B138" s="5" t="s">
        <v>660</v>
      </c>
      <c r="C138" s="5" t="s">
        <v>35</v>
      </c>
      <c r="D138" s="5" t="s">
        <v>661</v>
      </c>
      <c r="E138" s="5" t="s">
        <v>657</v>
      </c>
      <c r="F138" s="5" t="s">
        <v>658</v>
      </c>
      <c r="G138" s="5" t="s">
        <v>662</v>
      </c>
      <c r="H138" s="5" t="s">
        <v>12</v>
      </c>
      <c r="I138" s="5" t="s">
        <v>40</v>
      </c>
      <c r="J138" s="5" t="s">
        <v>41</v>
      </c>
      <c r="K138" s="5"/>
    </row>
    <row r="139" spans="1:11">
      <c r="A139" s="5" t="s">
        <v>654</v>
      </c>
      <c r="B139" s="5" t="s">
        <v>663</v>
      </c>
      <c r="C139" s="5" t="s">
        <v>35</v>
      </c>
      <c r="D139" s="5" t="s">
        <v>664</v>
      </c>
      <c r="E139" s="5" t="s">
        <v>657</v>
      </c>
      <c r="F139" s="5" t="s">
        <v>658</v>
      </c>
      <c r="G139" s="5" t="s">
        <v>665</v>
      </c>
      <c r="H139" s="5" t="s">
        <v>12</v>
      </c>
      <c r="I139" s="5" t="s">
        <v>40</v>
      </c>
      <c r="J139" s="5" t="s">
        <v>41</v>
      </c>
      <c r="K139" s="5"/>
    </row>
    <row r="140" spans="1:11">
      <c r="A140" s="5" t="s">
        <v>654</v>
      </c>
      <c r="B140" s="5" t="s">
        <v>666</v>
      </c>
      <c r="C140" s="5" t="s">
        <v>35</v>
      </c>
      <c r="D140" s="5" t="s">
        <v>667</v>
      </c>
      <c r="E140" s="5" t="s">
        <v>657</v>
      </c>
      <c r="F140" s="5" t="s">
        <v>658</v>
      </c>
      <c r="G140" s="5" t="s">
        <v>668</v>
      </c>
      <c r="H140" s="5" t="s">
        <v>12</v>
      </c>
      <c r="I140" s="5" t="s">
        <v>40</v>
      </c>
      <c r="J140" s="5" t="s">
        <v>41</v>
      </c>
      <c r="K140" s="5"/>
    </row>
    <row r="141" spans="1:11">
      <c r="A141" s="5" t="s">
        <v>654</v>
      </c>
      <c r="B141" s="5" t="s">
        <v>669</v>
      </c>
      <c r="C141" s="5" t="s">
        <v>35</v>
      </c>
      <c r="D141" s="5" t="s">
        <v>670</v>
      </c>
      <c r="E141" s="5" t="s">
        <v>657</v>
      </c>
      <c r="F141" s="5" t="s">
        <v>658</v>
      </c>
      <c r="G141" s="5" t="s">
        <v>671</v>
      </c>
      <c r="H141" s="5" t="s">
        <v>12</v>
      </c>
      <c r="I141" s="5" t="s">
        <v>40</v>
      </c>
      <c r="J141" s="5" t="s">
        <v>41</v>
      </c>
      <c r="K141" s="5"/>
    </row>
    <row r="142" spans="1:11">
      <c r="A142" s="5" t="s">
        <v>654</v>
      </c>
      <c r="B142" s="5" t="s">
        <v>672</v>
      </c>
      <c r="C142" s="5" t="s">
        <v>35</v>
      </c>
      <c r="D142" s="5" t="s">
        <v>673</v>
      </c>
      <c r="E142" s="5" t="s">
        <v>657</v>
      </c>
      <c r="F142" s="5" t="s">
        <v>658</v>
      </c>
      <c r="G142" s="5" t="s">
        <v>674</v>
      </c>
      <c r="H142" s="5" t="s">
        <v>12</v>
      </c>
      <c r="I142" s="5" t="s">
        <v>40</v>
      </c>
      <c r="J142" s="5" t="s">
        <v>41</v>
      </c>
      <c r="K142" s="5"/>
    </row>
    <row r="143" spans="1:11">
      <c r="A143" s="5" t="s">
        <v>654</v>
      </c>
      <c r="B143" s="5" t="s">
        <v>675</v>
      </c>
      <c r="C143" s="5" t="s">
        <v>35</v>
      </c>
      <c r="D143" s="5" t="s">
        <v>676</v>
      </c>
      <c r="E143" s="5" t="s">
        <v>657</v>
      </c>
      <c r="F143" s="5" t="s">
        <v>658</v>
      </c>
      <c r="G143" s="5" t="s">
        <v>677</v>
      </c>
      <c r="H143" s="5" t="s">
        <v>12</v>
      </c>
      <c r="I143" s="5" t="s">
        <v>40</v>
      </c>
      <c r="J143" s="5" t="s">
        <v>41</v>
      </c>
      <c r="K143" s="5"/>
    </row>
    <row r="144" spans="1:11">
      <c r="A144" s="5" t="s">
        <v>654</v>
      </c>
      <c r="B144" s="5" t="s">
        <v>678</v>
      </c>
      <c r="C144" s="5" t="s">
        <v>35</v>
      </c>
      <c r="D144" s="5" t="s">
        <v>679</v>
      </c>
      <c r="E144" s="5" t="s">
        <v>657</v>
      </c>
      <c r="F144" s="5" t="s">
        <v>658</v>
      </c>
      <c r="G144" s="5" t="s">
        <v>680</v>
      </c>
      <c r="H144" s="5" t="s">
        <v>12</v>
      </c>
      <c r="I144" s="5" t="s">
        <v>40</v>
      </c>
      <c r="J144" s="5" t="s">
        <v>41</v>
      </c>
      <c r="K144" s="5"/>
    </row>
    <row r="145" spans="1:11">
      <c r="A145" s="5" t="s">
        <v>654</v>
      </c>
      <c r="B145" s="5" t="s">
        <v>681</v>
      </c>
      <c r="C145" s="5" t="s">
        <v>35</v>
      </c>
      <c r="D145" s="5" t="s">
        <v>682</v>
      </c>
      <c r="E145" s="5" t="s">
        <v>657</v>
      </c>
      <c r="F145" s="5" t="s">
        <v>658</v>
      </c>
      <c r="G145" s="5" t="s">
        <v>683</v>
      </c>
      <c r="H145" s="5" t="s">
        <v>12</v>
      </c>
      <c r="I145" s="5" t="s">
        <v>40</v>
      </c>
      <c r="J145" s="5" t="s">
        <v>41</v>
      </c>
      <c r="K145" s="5"/>
    </row>
    <row r="146" spans="1:11">
      <c r="A146" s="5" t="s">
        <v>654</v>
      </c>
      <c r="B146" s="5" t="s">
        <v>684</v>
      </c>
      <c r="C146" s="5" t="s">
        <v>35</v>
      </c>
      <c r="D146" s="5" t="s">
        <v>685</v>
      </c>
      <c r="E146" s="5" t="s">
        <v>657</v>
      </c>
      <c r="F146" s="5" t="s">
        <v>658</v>
      </c>
      <c r="G146" s="5" t="s">
        <v>686</v>
      </c>
      <c r="H146" s="5" t="s">
        <v>12</v>
      </c>
      <c r="I146" s="5" t="s">
        <v>40</v>
      </c>
      <c r="J146" s="5" t="s">
        <v>41</v>
      </c>
      <c r="K146" s="5"/>
    </row>
    <row r="147" spans="1:11">
      <c r="A147" s="5" t="s">
        <v>654</v>
      </c>
      <c r="B147" s="5" t="s">
        <v>687</v>
      </c>
      <c r="C147" s="5" t="s">
        <v>35</v>
      </c>
      <c r="D147" s="5" t="s">
        <v>688</v>
      </c>
      <c r="E147" s="5" t="s">
        <v>657</v>
      </c>
      <c r="F147" s="5" t="s">
        <v>658</v>
      </c>
      <c r="G147" s="5" t="s">
        <v>689</v>
      </c>
      <c r="H147" s="5" t="s">
        <v>12</v>
      </c>
      <c r="I147" s="5" t="s">
        <v>40</v>
      </c>
      <c r="J147" s="5" t="s">
        <v>41</v>
      </c>
      <c r="K147" s="5"/>
    </row>
    <row r="148" spans="1:11">
      <c r="A148" s="5" t="s">
        <v>654</v>
      </c>
      <c r="B148" s="5" t="s">
        <v>690</v>
      </c>
      <c r="C148" s="5" t="s">
        <v>35</v>
      </c>
      <c r="D148" s="5" t="s">
        <v>691</v>
      </c>
      <c r="E148" s="5" t="s">
        <v>657</v>
      </c>
      <c r="F148" s="5" t="s">
        <v>658</v>
      </c>
      <c r="G148" s="5" t="s">
        <v>692</v>
      </c>
      <c r="H148" s="5" t="s">
        <v>12</v>
      </c>
      <c r="I148" s="5" t="s">
        <v>40</v>
      </c>
      <c r="J148" s="5" t="s">
        <v>41</v>
      </c>
      <c r="K148" s="5"/>
    </row>
    <row r="149" spans="1:11">
      <c r="A149" s="5" t="s">
        <v>654</v>
      </c>
      <c r="B149" s="5" t="s">
        <v>693</v>
      </c>
      <c r="C149" s="5" t="s">
        <v>35</v>
      </c>
      <c r="D149" s="5" t="s">
        <v>694</v>
      </c>
      <c r="E149" s="5" t="s">
        <v>657</v>
      </c>
      <c r="F149" s="5" t="s">
        <v>658</v>
      </c>
      <c r="G149" s="5" t="s">
        <v>695</v>
      </c>
      <c r="H149" s="5" t="s">
        <v>12</v>
      </c>
      <c r="I149" s="5" t="s">
        <v>40</v>
      </c>
      <c r="J149" s="5" t="s">
        <v>41</v>
      </c>
      <c r="K149" s="5"/>
    </row>
    <row r="150" spans="1:11">
      <c r="A150" s="5" t="s">
        <v>654</v>
      </c>
      <c r="B150" s="5" t="s">
        <v>696</v>
      </c>
      <c r="C150" s="5" t="s">
        <v>35</v>
      </c>
      <c r="D150" s="5" t="s">
        <v>697</v>
      </c>
      <c r="E150" s="5" t="s">
        <v>698</v>
      </c>
      <c r="F150" s="5" t="s">
        <v>699</v>
      </c>
      <c r="G150" s="5" t="s">
        <v>700</v>
      </c>
      <c r="H150" s="5" t="s">
        <v>12</v>
      </c>
      <c r="I150" s="5" t="s">
        <v>40</v>
      </c>
      <c r="J150" s="5" t="s">
        <v>41</v>
      </c>
      <c r="K150" s="5"/>
    </row>
    <row r="151" spans="1:11">
      <c r="A151" s="5" t="s">
        <v>654</v>
      </c>
      <c r="B151" s="5" t="s">
        <v>701</v>
      </c>
      <c r="C151" s="5" t="s">
        <v>35</v>
      </c>
      <c r="D151" s="5" t="s">
        <v>702</v>
      </c>
      <c r="E151" s="5" t="s">
        <v>698</v>
      </c>
      <c r="F151" s="5" t="s">
        <v>699</v>
      </c>
      <c r="G151" s="5" t="s">
        <v>703</v>
      </c>
      <c r="H151" s="5" t="s">
        <v>12</v>
      </c>
      <c r="I151" s="5" t="s">
        <v>40</v>
      </c>
      <c r="J151" s="5" t="s">
        <v>41</v>
      </c>
      <c r="K151" s="5"/>
    </row>
    <row r="152" spans="1:11">
      <c r="A152" s="5" t="s">
        <v>654</v>
      </c>
      <c r="B152" s="5" t="s">
        <v>704</v>
      </c>
      <c r="C152" s="5" t="s">
        <v>35</v>
      </c>
      <c r="D152" s="5" t="s">
        <v>705</v>
      </c>
      <c r="E152" s="5" t="s">
        <v>698</v>
      </c>
      <c r="F152" s="5" t="s">
        <v>699</v>
      </c>
      <c r="G152" s="5" t="s">
        <v>706</v>
      </c>
      <c r="H152" s="5" t="s">
        <v>12</v>
      </c>
      <c r="I152" s="5" t="s">
        <v>40</v>
      </c>
      <c r="J152" s="5" t="s">
        <v>41</v>
      </c>
      <c r="K152" s="5"/>
    </row>
    <row r="153" spans="1:11">
      <c r="A153" s="5" t="s">
        <v>654</v>
      </c>
      <c r="B153" s="5" t="s">
        <v>707</v>
      </c>
      <c r="C153" s="5" t="s">
        <v>35</v>
      </c>
      <c r="D153" s="5" t="s">
        <v>708</v>
      </c>
      <c r="E153" s="5" t="s">
        <v>698</v>
      </c>
      <c r="F153" s="5" t="s">
        <v>699</v>
      </c>
      <c r="G153" s="5" t="s">
        <v>709</v>
      </c>
      <c r="H153" s="5" t="s">
        <v>12</v>
      </c>
      <c r="I153" s="5" t="s">
        <v>40</v>
      </c>
      <c r="J153" s="5" t="s">
        <v>41</v>
      </c>
      <c r="K153" s="5"/>
    </row>
    <row r="154" spans="1:11">
      <c r="A154" s="5" t="s">
        <v>654</v>
      </c>
      <c r="B154" s="5" t="s">
        <v>710</v>
      </c>
      <c r="C154" s="5" t="s">
        <v>35</v>
      </c>
      <c r="D154" s="5" t="s">
        <v>711</v>
      </c>
      <c r="E154" s="5" t="s">
        <v>698</v>
      </c>
      <c r="F154" s="5" t="s">
        <v>699</v>
      </c>
      <c r="G154" s="5" t="s">
        <v>712</v>
      </c>
      <c r="H154" s="5" t="s">
        <v>12</v>
      </c>
      <c r="I154" s="5" t="s">
        <v>40</v>
      </c>
      <c r="J154" s="5" t="s">
        <v>41</v>
      </c>
      <c r="K154" s="5"/>
    </row>
    <row r="155" spans="1:11">
      <c r="A155" s="5" t="s">
        <v>654</v>
      </c>
      <c r="B155" s="5" t="s">
        <v>713</v>
      </c>
      <c r="C155" s="5" t="s">
        <v>35</v>
      </c>
      <c r="D155" s="5" t="s">
        <v>714</v>
      </c>
      <c r="E155" s="5" t="s">
        <v>698</v>
      </c>
      <c r="F155" s="5" t="s">
        <v>699</v>
      </c>
      <c r="G155" s="5" t="s">
        <v>715</v>
      </c>
      <c r="H155" s="5" t="s">
        <v>12</v>
      </c>
      <c r="I155" s="5" t="s">
        <v>40</v>
      </c>
      <c r="J155" s="5" t="s">
        <v>41</v>
      </c>
      <c r="K155" s="5"/>
    </row>
    <row r="156" spans="1:11">
      <c r="A156" s="5" t="s">
        <v>654</v>
      </c>
      <c r="B156" s="5" t="s">
        <v>716</v>
      </c>
      <c r="C156" s="5" t="s">
        <v>35</v>
      </c>
      <c r="D156" s="5" t="s">
        <v>717</v>
      </c>
      <c r="E156" s="5" t="s">
        <v>698</v>
      </c>
      <c r="F156" s="5" t="s">
        <v>699</v>
      </c>
      <c r="G156" s="5" t="s">
        <v>718</v>
      </c>
      <c r="H156" s="5" t="s">
        <v>12</v>
      </c>
      <c r="I156" s="5" t="s">
        <v>40</v>
      </c>
      <c r="J156" s="5" t="s">
        <v>41</v>
      </c>
      <c r="K156" s="5"/>
    </row>
    <row r="157" spans="1:11">
      <c r="A157" s="5" t="s">
        <v>654</v>
      </c>
      <c r="B157" s="5" t="s">
        <v>719</v>
      </c>
      <c r="C157" s="5" t="s">
        <v>35</v>
      </c>
      <c r="D157" s="5" t="s">
        <v>720</v>
      </c>
      <c r="E157" s="5" t="s">
        <v>698</v>
      </c>
      <c r="F157" s="5" t="s">
        <v>699</v>
      </c>
      <c r="G157" s="5" t="s">
        <v>721</v>
      </c>
      <c r="H157" s="5" t="s">
        <v>12</v>
      </c>
      <c r="I157" s="5" t="s">
        <v>40</v>
      </c>
      <c r="J157" s="5" t="s">
        <v>41</v>
      </c>
      <c r="K157" s="5"/>
    </row>
    <row r="158" spans="1:11">
      <c r="A158" s="5" t="s">
        <v>654</v>
      </c>
      <c r="B158" s="5" t="s">
        <v>722</v>
      </c>
      <c r="C158" s="5" t="s">
        <v>35</v>
      </c>
      <c r="D158" s="5" t="s">
        <v>723</v>
      </c>
      <c r="E158" s="5" t="s">
        <v>698</v>
      </c>
      <c r="F158" s="5" t="s">
        <v>699</v>
      </c>
      <c r="G158" s="5" t="s">
        <v>724</v>
      </c>
      <c r="H158" s="5" t="s">
        <v>12</v>
      </c>
      <c r="I158" s="5" t="s">
        <v>40</v>
      </c>
      <c r="J158" s="5" t="s">
        <v>41</v>
      </c>
      <c r="K158" s="5"/>
    </row>
    <row r="159" spans="1:11">
      <c r="A159" s="5" t="s">
        <v>654</v>
      </c>
      <c r="B159" s="5" t="s">
        <v>725</v>
      </c>
      <c r="C159" s="5" t="s">
        <v>35</v>
      </c>
      <c r="D159" s="5" t="s">
        <v>726</v>
      </c>
      <c r="E159" s="5" t="s">
        <v>698</v>
      </c>
      <c r="F159" s="5" t="s">
        <v>699</v>
      </c>
      <c r="G159" s="5" t="s">
        <v>727</v>
      </c>
      <c r="H159" s="5" t="s">
        <v>12</v>
      </c>
      <c r="I159" s="5" t="s">
        <v>40</v>
      </c>
      <c r="J159" s="5" t="s">
        <v>41</v>
      </c>
      <c r="K159" s="5"/>
    </row>
    <row r="160" spans="1:11">
      <c r="A160" s="5" t="s">
        <v>654</v>
      </c>
      <c r="B160" s="5" t="s">
        <v>728</v>
      </c>
      <c r="C160" s="5" t="s">
        <v>35</v>
      </c>
      <c r="D160" s="5" t="s">
        <v>729</v>
      </c>
      <c r="E160" s="5" t="s">
        <v>698</v>
      </c>
      <c r="F160" s="5" t="s">
        <v>699</v>
      </c>
      <c r="G160" s="5" t="s">
        <v>730</v>
      </c>
      <c r="H160" s="5" t="s">
        <v>12</v>
      </c>
      <c r="I160" s="5" t="s">
        <v>40</v>
      </c>
      <c r="J160" s="5" t="s">
        <v>41</v>
      </c>
      <c r="K160" s="5"/>
    </row>
    <row r="161" spans="1:11">
      <c r="A161" s="5" t="s">
        <v>654</v>
      </c>
      <c r="B161" s="5" t="s">
        <v>731</v>
      </c>
      <c r="C161" s="5" t="s">
        <v>35</v>
      </c>
      <c r="D161" s="5" t="s">
        <v>732</v>
      </c>
      <c r="E161" s="5" t="s">
        <v>698</v>
      </c>
      <c r="F161" s="5" t="s">
        <v>699</v>
      </c>
      <c r="G161" s="5" t="s">
        <v>733</v>
      </c>
      <c r="H161" s="5" t="s">
        <v>12</v>
      </c>
      <c r="I161" s="5" t="s">
        <v>40</v>
      </c>
      <c r="J161" s="5" t="s">
        <v>41</v>
      </c>
      <c r="K161" s="5"/>
    </row>
    <row r="162" spans="1:11">
      <c r="A162" s="5" t="s">
        <v>654</v>
      </c>
      <c r="B162" s="5" t="s">
        <v>734</v>
      </c>
      <c r="C162" s="5" t="s">
        <v>35</v>
      </c>
      <c r="D162" s="5" t="s">
        <v>735</v>
      </c>
      <c r="E162" s="5" t="s">
        <v>698</v>
      </c>
      <c r="F162" s="5" t="s">
        <v>699</v>
      </c>
      <c r="G162" s="5" t="s">
        <v>736</v>
      </c>
      <c r="H162" s="5" t="s">
        <v>12</v>
      </c>
      <c r="I162" s="5" t="s">
        <v>40</v>
      </c>
      <c r="J162" s="5" t="s">
        <v>41</v>
      </c>
      <c r="K162" s="5"/>
    </row>
    <row r="163" spans="1:11">
      <c r="A163" s="5" t="s">
        <v>654</v>
      </c>
      <c r="B163" s="5" t="s">
        <v>737</v>
      </c>
      <c r="C163" s="5" t="s">
        <v>35</v>
      </c>
      <c r="D163" s="5" t="s">
        <v>738</v>
      </c>
      <c r="E163" s="5" t="s">
        <v>739</v>
      </c>
      <c r="F163" s="5" t="s">
        <v>740</v>
      </c>
      <c r="G163" s="5" t="s">
        <v>741</v>
      </c>
      <c r="H163" s="5" t="s">
        <v>12</v>
      </c>
      <c r="I163" s="5" t="s">
        <v>40</v>
      </c>
      <c r="J163" s="5" t="s">
        <v>41</v>
      </c>
      <c r="K163" s="5"/>
    </row>
    <row r="164" spans="1:11">
      <c r="A164" s="5" t="s">
        <v>654</v>
      </c>
      <c r="B164" s="5" t="s">
        <v>742</v>
      </c>
      <c r="C164" s="5" t="s">
        <v>35</v>
      </c>
      <c r="D164" s="5" t="s">
        <v>743</v>
      </c>
      <c r="E164" s="5" t="s">
        <v>744</v>
      </c>
      <c r="F164" s="5" t="s">
        <v>745</v>
      </c>
      <c r="G164" s="5" t="s">
        <v>746</v>
      </c>
      <c r="H164" s="5" t="s">
        <v>12</v>
      </c>
      <c r="I164" s="5" t="s">
        <v>40</v>
      </c>
      <c r="J164" s="5" t="s">
        <v>41</v>
      </c>
      <c r="K164" s="5"/>
    </row>
    <row r="165" spans="1:11">
      <c r="A165" s="5" t="s">
        <v>654</v>
      </c>
      <c r="B165" s="5" t="s">
        <v>747</v>
      </c>
      <c r="C165" s="5" t="s">
        <v>35</v>
      </c>
      <c r="D165" s="5" t="s">
        <v>748</v>
      </c>
      <c r="E165" s="5" t="s">
        <v>749</v>
      </c>
      <c r="F165" s="5" t="s">
        <v>750</v>
      </c>
      <c r="G165" s="5" t="s">
        <v>751</v>
      </c>
      <c r="H165" s="5" t="s">
        <v>12</v>
      </c>
      <c r="I165" s="5" t="s">
        <v>40</v>
      </c>
      <c r="J165" s="5" t="s">
        <v>41</v>
      </c>
      <c r="K165" s="5"/>
    </row>
    <row r="166" spans="1:11">
      <c r="A166" s="5" t="s">
        <v>654</v>
      </c>
      <c r="B166" s="5" t="s">
        <v>752</v>
      </c>
      <c r="C166" s="5" t="s">
        <v>35</v>
      </c>
      <c r="D166" s="5" t="s">
        <v>753</v>
      </c>
      <c r="E166" s="5" t="s">
        <v>754</v>
      </c>
      <c r="F166" s="5" t="s">
        <v>755</v>
      </c>
      <c r="G166" s="5" t="s">
        <v>756</v>
      </c>
      <c r="H166" s="5" t="s">
        <v>12</v>
      </c>
      <c r="I166" s="5" t="s">
        <v>40</v>
      </c>
      <c r="J166" s="5" t="s">
        <v>41</v>
      </c>
      <c r="K166" s="5"/>
    </row>
    <row r="167" spans="1:11">
      <c r="A167" s="5" t="s">
        <v>654</v>
      </c>
      <c r="B167" s="5" t="s">
        <v>757</v>
      </c>
      <c r="C167" s="5" t="s">
        <v>35</v>
      </c>
      <c r="D167" s="5" t="s">
        <v>758</v>
      </c>
      <c r="E167" s="5" t="s">
        <v>759</v>
      </c>
      <c r="F167" s="5" t="s">
        <v>750</v>
      </c>
      <c r="G167" s="5" t="s">
        <v>760</v>
      </c>
      <c r="H167" s="5" t="s">
        <v>12</v>
      </c>
      <c r="I167" s="5" t="s">
        <v>40</v>
      </c>
      <c r="J167" s="5" t="s">
        <v>41</v>
      </c>
      <c r="K167" s="5"/>
    </row>
    <row r="168" spans="1:11">
      <c r="A168" s="5" t="s">
        <v>654</v>
      </c>
      <c r="B168" s="5" t="s">
        <v>761</v>
      </c>
      <c r="C168" s="5" t="s">
        <v>35</v>
      </c>
      <c r="D168" s="5" t="s">
        <v>762</v>
      </c>
      <c r="E168" s="5" t="s">
        <v>763</v>
      </c>
      <c r="F168" s="5" t="s">
        <v>755</v>
      </c>
      <c r="G168" s="5" t="s">
        <v>764</v>
      </c>
      <c r="H168" s="5" t="s">
        <v>12</v>
      </c>
      <c r="I168" s="5" t="s">
        <v>40</v>
      </c>
      <c r="J168" s="5" t="s">
        <v>41</v>
      </c>
      <c r="K168" s="5"/>
    </row>
    <row r="169" spans="1:11">
      <c r="A169" s="5" t="s">
        <v>654</v>
      </c>
      <c r="B169" s="5" t="s">
        <v>765</v>
      </c>
      <c r="C169" s="5" t="s">
        <v>35</v>
      </c>
      <c r="D169" s="5" t="s">
        <v>766</v>
      </c>
      <c r="E169" s="5" t="s">
        <v>759</v>
      </c>
      <c r="F169" s="5" t="s">
        <v>750</v>
      </c>
      <c r="G169" s="5" t="s">
        <v>767</v>
      </c>
      <c r="H169" s="5" t="s">
        <v>12</v>
      </c>
      <c r="I169" s="5" t="s">
        <v>40</v>
      </c>
      <c r="J169" s="5" t="s">
        <v>41</v>
      </c>
      <c r="K169" s="5"/>
    </row>
    <row r="170" spans="1:11">
      <c r="A170" s="5" t="s">
        <v>654</v>
      </c>
      <c r="B170" s="5" t="s">
        <v>768</v>
      </c>
      <c r="C170" s="5" t="s">
        <v>35</v>
      </c>
      <c r="D170" s="5" t="s">
        <v>769</v>
      </c>
      <c r="E170" s="5" t="s">
        <v>770</v>
      </c>
      <c r="F170" s="5" t="s">
        <v>755</v>
      </c>
      <c r="G170" s="5" t="s">
        <v>771</v>
      </c>
      <c r="H170" s="5" t="s">
        <v>12</v>
      </c>
      <c r="I170" s="5" t="s">
        <v>40</v>
      </c>
      <c r="J170" s="5" t="s">
        <v>41</v>
      </c>
      <c r="K170" s="5"/>
    </row>
    <row r="171" spans="1:11">
      <c r="A171" s="5" t="s">
        <v>654</v>
      </c>
      <c r="B171" s="5" t="s">
        <v>772</v>
      </c>
      <c r="C171" s="5" t="s">
        <v>35</v>
      </c>
      <c r="D171" s="5" t="s">
        <v>773</v>
      </c>
      <c r="E171" s="5" t="s">
        <v>759</v>
      </c>
      <c r="F171" s="5" t="s">
        <v>750</v>
      </c>
      <c r="G171" s="5" t="s">
        <v>774</v>
      </c>
      <c r="H171" s="5" t="s">
        <v>12</v>
      </c>
      <c r="I171" s="5" t="s">
        <v>40</v>
      </c>
      <c r="J171" s="5" t="s">
        <v>41</v>
      </c>
      <c r="K171" s="5"/>
    </row>
    <row r="172" spans="1:11">
      <c r="A172" s="5" t="s">
        <v>654</v>
      </c>
      <c r="B172" s="5" t="s">
        <v>775</v>
      </c>
      <c r="C172" s="5" t="s">
        <v>35</v>
      </c>
      <c r="D172" s="5" t="s">
        <v>776</v>
      </c>
      <c r="E172" s="5" t="s">
        <v>770</v>
      </c>
      <c r="F172" s="5" t="s">
        <v>755</v>
      </c>
      <c r="G172" s="5" t="s">
        <v>777</v>
      </c>
      <c r="H172" s="5" t="s">
        <v>12</v>
      </c>
      <c r="I172" s="5" t="s">
        <v>40</v>
      </c>
      <c r="J172" s="5" t="s">
        <v>41</v>
      </c>
      <c r="K172" s="5"/>
    </row>
    <row r="173" spans="1:11">
      <c r="A173" s="5" t="s">
        <v>654</v>
      </c>
      <c r="B173" s="5" t="s">
        <v>778</v>
      </c>
      <c r="C173" s="5" t="s">
        <v>35</v>
      </c>
      <c r="D173" s="5" t="s">
        <v>779</v>
      </c>
      <c r="E173" s="5" t="s">
        <v>759</v>
      </c>
      <c r="F173" s="5" t="s">
        <v>750</v>
      </c>
      <c r="G173" s="5" t="s">
        <v>780</v>
      </c>
      <c r="H173" s="5" t="s">
        <v>12</v>
      </c>
      <c r="I173" s="5" t="s">
        <v>40</v>
      </c>
      <c r="J173" s="5" t="s">
        <v>41</v>
      </c>
      <c r="K173" s="5"/>
    </row>
    <row r="174" spans="1:11">
      <c r="A174" s="5" t="s">
        <v>654</v>
      </c>
      <c r="B174" s="5" t="s">
        <v>781</v>
      </c>
      <c r="C174" s="5" t="s">
        <v>35</v>
      </c>
      <c r="D174" s="5" t="s">
        <v>782</v>
      </c>
      <c r="E174" s="5" t="s">
        <v>770</v>
      </c>
      <c r="F174" s="5" t="s">
        <v>755</v>
      </c>
      <c r="G174" s="5" t="s">
        <v>783</v>
      </c>
      <c r="H174" s="5" t="s">
        <v>12</v>
      </c>
      <c r="I174" s="5" t="s">
        <v>40</v>
      </c>
      <c r="J174" s="5" t="s">
        <v>41</v>
      </c>
      <c r="K174" s="5"/>
    </row>
    <row r="175" spans="1:11">
      <c r="A175" s="5" t="s">
        <v>654</v>
      </c>
      <c r="B175" s="5" t="s">
        <v>784</v>
      </c>
      <c r="C175" s="5" t="s">
        <v>35</v>
      </c>
      <c r="D175" s="5" t="s">
        <v>785</v>
      </c>
      <c r="E175" s="5" t="s">
        <v>786</v>
      </c>
      <c r="F175" s="5" t="s">
        <v>750</v>
      </c>
      <c r="G175" s="5" t="s">
        <v>787</v>
      </c>
      <c r="H175" s="5" t="s">
        <v>12</v>
      </c>
      <c r="I175" s="5" t="s">
        <v>40</v>
      </c>
      <c r="J175" s="5" t="s">
        <v>41</v>
      </c>
      <c r="K175" s="5"/>
    </row>
    <row r="176" spans="1:11">
      <c r="A176" s="5" t="s">
        <v>654</v>
      </c>
      <c r="B176" s="5" t="s">
        <v>788</v>
      </c>
      <c r="C176" s="5" t="s">
        <v>35</v>
      </c>
      <c r="D176" s="5" t="s">
        <v>789</v>
      </c>
      <c r="E176" s="5" t="s">
        <v>790</v>
      </c>
      <c r="F176" s="5" t="s">
        <v>791</v>
      </c>
      <c r="G176" s="5" t="s">
        <v>792</v>
      </c>
      <c r="H176" s="5" t="s">
        <v>12</v>
      </c>
      <c r="I176" s="5" t="s">
        <v>40</v>
      </c>
      <c r="J176" s="5" t="s">
        <v>41</v>
      </c>
      <c r="K176" s="5"/>
    </row>
    <row r="177" spans="1:11">
      <c r="A177" s="5" t="s">
        <v>654</v>
      </c>
      <c r="B177" s="5" t="s">
        <v>793</v>
      </c>
      <c r="C177" s="5" t="s">
        <v>35</v>
      </c>
      <c r="D177" s="5" t="s">
        <v>794</v>
      </c>
      <c r="E177" s="5" t="s">
        <v>786</v>
      </c>
      <c r="F177" s="5" t="s">
        <v>750</v>
      </c>
      <c r="G177" s="5" t="s">
        <v>795</v>
      </c>
      <c r="H177" s="5" t="s">
        <v>12</v>
      </c>
      <c r="I177" s="5" t="s">
        <v>40</v>
      </c>
      <c r="J177" s="5" t="s">
        <v>41</v>
      </c>
      <c r="K177" s="5"/>
    </row>
    <row r="178" spans="1:11">
      <c r="A178" s="5" t="s">
        <v>654</v>
      </c>
      <c r="B178" s="5" t="s">
        <v>796</v>
      </c>
      <c r="C178" s="5" t="s">
        <v>35</v>
      </c>
      <c r="D178" s="5" t="s">
        <v>797</v>
      </c>
      <c r="E178" s="5" t="s">
        <v>790</v>
      </c>
      <c r="F178" s="5" t="s">
        <v>791</v>
      </c>
      <c r="G178" s="5" t="s">
        <v>798</v>
      </c>
      <c r="H178" s="5" t="s">
        <v>12</v>
      </c>
      <c r="I178" s="5" t="s">
        <v>40</v>
      </c>
      <c r="J178" s="5" t="s">
        <v>41</v>
      </c>
      <c r="K178" s="5"/>
    </row>
    <row r="179" spans="1:11">
      <c r="A179" s="5" t="s">
        <v>654</v>
      </c>
      <c r="B179" s="5" t="s">
        <v>799</v>
      </c>
      <c r="C179" s="5" t="s">
        <v>35</v>
      </c>
      <c r="D179" s="5" t="s">
        <v>800</v>
      </c>
      <c r="E179" s="5" t="s">
        <v>786</v>
      </c>
      <c r="F179" s="5" t="s">
        <v>750</v>
      </c>
      <c r="G179" s="5" t="s">
        <v>801</v>
      </c>
      <c r="H179" s="5" t="s">
        <v>12</v>
      </c>
      <c r="I179" s="5" t="s">
        <v>40</v>
      </c>
      <c r="J179" s="5" t="s">
        <v>41</v>
      </c>
      <c r="K179" s="5"/>
    </row>
    <row r="180" spans="1:11">
      <c r="A180" s="5" t="s">
        <v>654</v>
      </c>
      <c r="B180" s="5" t="s">
        <v>802</v>
      </c>
      <c r="C180" s="5" t="s">
        <v>35</v>
      </c>
      <c r="D180" s="5" t="s">
        <v>803</v>
      </c>
      <c r="E180" s="5" t="s">
        <v>790</v>
      </c>
      <c r="F180" s="5" t="s">
        <v>791</v>
      </c>
      <c r="G180" s="5" t="s">
        <v>804</v>
      </c>
      <c r="H180" s="5" t="s">
        <v>12</v>
      </c>
      <c r="I180" s="5" t="s">
        <v>40</v>
      </c>
      <c r="J180" s="5" t="s">
        <v>41</v>
      </c>
      <c r="K180" s="5"/>
    </row>
    <row r="181" spans="1:11">
      <c r="A181" s="5" t="s">
        <v>654</v>
      </c>
      <c r="B181" s="5" t="s">
        <v>805</v>
      </c>
      <c r="C181" s="5" t="s">
        <v>35</v>
      </c>
      <c r="D181" s="5" t="s">
        <v>806</v>
      </c>
      <c r="E181" s="5" t="s">
        <v>786</v>
      </c>
      <c r="F181" s="5" t="s">
        <v>750</v>
      </c>
      <c r="G181" s="5" t="s">
        <v>807</v>
      </c>
      <c r="H181" s="5" t="s">
        <v>12</v>
      </c>
      <c r="I181" s="5" t="s">
        <v>40</v>
      </c>
      <c r="J181" s="5" t="s">
        <v>41</v>
      </c>
      <c r="K181" s="5"/>
    </row>
    <row r="182" spans="1:11">
      <c r="A182" s="5" t="s">
        <v>654</v>
      </c>
      <c r="B182" s="5" t="s">
        <v>808</v>
      </c>
      <c r="C182" s="5" t="s">
        <v>35</v>
      </c>
      <c r="D182" s="5" t="s">
        <v>809</v>
      </c>
      <c r="E182" s="5" t="s">
        <v>790</v>
      </c>
      <c r="F182" s="5" t="s">
        <v>791</v>
      </c>
      <c r="G182" s="5" t="s">
        <v>810</v>
      </c>
      <c r="H182" s="5" t="s">
        <v>12</v>
      </c>
      <c r="I182" s="5" t="s">
        <v>40</v>
      </c>
      <c r="J182" s="5" t="s">
        <v>41</v>
      </c>
      <c r="K182" s="5"/>
    </row>
    <row r="183" spans="1:11">
      <c r="A183" s="5" t="s">
        <v>654</v>
      </c>
      <c r="B183" s="5" t="s">
        <v>811</v>
      </c>
      <c r="C183" s="5" t="s">
        <v>35</v>
      </c>
      <c r="D183" s="5" t="s">
        <v>812</v>
      </c>
      <c r="E183" s="5" t="s">
        <v>786</v>
      </c>
      <c r="F183" s="5" t="s">
        <v>750</v>
      </c>
      <c r="G183" s="5" t="s">
        <v>813</v>
      </c>
      <c r="H183" s="5" t="s">
        <v>12</v>
      </c>
      <c r="I183" s="5" t="s">
        <v>40</v>
      </c>
      <c r="J183" s="5" t="s">
        <v>41</v>
      </c>
      <c r="K183" s="5"/>
    </row>
    <row r="184" spans="1:11">
      <c r="A184" s="5" t="s">
        <v>654</v>
      </c>
      <c r="B184" s="5" t="s">
        <v>814</v>
      </c>
      <c r="C184" s="5" t="s">
        <v>35</v>
      </c>
      <c r="D184" s="5" t="s">
        <v>815</v>
      </c>
      <c r="E184" s="5" t="s">
        <v>790</v>
      </c>
      <c r="F184" s="5" t="s">
        <v>791</v>
      </c>
      <c r="G184" s="5" t="s">
        <v>816</v>
      </c>
      <c r="H184" s="5" t="s">
        <v>12</v>
      </c>
      <c r="I184" s="5" t="s">
        <v>40</v>
      </c>
      <c r="J184" s="5" t="s">
        <v>41</v>
      </c>
      <c r="K184" s="5"/>
    </row>
    <row r="185" spans="1:11">
      <c r="A185" s="5" t="s">
        <v>654</v>
      </c>
      <c r="B185" s="5" t="s">
        <v>817</v>
      </c>
      <c r="C185" s="5" t="s">
        <v>35</v>
      </c>
      <c r="D185" s="5" t="s">
        <v>818</v>
      </c>
      <c r="E185" s="5" t="s">
        <v>786</v>
      </c>
      <c r="F185" s="5" t="s">
        <v>750</v>
      </c>
      <c r="G185" s="5" t="s">
        <v>819</v>
      </c>
      <c r="H185" s="5" t="s">
        <v>12</v>
      </c>
      <c r="I185" s="5" t="s">
        <v>40</v>
      </c>
      <c r="J185" s="5" t="s">
        <v>41</v>
      </c>
      <c r="K185" s="5"/>
    </row>
    <row r="186" spans="1:11">
      <c r="A186" s="5" t="s">
        <v>654</v>
      </c>
      <c r="B186" s="5" t="s">
        <v>820</v>
      </c>
      <c r="C186" s="5" t="s">
        <v>35</v>
      </c>
      <c r="D186" s="5" t="s">
        <v>821</v>
      </c>
      <c r="E186" s="5" t="s">
        <v>790</v>
      </c>
      <c r="F186" s="5" t="s">
        <v>791</v>
      </c>
      <c r="G186" s="5" t="s">
        <v>822</v>
      </c>
      <c r="H186" s="5" t="s">
        <v>12</v>
      </c>
      <c r="I186" s="5" t="s">
        <v>40</v>
      </c>
      <c r="J186" s="5" t="s">
        <v>41</v>
      </c>
      <c r="K186" s="5"/>
    </row>
    <row r="187" spans="1:11">
      <c r="A187" s="5" t="s">
        <v>654</v>
      </c>
      <c r="B187" s="5" t="s">
        <v>823</v>
      </c>
      <c r="C187" s="5" t="s">
        <v>35</v>
      </c>
      <c r="D187" s="5" t="s">
        <v>824</v>
      </c>
      <c r="E187" s="5" t="s">
        <v>825</v>
      </c>
      <c r="F187" s="5" t="s">
        <v>826</v>
      </c>
      <c r="G187" s="5" t="s">
        <v>827</v>
      </c>
      <c r="H187" s="5" t="s">
        <v>12</v>
      </c>
      <c r="I187" s="5" t="s">
        <v>40</v>
      </c>
      <c r="J187" s="5" t="s">
        <v>41</v>
      </c>
      <c r="K187" s="5"/>
    </row>
    <row r="188" spans="1:11">
      <c r="A188" s="5" t="s">
        <v>654</v>
      </c>
      <c r="B188" s="5" t="s">
        <v>828</v>
      </c>
      <c r="C188" s="5" t="s">
        <v>35</v>
      </c>
      <c r="D188" s="5" t="s">
        <v>829</v>
      </c>
      <c r="E188" s="5" t="s">
        <v>830</v>
      </c>
      <c r="F188" s="5" t="s">
        <v>831</v>
      </c>
      <c r="G188" s="5" t="s">
        <v>832</v>
      </c>
      <c r="H188" s="5" t="s">
        <v>12</v>
      </c>
      <c r="I188" s="5" t="s">
        <v>40</v>
      </c>
      <c r="J188" s="5" t="s">
        <v>41</v>
      </c>
      <c r="K188" s="5"/>
    </row>
    <row r="189" spans="1:11">
      <c r="A189" s="5" t="s">
        <v>654</v>
      </c>
      <c r="B189" s="5" t="s">
        <v>833</v>
      </c>
      <c r="C189" s="5" t="s">
        <v>35</v>
      </c>
      <c r="D189" s="5" t="s">
        <v>834</v>
      </c>
      <c r="E189" s="5" t="s">
        <v>835</v>
      </c>
      <c r="F189" s="5" t="s">
        <v>836</v>
      </c>
      <c r="G189" s="5" t="s">
        <v>837</v>
      </c>
      <c r="H189" s="5" t="s">
        <v>12</v>
      </c>
      <c r="I189" s="5" t="s">
        <v>40</v>
      </c>
      <c r="J189" s="5" t="s">
        <v>41</v>
      </c>
      <c r="K189" s="5"/>
    </row>
    <row r="190" spans="1:11">
      <c r="A190" s="5" t="s">
        <v>654</v>
      </c>
      <c r="B190" s="5" t="s">
        <v>838</v>
      </c>
      <c r="C190" s="5" t="s">
        <v>35</v>
      </c>
      <c r="D190" s="5" t="s">
        <v>839</v>
      </c>
      <c r="E190" s="5" t="s">
        <v>840</v>
      </c>
      <c r="F190" s="5" t="s">
        <v>841</v>
      </c>
      <c r="G190" s="5" t="s">
        <v>842</v>
      </c>
      <c r="H190" s="5" t="s">
        <v>12</v>
      </c>
      <c r="I190" s="5" t="s">
        <v>40</v>
      </c>
      <c r="J190" s="5" t="s">
        <v>41</v>
      </c>
      <c r="K190" s="5"/>
    </row>
    <row r="191" spans="1:11">
      <c r="A191" s="5" t="s">
        <v>654</v>
      </c>
      <c r="B191" s="5" t="s">
        <v>843</v>
      </c>
      <c r="C191" s="5" t="s">
        <v>35</v>
      </c>
      <c r="D191" s="5" t="s">
        <v>844</v>
      </c>
      <c r="E191" s="5" t="s">
        <v>845</v>
      </c>
      <c r="F191" s="5" t="s">
        <v>846</v>
      </c>
      <c r="G191" s="5" t="s">
        <v>847</v>
      </c>
      <c r="H191" s="5" t="s">
        <v>12</v>
      </c>
      <c r="I191" s="5" t="s">
        <v>40</v>
      </c>
      <c r="J191" s="5" t="s">
        <v>41</v>
      </c>
      <c r="K191" s="5"/>
    </row>
    <row r="192" spans="1:11">
      <c r="A192" s="5" t="s">
        <v>654</v>
      </c>
      <c r="B192" s="5" t="s">
        <v>848</v>
      </c>
      <c r="C192" s="5" t="s">
        <v>35</v>
      </c>
      <c r="D192" s="5" t="s">
        <v>849</v>
      </c>
      <c r="E192" s="5" t="s">
        <v>850</v>
      </c>
      <c r="F192" s="5" t="s">
        <v>851</v>
      </c>
      <c r="G192" s="5" t="s">
        <v>852</v>
      </c>
      <c r="H192" s="5" t="s">
        <v>12</v>
      </c>
      <c r="I192" s="5" t="s">
        <v>40</v>
      </c>
      <c r="J192" s="5" t="s">
        <v>41</v>
      </c>
      <c r="K192" s="5"/>
    </row>
    <row r="193" spans="1:11">
      <c r="A193" s="5" t="s">
        <v>654</v>
      </c>
      <c r="B193" s="5" t="s">
        <v>853</v>
      </c>
      <c r="C193" s="5" t="s">
        <v>35</v>
      </c>
      <c r="D193" s="5" t="s">
        <v>854</v>
      </c>
      <c r="E193" s="5" t="s">
        <v>855</v>
      </c>
      <c r="F193" s="5" t="s">
        <v>856</v>
      </c>
      <c r="G193" s="5" t="s">
        <v>857</v>
      </c>
      <c r="H193" s="5" t="s">
        <v>12</v>
      </c>
      <c r="I193" s="5" t="s">
        <v>40</v>
      </c>
      <c r="J193" s="5" t="s">
        <v>41</v>
      </c>
      <c r="K193" s="5"/>
    </row>
    <row r="194" spans="1:11">
      <c r="A194" s="5" t="s">
        <v>654</v>
      </c>
      <c r="B194" s="5" t="s">
        <v>858</v>
      </c>
      <c r="C194" s="5" t="s">
        <v>35</v>
      </c>
      <c r="D194" s="5" t="s">
        <v>859</v>
      </c>
      <c r="E194" s="5" t="s">
        <v>860</v>
      </c>
      <c r="F194" s="5" t="s">
        <v>861</v>
      </c>
      <c r="G194" s="5" t="s">
        <v>862</v>
      </c>
      <c r="H194" s="5" t="s">
        <v>12</v>
      </c>
      <c r="I194" s="5" t="s">
        <v>40</v>
      </c>
      <c r="J194" s="5" t="s">
        <v>41</v>
      </c>
      <c r="K194" s="5"/>
    </row>
    <row r="195" spans="1:11">
      <c r="A195" s="5" t="s">
        <v>654</v>
      </c>
      <c r="B195" s="5" t="s">
        <v>863</v>
      </c>
      <c r="C195" s="5" t="s">
        <v>35</v>
      </c>
      <c r="D195" s="5" t="s">
        <v>864</v>
      </c>
      <c r="E195" s="5" t="s">
        <v>865</v>
      </c>
      <c r="F195" s="5" t="s">
        <v>856</v>
      </c>
      <c r="G195" s="5" t="s">
        <v>866</v>
      </c>
      <c r="H195" s="5" t="s">
        <v>12</v>
      </c>
      <c r="I195" s="5" t="s">
        <v>40</v>
      </c>
      <c r="J195" s="5" t="s">
        <v>41</v>
      </c>
      <c r="K195" s="5"/>
    </row>
    <row r="196" spans="1:11">
      <c r="A196" s="5" t="s">
        <v>654</v>
      </c>
      <c r="B196" s="5" t="s">
        <v>867</v>
      </c>
      <c r="C196" s="5" t="s">
        <v>35</v>
      </c>
      <c r="D196" s="5" t="s">
        <v>868</v>
      </c>
      <c r="E196" s="5" t="s">
        <v>869</v>
      </c>
      <c r="F196" s="5" t="s">
        <v>870</v>
      </c>
      <c r="G196" s="5" t="s">
        <v>871</v>
      </c>
      <c r="H196" s="5" t="s">
        <v>12</v>
      </c>
      <c r="I196" s="5" t="s">
        <v>40</v>
      </c>
      <c r="J196" s="5" t="s">
        <v>41</v>
      </c>
      <c r="K196" s="5"/>
    </row>
    <row r="197" spans="1:11">
      <c r="A197" s="5" t="s">
        <v>654</v>
      </c>
      <c r="B197" s="5" t="s">
        <v>872</v>
      </c>
      <c r="C197" s="5" t="s">
        <v>35</v>
      </c>
      <c r="D197" s="5" t="s">
        <v>873</v>
      </c>
      <c r="E197" s="5" t="s">
        <v>874</v>
      </c>
      <c r="F197" s="5" t="s">
        <v>856</v>
      </c>
      <c r="G197" s="5" t="s">
        <v>875</v>
      </c>
      <c r="H197" s="5" t="s">
        <v>12</v>
      </c>
      <c r="I197" s="5" t="s">
        <v>40</v>
      </c>
      <c r="J197" s="5" t="s">
        <v>41</v>
      </c>
      <c r="K197" s="5"/>
    </row>
    <row r="198" spans="1:11">
      <c r="A198" s="5" t="s">
        <v>654</v>
      </c>
      <c r="B198" s="5" t="s">
        <v>876</v>
      </c>
      <c r="C198" s="5" t="s">
        <v>35</v>
      </c>
      <c r="D198" s="5" t="s">
        <v>877</v>
      </c>
      <c r="E198" s="5" t="s">
        <v>878</v>
      </c>
      <c r="F198" s="5" t="s">
        <v>856</v>
      </c>
      <c r="G198" s="5" t="s">
        <v>879</v>
      </c>
      <c r="H198" s="5" t="s">
        <v>12</v>
      </c>
      <c r="I198" s="5" t="s">
        <v>40</v>
      </c>
      <c r="J198" s="5" t="s">
        <v>41</v>
      </c>
      <c r="K198" s="5"/>
    </row>
    <row r="199" spans="1:11">
      <c r="A199" s="5" t="s">
        <v>654</v>
      </c>
      <c r="B199" s="5" t="s">
        <v>880</v>
      </c>
      <c r="C199" s="5" t="s">
        <v>35</v>
      </c>
      <c r="D199" s="5" t="s">
        <v>881</v>
      </c>
      <c r="E199" s="5" t="s">
        <v>882</v>
      </c>
      <c r="F199" s="5" t="s">
        <v>883</v>
      </c>
      <c r="G199" s="5" t="s">
        <v>884</v>
      </c>
      <c r="H199" s="5" t="s">
        <v>12</v>
      </c>
      <c r="I199" s="5" t="s">
        <v>40</v>
      </c>
      <c r="J199" s="5" t="s">
        <v>41</v>
      </c>
      <c r="K199" s="5"/>
    </row>
    <row r="200" spans="1:11">
      <c r="A200" s="5" t="s">
        <v>654</v>
      </c>
      <c r="B200" s="5" t="s">
        <v>885</v>
      </c>
      <c r="C200" s="5" t="s">
        <v>35</v>
      </c>
      <c r="D200" s="5" t="s">
        <v>886</v>
      </c>
      <c r="E200" s="5" t="s">
        <v>887</v>
      </c>
      <c r="F200" s="5" t="s">
        <v>883</v>
      </c>
      <c r="G200" s="5" t="s">
        <v>888</v>
      </c>
      <c r="H200" s="5" t="s">
        <v>12</v>
      </c>
      <c r="I200" s="5" t="s">
        <v>40</v>
      </c>
      <c r="J200" s="5" t="s">
        <v>41</v>
      </c>
      <c r="K200" s="5"/>
    </row>
    <row r="201" spans="1:11">
      <c r="A201" s="5" t="s">
        <v>654</v>
      </c>
      <c r="B201" s="5" t="s">
        <v>889</v>
      </c>
      <c r="C201" s="5" t="s">
        <v>35</v>
      </c>
      <c r="D201" s="5" t="s">
        <v>890</v>
      </c>
      <c r="E201" s="5" t="s">
        <v>891</v>
      </c>
      <c r="F201" s="5" t="s">
        <v>883</v>
      </c>
      <c r="G201" s="5" t="s">
        <v>892</v>
      </c>
      <c r="H201" s="5" t="s">
        <v>12</v>
      </c>
      <c r="I201" s="5" t="s">
        <v>40</v>
      </c>
      <c r="J201" s="5" t="s">
        <v>41</v>
      </c>
      <c r="K201" s="5"/>
    </row>
    <row r="202" spans="1:11">
      <c r="A202" s="5" t="s">
        <v>654</v>
      </c>
      <c r="B202" s="5" t="s">
        <v>893</v>
      </c>
      <c r="C202" s="5" t="s">
        <v>35</v>
      </c>
      <c r="D202" s="5" t="s">
        <v>894</v>
      </c>
      <c r="E202" s="5" t="s">
        <v>895</v>
      </c>
      <c r="F202" s="5" t="s">
        <v>883</v>
      </c>
      <c r="G202" s="5" t="s">
        <v>896</v>
      </c>
      <c r="H202" s="5" t="s">
        <v>12</v>
      </c>
      <c r="I202" s="5" t="s">
        <v>40</v>
      </c>
      <c r="J202" s="5" t="s">
        <v>41</v>
      </c>
      <c r="K202" s="5"/>
    </row>
    <row r="203" spans="1:11">
      <c r="A203" s="5" t="s">
        <v>654</v>
      </c>
      <c r="B203" s="5" t="s">
        <v>897</v>
      </c>
      <c r="C203" s="5" t="s">
        <v>35</v>
      </c>
      <c r="D203" s="5" t="s">
        <v>898</v>
      </c>
      <c r="E203" s="5" t="s">
        <v>899</v>
      </c>
      <c r="F203" s="5" t="s">
        <v>883</v>
      </c>
      <c r="G203" s="5" t="s">
        <v>900</v>
      </c>
      <c r="H203" s="5" t="s">
        <v>12</v>
      </c>
      <c r="I203" s="5" t="s">
        <v>40</v>
      </c>
      <c r="J203" s="5" t="s">
        <v>41</v>
      </c>
      <c r="K203" s="5"/>
    </row>
    <row r="204" spans="1:11">
      <c r="A204" s="5" t="s">
        <v>654</v>
      </c>
      <c r="B204" s="5" t="s">
        <v>901</v>
      </c>
      <c r="C204" s="5" t="s">
        <v>35</v>
      </c>
      <c r="D204" s="5" t="s">
        <v>902</v>
      </c>
      <c r="E204" s="5" t="s">
        <v>903</v>
      </c>
      <c r="F204" s="5" t="s">
        <v>883</v>
      </c>
      <c r="G204" s="5" t="s">
        <v>904</v>
      </c>
      <c r="H204" s="5" t="s">
        <v>12</v>
      </c>
      <c r="I204" s="5" t="s">
        <v>40</v>
      </c>
      <c r="J204" s="5" t="s">
        <v>41</v>
      </c>
      <c r="K204" s="5"/>
    </row>
    <row r="205" spans="1:11">
      <c r="A205" s="5" t="s">
        <v>905</v>
      </c>
      <c r="B205" s="5" t="s">
        <v>906</v>
      </c>
      <c r="C205" s="5" t="s">
        <v>35</v>
      </c>
      <c r="D205" s="5" t="s">
        <v>907</v>
      </c>
      <c r="E205" s="5" t="s">
        <v>908</v>
      </c>
      <c r="F205" s="5" t="s">
        <v>909</v>
      </c>
      <c r="G205" s="5" t="s">
        <v>910</v>
      </c>
      <c r="H205" s="5" t="s">
        <v>12</v>
      </c>
      <c r="I205" s="5" t="s">
        <v>40</v>
      </c>
      <c r="J205" s="5" t="s">
        <v>41</v>
      </c>
      <c r="K205" s="5"/>
    </row>
    <row r="206" spans="1:11">
      <c r="A206" s="5" t="s">
        <v>905</v>
      </c>
      <c r="B206" s="5" t="s">
        <v>911</v>
      </c>
      <c r="C206" s="5" t="s">
        <v>35</v>
      </c>
      <c r="D206" s="5" t="s">
        <v>912</v>
      </c>
      <c r="E206" s="5" t="s">
        <v>913</v>
      </c>
      <c r="F206" s="5" t="s">
        <v>914</v>
      </c>
      <c r="G206" s="5" t="s">
        <v>915</v>
      </c>
      <c r="H206" s="5" t="s">
        <v>12</v>
      </c>
      <c r="I206" s="5" t="s">
        <v>40</v>
      </c>
      <c r="J206" s="5" t="s">
        <v>41</v>
      </c>
      <c r="K206" s="5"/>
    </row>
    <row r="207" spans="1:11">
      <c r="A207" s="5" t="s">
        <v>905</v>
      </c>
      <c r="B207" s="5" t="s">
        <v>916</v>
      </c>
      <c r="C207" s="5" t="s">
        <v>35</v>
      </c>
      <c r="D207" s="5" t="s">
        <v>917</v>
      </c>
      <c r="E207" s="5" t="s">
        <v>918</v>
      </c>
      <c r="F207" s="5" t="s">
        <v>919</v>
      </c>
      <c r="G207" s="5" t="s">
        <v>920</v>
      </c>
      <c r="H207" s="5" t="s">
        <v>12</v>
      </c>
      <c r="I207" s="5" t="s">
        <v>40</v>
      </c>
      <c r="J207" s="5" t="s">
        <v>41</v>
      </c>
      <c r="K207" s="5"/>
    </row>
    <row r="208" spans="1:11">
      <c r="A208" s="5" t="s">
        <v>905</v>
      </c>
      <c r="B208" s="5" t="s">
        <v>921</v>
      </c>
      <c r="C208" s="5" t="s">
        <v>35</v>
      </c>
      <c r="D208" s="5" t="s">
        <v>922</v>
      </c>
      <c r="E208" s="5" t="s">
        <v>923</v>
      </c>
      <c r="F208" s="5" t="s">
        <v>924</v>
      </c>
      <c r="G208" s="5" t="s">
        <v>925</v>
      </c>
      <c r="H208" s="5" t="s">
        <v>12</v>
      </c>
      <c r="I208" s="5" t="s">
        <v>40</v>
      </c>
      <c r="J208" s="5" t="s">
        <v>41</v>
      </c>
      <c r="K208" s="5"/>
    </row>
    <row r="209" spans="1:11">
      <c r="A209" s="5" t="s">
        <v>905</v>
      </c>
      <c r="B209" s="5" t="s">
        <v>926</v>
      </c>
      <c r="C209" s="5" t="s">
        <v>35</v>
      </c>
      <c r="D209" s="5" t="s">
        <v>927</v>
      </c>
      <c r="E209" s="5" t="s">
        <v>928</v>
      </c>
      <c r="F209" s="5" t="s">
        <v>929</v>
      </c>
      <c r="G209" s="5" t="s">
        <v>930</v>
      </c>
      <c r="H209" s="5" t="s">
        <v>12</v>
      </c>
      <c r="I209" s="5" t="s">
        <v>40</v>
      </c>
      <c r="J209" s="5" t="s">
        <v>41</v>
      </c>
      <c r="K209" s="5"/>
    </row>
    <row r="210" spans="1:11">
      <c r="A210" s="5" t="s">
        <v>905</v>
      </c>
      <c r="B210" s="5" t="s">
        <v>931</v>
      </c>
      <c r="C210" s="5" t="s">
        <v>35</v>
      </c>
      <c r="D210" s="5" t="s">
        <v>932</v>
      </c>
      <c r="E210" s="5" t="s">
        <v>933</v>
      </c>
      <c r="F210" s="5" t="s">
        <v>934</v>
      </c>
      <c r="G210" s="5" t="s">
        <v>935</v>
      </c>
      <c r="H210" s="5" t="s">
        <v>12</v>
      </c>
      <c r="I210" s="5" t="s">
        <v>40</v>
      </c>
      <c r="J210" s="5" t="s">
        <v>41</v>
      </c>
      <c r="K210" s="5"/>
    </row>
    <row r="211" spans="1:11">
      <c r="A211" s="5" t="s">
        <v>905</v>
      </c>
      <c r="B211" s="5" t="s">
        <v>936</v>
      </c>
      <c r="C211" s="5" t="s">
        <v>35</v>
      </c>
      <c r="D211" s="5" t="s">
        <v>937</v>
      </c>
      <c r="E211" s="5" t="s">
        <v>938</v>
      </c>
      <c r="F211" s="5" t="s">
        <v>939</v>
      </c>
      <c r="G211" s="5" t="s">
        <v>940</v>
      </c>
      <c r="H211" s="5" t="s">
        <v>12</v>
      </c>
      <c r="I211" s="5" t="s">
        <v>40</v>
      </c>
      <c r="J211" s="5" t="s">
        <v>41</v>
      </c>
      <c r="K211" s="5"/>
    </row>
    <row r="212" spans="1:11">
      <c r="A212" s="5" t="s">
        <v>905</v>
      </c>
      <c r="B212" s="5" t="s">
        <v>941</v>
      </c>
      <c r="C212" s="5" t="s">
        <v>35</v>
      </c>
      <c r="D212" s="5" t="s">
        <v>942</v>
      </c>
      <c r="E212" s="5" t="s">
        <v>943</v>
      </c>
      <c r="F212" s="5" t="s">
        <v>944</v>
      </c>
      <c r="G212" s="5" t="s">
        <v>945</v>
      </c>
      <c r="H212" s="5" t="s">
        <v>12</v>
      </c>
      <c r="I212" s="5" t="s">
        <v>40</v>
      </c>
      <c r="J212" s="5" t="s">
        <v>41</v>
      </c>
      <c r="K212" s="5"/>
    </row>
    <row r="213" spans="1:11">
      <c r="A213" s="5" t="s">
        <v>905</v>
      </c>
      <c r="B213" s="5" t="s">
        <v>946</v>
      </c>
      <c r="C213" s="5" t="s">
        <v>35</v>
      </c>
      <c r="D213" s="5" t="s">
        <v>947</v>
      </c>
      <c r="E213" s="5" t="s">
        <v>948</v>
      </c>
      <c r="F213" s="5" t="s">
        <v>949</v>
      </c>
      <c r="G213" s="5" t="s">
        <v>950</v>
      </c>
      <c r="H213" s="5" t="s">
        <v>12</v>
      </c>
      <c r="I213" s="5" t="s">
        <v>40</v>
      </c>
      <c r="J213" s="5" t="s">
        <v>41</v>
      </c>
      <c r="K213" s="5"/>
    </row>
    <row r="214" spans="1:11">
      <c r="A214" s="5" t="s">
        <v>905</v>
      </c>
      <c r="B214" s="5" t="s">
        <v>951</v>
      </c>
      <c r="C214" s="5" t="s">
        <v>35</v>
      </c>
      <c r="D214" s="5" t="s">
        <v>952</v>
      </c>
      <c r="E214" s="5" t="s">
        <v>953</v>
      </c>
      <c r="F214" s="5" t="s">
        <v>954</v>
      </c>
      <c r="G214" s="5" t="s">
        <v>955</v>
      </c>
      <c r="H214" s="5" t="s">
        <v>12</v>
      </c>
      <c r="I214" s="5" t="s">
        <v>40</v>
      </c>
      <c r="J214" s="5" t="s">
        <v>41</v>
      </c>
      <c r="K214" s="5"/>
    </row>
    <row r="215" spans="1:11">
      <c r="A215" s="5" t="s">
        <v>905</v>
      </c>
      <c r="B215" s="5" t="s">
        <v>956</v>
      </c>
      <c r="C215" s="5" t="s">
        <v>35</v>
      </c>
      <c r="D215" s="5" t="s">
        <v>957</v>
      </c>
      <c r="E215" s="5" t="s">
        <v>958</v>
      </c>
      <c r="F215" s="5" t="s">
        <v>959</v>
      </c>
      <c r="G215" s="5" t="s">
        <v>960</v>
      </c>
      <c r="H215" s="5" t="s">
        <v>12</v>
      </c>
      <c r="I215" s="5" t="s">
        <v>40</v>
      </c>
      <c r="J215" s="5" t="s">
        <v>41</v>
      </c>
      <c r="K215" s="5"/>
    </row>
    <row r="216" spans="1:11">
      <c r="A216" s="5" t="s">
        <v>905</v>
      </c>
      <c r="B216" s="5" t="s">
        <v>961</v>
      </c>
      <c r="C216" s="5" t="s">
        <v>35</v>
      </c>
      <c r="D216" s="5" t="s">
        <v>962</v>
      </c>
      <c r="E216" s="5" t="s">
        <v>963</v>
      </c>
      <c r="F216" s="5" t="s">
        <v>959</v>
      </c>
      <c r="G216" s="5" t="s">
        <v>964</v>
      </c>
      <c r="H216" s="5" t="s">
        <v>12</v>
      </c>
      <c r="I216" s="5" t="s">
        <v>40</v>
      </c>
      <c r="J216" s="5" t="s">
        <v>41</v>
      </c>
      <c r="K216" s="5"/>
    </row>
    <row r="217" spans="1:11">
      <c r="A217" s="5" t="s">
        <v>905</v>
      </c>
      <c r="B217" s="5" t="s">
        <v>965</v>
      </c>
      <c r="C217" s="5" t="s">
        <v>35</v>
      </c>
      <c r="D217" s="5" t="s">
        <v>966</v>
      </c>
      <c r="E217" s="5" t="s">
        <v>967</v>
      </c>
      <c r="F217" s="5" t="s">
        <v>968</v>
      </c>
      <c r="G217" s="5" t="s">
        <v>969</v>
      </c>
      <c r="H217" s="5" t="s">
        <v>12</v>
      </c>
      <c r="I217" s="5" t="s">
        <v>40</v>
      </c>
      <c r="J217" s="5" t="s">
        <v>41</v>
      </c>
      <c r="K217" s="5"/>
    </row>
    <row r="218" spans="1:11">
      <c r="A218" s="5" t="s">
        <v>905</v>
      </c>
      <c r="B218" s="5" t="s">
        <v>970</v>
      </c>
      <c r="C218" s="5" t="s">
        <v>35</v>
      </c>
      <c r="D218" s="5" t="s">
        <v>971</v>
      </c>
      <c r="E218" s="5" t="s">
        <v>972</v>
      </c>
      <c r="F218" s="5" t="s">
        <v>973</v>
      </c>
      <c r="G218" s="5" t="s">
        <v>974</v>
      </c>
      <c r="H218" s="5" t="s">
        <v>12</v>
      </c>
      <c r="I218" s="5" t="s">
        <v>40</v>
      </c>
      <c r="J218" s="5" t="s">
        <v>41</v>
      </c>
      <c r="K218" s="5"/>
    </row>
    <row r="219" spans="1:11">
      <c r="A219" s="5" t="s">
        <v>905</v>
      </c>
      <c r="B219" s="5" t="s">
        <v>975</v>
      </c>
      <c r="C219" s="5" t="s">
        <v>35</v>
      </c>
      <c r="D219" s="5" t="s">
        <v>976</v>
      </c>
      <c r="E219" s="5" t="s">
        <v>977</v>
      </c>
      <c r="F219" s="5" t="s">
        <v>978</v>
      </c>
      <c r="G219" s="5" t="s">
        <v>979</v>
      </c>
      <c r="H219" s="5" t="s">
        <v>12</v>
      </c>
      <c r="I219" s="5" t="s">
        <v>40</v>
      </c>
      <c r="J219" s="5" t="s">
        <v>41</v>
      </c>
      <c r="K219" s="5"/>
    </row>
    <row r="220" spans="1:11">
      <c r="A220" s="5" t="s">
        <v>905</v>
      </c>
      <c r="B220" s="5" t="s">
        <v>980</v>
      </c>
      <c r="C220" s="5" t="s">
        <v>35</v>
      </c>
      <c r="D220" s="5" t="s">
        <v>981</v>
      </c>
      <c r="E220" s="5" t="s">
        <v>982</v>
      </c>
      <c r="F220" s="5" t="s">
        <v>983</v>
      </c>
      <c r="G220" s="5" t="s">
        <v>984</v>
      </c>
      <c r="H220" s="5" t="s">
        <v>12</v>
      </c>
      <c r="I220" s="5" t="s">
        <v>40</v>
      </c>
      <c r="J220" s="5" t="s">
        <v>41</v>
      </c>
      <c r="K220" s="5"/>
    </row>
    <row r="221" spans="1:11">
      <c r="A221" s="5" t="s">
        <v>905</v>
      </c>
      <c r="B221" s="5" t="s">
        <v>985</v>
      </c>
      <c r="C221" s="5" t="s">
        <v>35</v>
      </c>
      <c r="D221" s="5" t="s">
        <v>986</v>
      </c>
      <c r="E221" s="5" t="s">
        <v>987</v>
      </c>
      <c r="F221" s="5" t="s">
        <v>988</v>
      </c>
      <c r="G221" s="5" t="s">
        <v>989</v>
      </c>
      <c r="H221" s="5" t="s">
        <v>12</v>
      </c>
      <c r="I221" s="5" t="s">
        <v>40</v>
      </c>
      <c r="J221" s="5" t="s">
        <v>41</v>
      </c>
      <c r="K221" s="5"/>
    </row>
    <row r="222" spans="1:11">
      <c r="A222" s="5" t="s">
        <v>905</v>
      </c>
      <c r="B222" s="5" t="s">
        <v>990</v>
      </c>
      <c r="C222" s="5" t="s">
        <v>35</v>
      </c>
      <c r="D222" s="5" t="s">
        <v>991</v>
      </c>
      <c r="E222" s="5" t="s">
        <v>992</v>
      </c>
      <c r="F222" s="5" t="s">
        <v>993</v>
      </c>
      <c r="G222" s="5" t="s">
        <v>994</v>
      </c>
      <c r="H222" s="5" t="s">
        <v>12</v>
      </c>
      <c r="I222" s="5" t="s">
        <v>40</v>
      </c>
      <c r="J222" s="5" t="s">
        <v>41</v>
      </c>
      <c r="K222" s="5"/>
    </row>
    <row r="223" spans="1:11">
      <c r="A223" s="5" t="s">
        <v>905</v>
      </c>
      <c r="B223" s="5" t="s">
        <v>995</v>
      </c>
      <c r="C223" s="5" t="s">
        <v>35</v>
      </c>
      <c r="D223" s="5" t="s">
        <v>996</v>
      </c>
      <c r="E223" s="5" t="s">
        <v>997</v>
      </c>
      <c r="F223" s="5" t="s">
        <v>998</v>
      </c>
      <c r="G223" s="5" t="s">
        <v>999</v>
      </c>
      <c r="H223" s="5" t="s">
        <v>12</v>
      </c>
      <c r="I223" s="5" t="s">
        <v>40</v>
      </c>
      <c r="J223" s="5" t="s">
        <v>41</v>
      </c>
      <c r="K223" s="5"/>
    </row>
    <row r="224" spans="1:11">
      <c r="A224" s="5" t="s">
        <v>905</v>
      </c>
      <c r="B224" s="5" t="s">
        <v>1000</v>
      </c>
      <c r="C224" s="5" t="s">
        <v>35</v>
      </c>
      <c r="D224" s="5" t="s">
        <v>1001</v>
      </c>
      <c r="E224" s="5" t="s">
        <v>1002</v>
      </c>
      <c r="F224" s="5" t="s">
        <v>1003</v>
      </c>
      <c r="G224" s="5" t="s">
        <v>1004</v>
      </c>
      <c r="H224" s="5" t="s">
        <v>12</v>
      </c>
      <c r="I224" s="5" t="s">
        <v>40</v>
      </c>
      <c r="J224" s="5" t="s">
        <v>41</v>
      </c>
      <c r="K224" s="5"/>
    </row>
    <row r="225" spans="1:11">
      <c r="A225" s="5" t="s">
        <v>905</v>
      </c>
      <c r="B225" s="5" t="s">
        <v>1005</v>
      </c>
      <c r="C225" s="5" t="s">
        <v>35</v>
      </c>
      <c r="D225" s="5" t="s">
        <v>1006</v>
      </c>
      <c r="E225" s="5" t="s">
        <v>1007</v>
      </c>
      <c r="F225" s="5" t="s">
        <v>1008</v>
      </c>
      <c r="G225" s="5" t="s">
        <v>1009</v>
      </c>
      <c r="H225" s="5" t="s">
        <v>12</v>
      </c>
      <c r="I225" s="5" t="s">
        <v>40</v>
      </c>
      <c r="J225" s="5" t="s">
        <v>41</v>
      </c>
      <c r="K225" s="5"/>
    </row>
    <row r="226" spans="1:11">
      <c r="A226" s="5" t="s">
        <v>905</v>
      </c>
      <c r="B226" s="5" t="s">
        <v>1010</v>
      </c>
      <c r="C226" s="5" t="s">
        <v>35</v>
      </c>
      <c r="D226" s="5" t="s">
        <v>1011</v>
      </c>
      <c r="E226" s="5" t="s">
        <v>1012</v>
      </c>
      <c r="F226" s="5" t="s">
        <v>1013</v>
      </c>
      <c r="G226" s="5" t="s">
        <v>1014</v>
      </c>
      <c r="H226" s="5" t="s">
        <v>12</v>
      </c>
      <c r="I226" s="5" t="s">
        <v>40</v>
      </c>
      <c r="J226" s="5" t="s">
        <v>41</v>
      </c>
      <c r="K226" s="5"/>
    </row>
    <row r="227" spans="1:11">
      <c r="A227" s="5" t="s">
        <v>905</v>
      </c>
      <c r="B227" s="5" t="s">
        <v>1015</v>
      </c>
      <c r="C227" s="5" t="s">
        <v>35</v>
      </c>
      <c r="D227" s="5" t="s">
        <v>1016</v>
      </c>
      <c r="E227" s="5" t="s">
        <v>1017</v>
      </c>
      <c r="F227" s="5" t="s">
        <v>1018</v>
      </c>
      <c r="G227" s="5" t="s">
        <v>1019</v>
      </c>
      <c r="H227" s="5" t="s">
        <v>12</v>
      </c>
      <c r="I227" s="5" t="s">
        <v>40</v>
      </c>
      <c r="J227" s="5" t="s">
        <v>41</v>
      </c>
      <c r="K227" s="5"/>
    </row>
    <row r="228" spans="1:11">
      <c r="A228" s="5" t="s">
        <v>905</v>
      </c>
      <c r="B228" s="5" t="s">
        <v>1020</v>
      </c>
      <c r="C228" s="5" t="s">
        <v>35</v>
      </c>
      <c r="D228" s="5" t="s">
        <v>1021</v>
      </c>
      <c r="E228" s="5" t="s">
        <v>1022</v>
      </c>
      <c r="F228" s="5" t="s">
        <v>1023</v>
      </c>
      <c r="G228" s="5" t="s">
        <v>1024</v>
      </c>
      <c r="H228" s="5" t="s">
        <v>12</v>
      </c>
      <c r="I228" s="5" t="s">
        <v>40</v>
      </c>
      <c r="J228" s="5" t="s">
        <v>41</v>
      </c>
      <c r="K228" s="5"/>
    </row>
    <row r="229" spans="1:11">
      <c r="A229" s="5" t="s">
        <v>905</v>
      </c>
      <c r="B229" s="5" t="s">
        <v>1025</v>
      </c>
      <c r="C229" s="5" t="s">
        <v>35</v>
      </c>
      <c r="D229" s="5" t="s">
        <v>1026</v>
      </c>
      <c r="E229" s="5" t="s">
        <v>1027</v>
      </c>
      <c r="F229" s="5" t="s">
        <v>1028</v>
      </c>
      <c r="G229" s="5" t="s">
        <v>1029</v>
      </c>
      <c r="H229" s="5" t="s">
        <v>12</v>
      </c>
      <c r="I229" s="5" t="s">
        <v>40</v>
      </c>
      <c r="J229" s="5" t="s">
        <v>41</v>
      </c>
      <c r="K229" s="5"/>
    </row>
    <row r="230" spans="1:11">
      <c r="A230" s="5" t="s">
        <v>905</v>
      </c>
      <c r="B230" s="5" t="s">
        <v>1030</v>
      </c>
      <c r="C230" s="5" t="s">
        <v>35</v>
      </c>
      <c r="D230" s="5" t="s">
        <v>1031</v>
      </c>
      <c r="E230" s="5" t="s">
        <v>1032</v>
      </c>
      <c r="F230" s="5" t="s">
        <v>1033</v>
      </c>
      <c r="G230" s="5" t="s">
        <v>1034</v>
      </c>
      <c r="H230" s="5" t="s">
        <v>12</v>
      </c>
      <c r="I230" s="5" t="s">
        <v>40</v>
      </c>
      <c r="J230" s="5" t="s">
        <v>41</v>
      </c>
      <c r="K230" s="5"/>
    </row>
    <row r="231" spans="1:11">
      <c r="A231" s="5" t="s">
        <v>905</v>
      </c>
      <c r="B231" s="5" t="s">
        <v>1035</v>
      </c>
      <c r="C231" s="5" t="s">
        <v>35</v>
      </c>
      <c r="D231" s="5" t="s">
        <v>1036</v>
      </c>
      <c r="E231" s="5" t="s">
        <v>1037</v>
      </c>
      <c r="F231" s="5" t="s">
        <v>1038</v>
      </c>
      <c r="G231" s="5" t="s">
        <v>1039</v>
      </c>
      <c r="H231" s="5" t="s">
        <v>12</v>
      </c>
      <c r="I231" s="5" t="s">
        <v>40</v>
      </c>
      <c r="J231" s="5" t="s">
        <v>41</v>
      </c>
      <c r="K231" s="5"/>
    </row>
    <row r="232" spans="1:11">
      <c r="A232" s="5" t="s">
        <v>905</v>
      </c>
      <c r="B232" s="5" t="s">
        <v>1040</v>
      </c>
      <c r="C232" s="5" t="s">
        <v>35</v>
      </c>
      <c r="D232" s="5" t="s">
        <v>1041</v>
      </c>
      <c r="E232" s="5" t="s">
        <v>1042</v>
      </c>
      <c r="F232" s="5" t="s">
        <v>1043</v>
      </c>
      <c r="G232" s="5" t="s">
        <v>1044</v>
      </c>
      <c r="H232" s="5" t="s">
        <v>12</v>
      </c>
      <c r="I232" s="5" t="s">
        <v>40</v>
      </c>
      <c r="J232" s="5" t="s">
        <v>41</v>
      </c>
      <c r="K232" s="5"/>
    </row>
    <row r="233" spans="1:11">
      <c r="A233" s="5" t="s">
        <v>905</v>
      </c>
      <c r="B233" s="5" t="s">
        <v>1045</v>
      </c>
      <c r="C233" s="5" t="s">
        <v>35</v>
      </c>
      <c r="D233" s="5" t="s">
        <v>1046</v>
      </c>
      <c r="E233" s="5" t="s">
        <v>1047</v>
      </c>
      <c r="F233" s="5" t="s">
        <v>1048</v>
      </c>
      <c r="G233" s="5" t="s">
        <v>1049</v>
      </c>
      <c r="H233" s="5" t="s">
        <v>12</v>
      </c>
      <c r="I233" s="5" t="s">
        <v>40</v>
      </c>
      <c r="J233" s="5" t="s">
        <v>41</v>
      </c>
      <c r="K233" s="5"/>
    </row>
    <row r="234" spans="1:11">
      <c r="A234" s="5" t="s">
        <v>905</v>
      </c>
      <c r="B234" s="5" t="s">
        <v>1050</v>
      </c>
      <c r="C234" s="5" t="s">
        <v>35</v>
      </c>
      <c r="D234" s="5" t="s">
        <v>1051</v>
      </c>
      <c r="E234" s="5" t="s">
        <v>1052</v>
      </c>
      <c r="F234" s="5" t="s">
        <v>1053</v>
      </c>
      <c r="G234" s="5" t="s">
        <v>1054</v>
      </c>
      <c r="H234" s="5" t="s">
        <v>12</v>
      </c>
      <c r="I234" s="5" t="s">
        <v>40</v>
      </c>
      <c r="J234" s="5" t="s">
        <v>41</v>
      </c>
      <c r="K234" s="5"/>
    </row>
    <row r="235" spans="1:11">
      <c r="A235" s="5" t="s">
        <v>905</v>
      </c>
      <c r="B235" s="5" t="s">
        <v>1055</v>
      </c>
      <c r="C235" s="5" t="s">
        <v>35</v>
      </c>
      <c r="D235" s="5" t="s">
        <v>1056</v>
      </c>
      <c r="E235" s="5" t="s">
        <v>1057</v>
      </c>
      <c r="F235" s="5" t="s">
        <v>1058</v>
      </c>
      <c r="G235" s="5" t="s">
        <v>1059</v>
      </c>
      <c r="H235" s="5" t="s">
        <v>12</v>
      </c>
      <c r="I235" s="5" t="s">
        <v>40</v>
      </c>
      <c r="J235" s="5" t="s">
        <v>41</v>
      </c>
      <c r="K235" s="5"/>
    </row>
    <row r="236" spans="1:11">
      <c r="A236" s="5" t="s">
        <v>905</v>
      </c>
      <c r="B236" s="5" t="s">
        <v>1060</v>
      </c>
      <c r="C236" s="5" t="s">
        <v>35</v>
      </c>
      <c r="D236" s="5" t="s">
        <v>1061</v>
      </c>
      <c r="E236" s="5" t="s">
        <v>1062</v>
      </c>
      <c r="F236" s="5" t="s">
        <v>1063</v>
      </c>
      <c r="G236" s="5" t="s">
        <v>1064</v>
      </c>
      <c r="H236" s="5" t="s">
        <v>12</v>
      </c>
      <c r="I236" s="5" t="s">
        <v>40</v>
      </c>
      <c r="J236" s="5" t="s">
        <v>41</v>
      </c>
      <c r="K236" s="5"/>
    </row>
    <row r="237" spans="1:11">
      <c r="A237" s="5" t="s">
        <v>905</v>
      </c>
      <c r="B237" s="5" t="s">
        <v>1065</v>
      </c>
      <c r="C237" s="5" t="s">
        <v>35</v>
      </c>
      <c r="D237" s="5" t="s">
        <v>1066</v>
      </c>
      <c r="E237" s="5" t="s">
        <v>1067</v>
      </c>
      <c r="F237" s="5" t="s">
        <v>1068</v>
      </c>
      <c r="G237" s="5" t="s">
        <v>1069</v>
      </c>
      <c r="H237" s="5" t="s">
        <v>12</v>
      </c>
      <c r="I237" s="5" t="s">
        <v>40</v>
      </c>
      <c r="J237" s="5" t="s">
        <v>41</v>
      </c>
      <c r="K237" s="5"/>
    </row>
    <row r="238" spans="1:11">
      <c r="A238" s="5" t="s">
        <v>905</v>
      </c>
      <c r="B238" s="5" t="s">
        <v>1070</v>
      </c>
      <c r="C238" s="5" t="s">
        <v>35</v>
      </c>
      <c r="D238" s="5" t="s">
        <v>1071</v>
      </c>
      <c r="E238" s="5" t="s">
        <v>1072</v>
      </c>
      <c r="F238" s="5" t="s">
        <v>1073</v>
      </c>
      <c r="G238" s="5" t="s">
        <v>1074</v>
      </c>
      <c r="H238" s="5" t="s">
        <v>12</v>
      </c>
      <c r="I238" s="5" t="s">
        <v>40</v>
      </c>
      <c r="J238" s="5" t="s">
        <v>41</v>
      </c>
      <c r="K238" s="5"/>
    </row>
    <row r="239" spans="1:11">
      <c r="A239" s="5" t="s">
        <v>905</v>
      </c>
      <c r="B239" s="5" t="s">
        <v>1075</v>
      </c>
      <c r="C239" s="5" t="s">
        <v>35</v>
      </c>
      <c r="D239" s="5" t="s">
        <v>1076</v>
      </c>
      <c r="E239" s="5" t="s">
        <v>1077</v>
      </c>
      <c r="F239" s="5" t="s">
        <v>1078</v>
      </c>
      <c r="G239" s="5" t="s">
        <v>1079</v>
      </c>
      <c r="H239" s="5" t="s">
        <v>12</v>
      </c>
      <c r="I239" s="5" t="s">
        <v>40</v>
      </c>
      <c r="J239" s="5" t="s">
        <v>41</v>
      </c>
      <c r="K239" s="5"/>
    </row>
    <row r="240" spans="1:11">
      <c r="A240" s="5" t="s">
        <v>905</v>
      </c>
      <c r="B240" s="5" t="s">
        <v>1080</v>
      </c>
      <c r="C240" s="5" t="s">
        <v>35</v>
      </c>
      <c r="D240" s="5" t="s">
        <v>1081</v>
      </c>
      <c r="E240" s="5" t="s">
        <v>1082</v>
      </c>
      <c r="F240" s="5" t="s">
        <v>1078</v>
      </c>
      <c r="G240" s="5" t="s">
        <v>1083</v>
      </c>
      <c r="H240" s="5" t="s">
        <v>12</v>
      </c>
      <c r="I240" s="5" t="s">
        <v>40</v>
      </c>
      <c r="J240" s="5" t="s">
        <v>41</v>
      </c>
      <c r="K240" s="5"/>
    </row>
    <row r="241" spans="1:11">
      <c r="A241" s="5" t="s">
        <v>905</v>
      </c>
      <c r="B241" s="5" t="s">
        <v>1084</v>
      </c>
      <c r="C241" s="5" t="s">
        <v>35</v>
      </c>
      <c r="D241" s="5" t="s">
        <v>1085</v>
      </c>
      <c r="E241" s="5" t="s">
        <v>1086</v>
      </c>
      <c r="F241" s="5" t="s">
        <v>1087</v>
      </c>
      <c r="G241" s="5" t="s">
        <v>1088</v>
      </c>
      <c r="H241" s="5" t="s">
        <v>12</v>
      </c>
      <c r="I241" s="5" t="s">
        <v>40</v>
      </c>
      <c r="J241" s="5" t="s">
        <v>41</v>
      </c>
      <c r="K241" s="5"/>
    </row>
    <row r="242" spans="1:11">
      <c r="A242" s="5" t="s">
        <v>905</v>
      </c>
      <c r="B242" s="5" t="s">
        <v>1089</v>
      </c>
      <c r="C242" s="5" t="s">
        <v>35</v>
      </c>
      <c r="D242" s="5" t="s">
        <v>1090</v>
      </c>
      <c r="E242" s="5" t="s">
        <v>1091</v>
      </c>
      <c r="F242" s="5" t="s">
        <v>1092</v>
      </c>
      <c r="G242" s="5" t="s">
        <v>1093</v>
      </c>
      <c r="H242" s="5" t="s">
        <v>12</v>
      </c>
      <c r="I242" s="5" t="s">
        <v>40</v>
      </c>
      <c r="J242" s="5" t="s">
        <v>41</v>
      </c>
      <c r="K242" s="5"/>
    </row>
    <row r="243" spans="1:11">
      <c r="A243" s="5" t="s">
        <v>905</v>
      </c>
      <c r="B243" s="5" t="s">
        <v>1094</v>
      </c>
      <c r="C243" s="5" t="s">
        <v>35</v>
      </c>
      <c r="D243" s="5" t="s">
        <v>1095</v>
      </c>
      <c r="E243" s="5" t="s">
        <v>1096</v>
      </c>
      <c r="F243" s="5" t="s">
        <v>1097</v>
      </c>
      <c r="G243" s="5" t="s">
        <v>1098</v>
      </c>
      <c r="H243" s="5" t="s">
        <v>12</v>
      </c>
      <c r="I243" s="5" t="s">
        <v>40</v>
      </c>
      <c r="J243" s="5" t="s">
        <v>41</v>
      </c>
      <c r="K243" s="5"/>
    </row>
    <row r="244" spans="1:11">
      <c r="A244" s="5" t="s">
        <v>905</v>
      </c>
      <c r="B244" s="5" t="s">
        <v>1099</v>
      </c>
      <c r="C244" s="5" t="s">
        <v>35</v>
      </c>
      <c r="D244" s="5" t="s">
        <v>1100</v>
      </c>
      <c r="E244" s="5" t="s">
        <v>1101</v>
      </c>
      <c r="F244" s="5" t="s">
        <v>1102</v>
      </c>
      <c r="G244" s="5" t="s">
        <v>1103</v>
      </c>
      <c r="H244" s="5" t="s">
        <v>12</v>
      </c>
      <c r="I244" s="5" t="s">
        <v>40</v>
      </c>
      <c r="J244" s="5" t="s">
        <v>41</v>
      </c>
      <c r="K244" s="5"/>
    </row>
    <row r="245" spans="1:11">
      <c r="A245" s="5" t="s">
        <v>905</v>
      </c>
      <c r="B245" s="5" t="s">
        <v>1104</v>
      </c>
      <c r="C245" s="5" t="s">
        <v>35</v>
      </c>
      <c r="D245" s="5" t="s">
        <v>1105</v>
      </c>
      <c r="E245" s="5" t="s">
        <v>1106</v>
      </c>
      <c r="F245" s="5" t="s">
        <v>1102</v>
      </c>
      <c r="G245" s="5" t="s">
        <v>1107</v>
      </c>
      <c r="H245" s="5" t="s">
        <v>12</v>
      </c>
      <c r="I245" s="5" t="s">
        <v>40</v>
      </c>
      <c r="J245" s="5" t="s">
        <v>41</v>
      </c>
      <c r="K245" s="5"/>
    </row>
    <row r="246" spans="1:11">
      <c r="A246" s="5" t="s">
        <v>905</v>
      </c>
      <c r="B246" s="5" t="s">
        <v>1108</v>
      </c>
      <c r="C246" s="5" t="s">
        <v>35</v>
      </c>
      <c r="D246" s="5" t="s">
        <v>1109</v>
      </c>
      <c r="E246" s="5" t="s">
        <v>1110</v>
      </c>
      <c r="F246" s="5" t="s">
        <v>1102</v>
      </c>
      <c r="G246" s="5" t="s">
        <v>1111</v>
      </c>
      <c r="H246" s="5" t="s">
        <v>12</v>
      </c>
      <c r="I246" s="5" t="s">
        <v>40</v>
      </c>
      <c r="J246" s="5" t="s">
        <v>41</v>
      </c>
      <c r="K246" s="5"/>
    </row>
    <row r="247" spans="1:11">
      <c r="A247" s="5" t="s">
        <v>905</v>
      </c>
      <c r="B247" s="5" t="s">
        <v>1112</v>
      </c>
      <c r="C247" s="5" t="s">
        <v>35</v>
      </c>
      <c r="D247" s="5" t="s">
        <v>1113</v>
      </c>
      <c r="E247" s="5" t="s">
        <v>1114</v>
      </c>
      <c r="F247" s="5" t="s">
        <v>1115</v>
      </c>
      <c r="G247" s="5" t="s">
        <v>1116</v>
      </c>
      <c r="H247" s="5" t="s">
        <v>12</v>
      </c>
      <c r="I247" s="5" t="s">
        <v>40</v>
      </c>
      <c r="J247" s="5" t="s">
        <v>41</v>
      </c>
      <c r="K247" s="5"/>
    </row>
    <row r="248" spans="1:11">
      <c r="A248" s="5" t="s">
        <v>905</v>
      </c>
      <c r="B248" s="5" t="s">
        <v>1117</v>
      </c>
      <c r="C248" s="5" t="s">
        <v>35</v>
      </c>
      <c r="D248" s="5" t="s">
        <v>1118</v>
      </c>
      <c r="E248" s="5" t="s">
        <v>1119</v>
      </c>
      <c r="F248" s="5" t="s">
        <v>1120</v>
      </c>
      <c r="G248" s="5" t="s">
        <v>1121</v>
      </c>
      <c r="H248" s="5" t="s">
        <v>12</v>
      </c>
      <c r="I248" s="5" t="s">
        <v>40</v>
      </c>
      <c r="J248" s="5" t="s">
        <v>41</v>
      </c>
      <c r="K248" s="5"/>
    </row>
    <row r="249" spans="1:11">
      <c r="A249" s="5" t="s">
        <v>905</v>
      </c>
      <c r="B249" s="5" t="s">
        <v>1122</v>
      </c>
      <c r="C249" s="5" t="s">
        <v>35</v>
      </c>
      <c r="D249" s="5" t="s">
        <v>1123</v>
      </c>
      <c r="E249" s="5" t="s">
        <v>1124</v>
      </c>
      <c r="F249" s="5" t="s">
        <v>1125</v>
      </c>
      <c r="G249" s="5" t="s">
        <v>1126</v>
      </c>
      <c r="H249" s="5" t="s">
        <v>12</v>
      </c>
      <c r="I249" s="5" t="s">
        <v>40</v>
      </c>
      <c r="J249" s="5" t="s">
        <v>41</v>
      </c>
      <c r="K249" s="5"/>
    </row>
    <row r="250" spans="1:11">
      <c r="A250" s="5" t="s">
        <v>905</v>
      </c>
      <c r="B250" s="5" t="s">
        <v>1127</v>
      </c>
      <c r="C250" s="5" t="s">
        <v>35</v>
      </c>
      <c r="D250" s="5" t="s">
        <v>1128</v>
      </c>
      <c r="E250" s="5" t="s">
        <v>1129</v>
      </c>
      <c r="F250" s="5" t="s">
        <v>1130</v>
      </c>
      <c r="G250" s="5" t="s">
        <v>1131</v>
      </c>
      <c r="H250" s="5" t="s">
        <v>12</v>
      </c>
      <c r="I250" s="5" t="s">
        <v>40</v>
      </c>
      <c r="J250" s="5" t="s">
        <v>41</v>
      </c>
      <c r="K250" s="5"/>
    </row>
    <row r="251" spans="1:11">
      <c r="A251" s="5" t="s">
        <v>905</v>
      </c>
      <c r="B251" s="5" t="s">
        <v>1132</v>
      </c>
      <c r="C251" s="5" t="s">
        <v>35</v>
      </c>
      <c r="D251" s="5" t="s">
        <v>1133</v>
      </c>
      <c r="E251" s="5" t="s">
        <v>1134</v>
      </c>
      <c r="F251" s="5" t="s">
        <v>1135</v>
      </c>
      <c r="G251" s="5" t="s">
        <v>1136</v>
      </c>
      <c r="H251" s="5" t="s">
        <v>12</v>
      </c>
      <c r="I251" s="5" t="s">
        <v>40</v>
      </c>
      <c r="J251" s="5" t="s">
        <v>41</v>
      </c>
      <c r="K251" s="5"/>
    </row>
    <row r="252" spans="1:11">
      <c r="A252" s="5" t="s">
        <v>905</v>
      </c>
      <c r="B252" s="5" t="s">
        <v>1137</v>
      </c>
      <c r="C252" s="5" t="s">
        <v>35</v>
      </c>
      <c r="D252" s="5" t="s">
        <v>1138</v>
      </c>
      <c r="E252" s="5" t="s">
        <v>1139</v>
      </c>
      <c r="F252" s="5" t="s">
        <v>1140</v>
      </c>
      <c r="G252" s="5" t="s">
        <v>1141</v>
      </c>
      <c r="H252" s="5" t="s">
        <v>12</v>
      </c>
      <c r="I252" s="5" t="s">
        <v>40</v>
      </c>
      <c r="J252" s="5" t="s">
        <v>41</v>
      </c>
      <c r="K252" s="5"/>
    </row>
    <row r="253" spans="1:11">
      <c r="A253" s="5" t="s">
        <v>905</v>
      </c>
      <c r="B253" s="5" t="s">
        <v>1142</v>
      </c>
      <c r="C253" s="5" t="s">
        <v>35</v>
      </c>
      <c r="D253" s="5" t="s">
        <v>1143</v>
      </c>
      <c r="E253" s="5" t="s">
        <v>1144</v>
      </c>
      <c r="F253" s="5" t="s">
        <v>1140</v>
      </c>
      <c r="G253" s="5" t="s">
        <v>1145</v>
      </c>
      <c r="H253" s="5" t="s">
        <v>12</v>
      </c>
      <c r="I253" s="5" t="s">
        <v>40</v>
      </c>
      <c r="J253" s="5" t="s">
        <v>41</v>
      </c>
      <c r="K253" s="5"/>
    </row>
    <row r="254" spans="1:11">
      <c r="A254" s="5" t="s">
        <v>905</v>
      </c>
      <c r="B254" s="5" t="s">
        <v>1146</v>
      </c>
      <c r="C254" s="5" t="s">
        <v>35</v>
      </c>
      <c r="D254" s="5" t="s">
        <v>1147</v>
      </c>
      <c r="E254" s="5" t="s">
        <v>1148</v>
      </c>
      <c r="F254" s="5" t="s">
        <v>1149</v>
      </c>
      <c r="G254" s="5" t="s">
        <v>1150</v>
      </c>
      <c r="H254" s="5" t="s">
        <v>12</v>
      </c>
      <c r="I254" s="5" t="s">
        <v>40</v>
      </c>
      <c r="J254" s="5" t="s">
        <v>41</v>
      </c>
      <c r="K254" s="5"/>
    </row>
    <row r="255" spans="1:11">
      <c r="A255" s="5" t="s">
        <v>905</v>
      </c>
      <c r="B255" s="5" t="s">
        <v>1151</v>
      </c>
      <c r="C255" s="5" t="s">
        <v>35</v>
      </c>
      <c r="D255" s="5" t="s">
        <v>1152</v>
      </c>
      <c r="E255" s="5" t="s">
        <v>1153</v>
      </c>
      <c r="F255" s="5" t="s">
        <v>1154</v>
      </c>
      <c r="G255" s="5" t="s">
        <v>1155</v>
      </c>
      <c r="H255" s="5" t="s">
        <v>12</v>
      </c>
      <c r="I255" s="5" t="s">
        <v>40</v>
      </c>
      <c r="J255" s="5" t="s">
        <v>41</v>
      </c>
      <c r="K255" s="5"/>
    </row>
    <row r="256" spans="1:11">
      <c r="A256" s="5" t="s">
        <v>905</v>
      </c>
      <c r="B256" s="5" t="s">
        <v>1156</v>
      </c>
      <c r="C256" s="5" t="s">
        <v>35</v>
      </c>
      <c r="D256" s="5" t="s">
        <v>1157</v>
      </c>
      <c r="E256" s="5" t="s">
        <v>1158</v>
      </c>
      <c r="F256" s="5" t="s">
        <v>1159</v>
      </c>
      <c r="G256" s="5" t="s">
        <v>1160</v>
      </c>
      <c r="H256" s="5" t="s">
        <v>12</v>
      </c>
      <c r="I256" s="5" t="s">
        <v>40</v>
      </c>
      <c r="J256" s="5" t="s">
        <v>41</v>
      </c>
      <c r="K256" s="5"/>
    </row>
    <row r="257" spans="1:11">
      <c r="A257" s="5" t="s">
        <v>905</v>
      </c>
      <c r="B257" s="5" t="s">
        <v>1161</v>
      </c>
      <c r="C257" s="5" t="s">
        <v>35</v>
      </c>
      <c r="D257" s="5" t="s">
        <v>1162</v>
      </c>
      <c r="E257" s="5" t="s">
        <v>1163</v>
      </c>
      <c r="F257" s="5" t="s">
        <v>1159</v>
      </c>
      <c r="G257" s="5" t="s">
        <v>1164</v>
      </c>
      <c r="H257" s="5" t="s">
        <v>12</v>
      </c>
      <c r="I257" s="5" t="s">
        <v>40</v>
      </c>
      <c r="J257" s="5" t="s">
        <v>41</v>
      </c>
      <c r="K257" s="5"/>
    </row>
    <row r="258" spans="1:11">
      <c r="A258" s="5" t="s">
        <v>905</v>
      </c>
      <c r="B258" s="5" t="s">
        <v>1165</v>
      </c>
      <c r="C258" s="5" t="s">
        <v>35</v>
      </c>
      <c r="D258" s="5" t="s">
        <v>1166</v>
      </c>
      <c r="E258" s="5" t="s">
        <v>1167</v>
      </c>
      <c r="F258" s="5" t="s">
        <v>1168</v>
      </c>
      <c r="G258" s="5" t="s">
        <v>1169</v>
      </c>
      <c r="H258" s="5" t="s">
        <v>12</v>
      </c>
      <c r="I258" s="5" t="s">
        <v>40</v>
      </c>
      <c r="J258" s="5" t="s">
        <v>41</v>
      </c>
      <c r="K258" s="5"/>
    </row>
    <row r="259" spans="1:11">
      <c r="A259" s="5" t="s">
        <v>905</v>
      </c>
      <c r="B259" s="5" t="s">
        <v>1170</v>
      </c>
      <c r="C259" s="5" t="s">
        <v>35</v>
      </c>
      <c r="D259" s="5" t="s">
        <v>1171</v>
      </c>
      <c r="E259" s="5" t="s">
        <v>1172</v>
      </c>
      <c r="F259" s="5" t="s">
        <v>1168</v>
      </c>
      <c r="G259" s="5" t="s">
        <v>1173</v>
      </c>
      <c r="H259" s="5" t="s">
        <v>12</v>
      </c>
      <c r="I259" s="5" t="s">
        <v>40</v>
      </c>
      <c r="J259" s="5" t="s">
        <v>41</v>
      </c>
      <c r="K259" s="5"/>
    </row>
    <row r="260" spans="1:11">
      <c r="A260" s="5" t="s">
        <v>905</v>
      </c>
      <c r="B260" s="5" t="s">
        <v>1174</v>
      </c>
      <c r="C260" s="5" t="s">
        <v>35</v>
      </c>
      <c r="D260" s="5" t="s">
        <v>1175</v>
      </c>
      <c r="E260" s="5" t="s">
        <v>1176</v>
      </c>
      <c r="F260" s="5" t="s">
        <v>1177</v>
      </c>
      <c r="G260" s="5" t="s">
        <v>1178</v>
      </c>
      <c r="H260" s="5" t="s">
        <v>12</v>
      </c>
      <c r="I260" s="5" t="s">
        <v>40</v>
      </c>
      <c r="J260" s="5" t="s">
        <v>41</v>
      </c>
      <c r="K260" s="5"/>
    </row>
    <row r="261" spans="1:11">
      <c r="A261" s="5" t="s">
        <v>905</v>
      </c>
      <c r="B261" s="5" t="s">
        <v>1179</v>
      </c>
      <c r="C261" s="5" t="s">
        <v>35</v>
      </c>
      <c r="D261" s="5" t="s">
        <v>1180</v>
      </c>
      <c r="E261" s="5" t="s">
        <v>1181</v>
      </c>
      <c r="F261" s="5" t="s">
        <v>1182</v>
      </c>
      <c r="G261" s="5" t="s">
        <v>1183</v>
      </c>
      <c r="H261" s="5" t="s">
        <v>12</v>
      </c>
      <c r="I261" s="5" t="s">
        <v>40</v>
      </c>
      <c r="J261" s="5" t="s">
        <v>41</v>
      </c>
      <c r="K261" s="5"/>
    </row>
    <row r="262" spans="1:11">
      <c r="A262" s="5" t="s">
        <v>905</v>
      </c>
      <c r="B262" s="5" t="s">
        <v>1184</v>
      </c>
      <c r="C262" s="5" t="s">
        <v>35</v>
      </c>
      <c r="D262" s="5" t="s">
        <v>1185</v>
      </c>
      <c r="E262" s="5" t="s">
        <v>1186</v>
      </c>
      <c r="F262" s="5" t="s">
        <v>1187</v>
      </c>
      <c r="G262" s="5" t="s">
        <v>1188</v>
      </c>
      <c r="H262" s="5" t="s">
        <v>12</v>
      </c>
      <c r="I262" s="5" t="s">
        <v>40</v>
      </c>
      <c r="J262" s="5" t="s">
        <v>41</v>
      </c>
      <c r="K262" s="5"/>
    </row>
    <row r="263" spans="1:11">
      <c r="A263" s="5" t="s">
        <v>905</v>
      </c>
      <c r="B263" s="5" t="s">
        <v>1189</v>
      </c>
      <c r="C263" s="5" t="s">
        <v>35</v>
      </c>
      <c r="D263" s="5" t="s">
        <v>1190</v>
      </c>
      <c r="E263" s="5" t="s">
        <v>1191</v>
      </c>
      <c r="F263" s="5" t="s">
        <v>1192</v>
      </c>
      <c r="G263" s="5" t="s">
        <v>1193</v>
      </c>
      <c r="H263" s="5" t="s">
        <v>12</v>
      </c>
      <c r="I263" s="5" t="s">
        <v>40</v>
      </c>
      <c r="J263" s="5" t="s">
        <v>41</v>
      </c>
      <c r="K263" s="5"/>
    </row>
    <row r="264" spans="1:11">
      <c r="A264" s="5" t="s">
        <v>905</v>
      </c>
      <c r="B264" s="5" t="s">
        <v>1194</v>
      </c>
      <c r="C264" s="5" t="s">
        <v>35</v>
      </c>
      <c r="D264" s="5" t="s">
        <v>1195</v>
      </c>
      <c r="E264" s="5" t="s">
        <v>1196</v>
      </c>
      <c r="F264" s="5" t="s">
        <v>1197</v>
      </c>
      <c r="G264" s="5" t="s">
        <v>1198</v>
      </c>
      <c r="H264" s="5" t="s">
        <v>12</v>
      </c>
      <c r="I264" s="5" t="s">
        <v>40</v>
      </c>
      <c r="J264" s="5" t="s">
        <v>41</v>
      </c>
      <c r="K264" s="5"/>
    </row>
    <row r="265" spans="1:11">
      <c r="A265" s="5" t="s">
        <v>905</v>
      </c>
      <c r="B265" s="5" t="s">
        <v>1199</v>
      </c>
      <c r="C265" s="5" t="s">
        <v>35</v>
      </c>
      <c r="D265" s="5" t="s">
        <v>1200</v>
      </c>
      <c r="E265" s="5" t="s">
        <v>1201</v>
      </c>
      <c r="F265" s="5" t="s">
        <v>1197</v>
      </c>
      <c r="G265" s="5" t="s">
        <v>1202</v>
      </c>
      <c r="H265" s="5" t="s">
        <v>12</v>
      </c>
      <c r="I265" s="5" t="s">
        <v>40</v>
      </c>
      <c r="J265" s="5" t="s">
        <v>41</v>
      </c>
      <c r="K265" s="5"/>
    </row>
    <row r="266" spans="1:11">
      <c r="A266" s="5" t="s">
        <v>905</v>
      </c>
      <c r="B266" s="5" t="s">
        <v>1203</v>
      </c>
      <c r="C266" s="5" t="s">
        <v>35</v>
      </c>
      <c r="D266" s="5" t="s">
        <v>1204</v>
      </c>
      <c r="E266" s="5" t="s">
        <v>1205</v>
      </c>
      <c r="F266" s="5" t="s">
        <v>1206</v>
      </c>
      <c r="G266" s="5" t="s">
        <v>1207</v>
      </c>
      <c r="H266" s="5" t="s">
        <v>12</v>
      </c>
      <c r="I266" s="5" t="s">
        <v>40</v>
      </c>
      <c r="J266" s="5" t="s">
        <v>41</v>
      </c>
      <c r="K266" s="5"/>
    </row>
    <row r="267" spans="1:11">
      <c r="A267" s="5" t="s">
        <v>905</v>
      </c>
      <c r="B267" s="5" t="s">
        <v>1208</v>
      </c>
      <c r="C267" s="5" t="s">
        <v>35</v>
      </c>
      <c r="D267" s="5" t="s">
        <v>1209</v>
      </c>
      <c r="E267" s="5" t="s">
        <v>1210</v>
      </c>
      <c r="F267" s="5" t="s">
        <v>1206</v>
      </c>
      <c r="G267" s="5" t="s">
        <v>1211</v>
      </c>
      <c r="H267" s="5" t="s">
        <v>12</v>
      </c>
      <c r="I267" s="5" t="s">
        <v>40</v>
      </c>
      <c r="J267" s="5" t="s">
        <v>41</v>
      </c>
      <c r="K267" s="5"/>
    </row>
    <row r="268" spans="1:11">
      <c r="A268" s="5" t="s">
        <v>905</v>
      </c>
      <c r="B268" s="5" t="s">
        <v>1212</v>
      </c>
      <c r="C268" s="5" t="s">
        <v>35</v>
      </c>
      <c r="D268" s="5" t="s">
        <v>1213</v>
      </c>
      <c r="E268" s="5" t="s">
        <v>1214</v>
      </c>
      <c r="F268" s="5" t="s">
        <v>1215</v>
      </c>
      <c r="G268" s="5" t="s">
        <v>1216</v>
      </c>
      <c r="H268" s="5" t="s">
        <v>12</v>
      </c>
      <c r="I268" s="5" t="s">
        <v>40</v>
      </c>
      <c r="J268" s="5" t="s">
        <v>41</v>
      </c>
      <c r="K268" s="5"/>
    </row>
    <row r="269" spans="1:11">
      <c r="A269" s="5" t="s">
        <v>905</v>
      </c>
      <c r="B269" s="5" t="s">
        <v>1217</v>
      </c>
      <c r="C269" s="5" t="s">
        <v>35</v>
      </c>
      <c r="D269" s="5" t="s">
        <v>1218</v>
      </c>
      <c r="E269" s="5" t="s">
        <v>1219</v>
      </c>
      <c r="F269" s="5" t="s">
        <v>1220</v>
      </c>
      <c r="G269" s="5" t="s">
        <v>1221</v>
      </c>
      <c r="H269" s="5" t="s">
        <v>12</v>
      </c>
      <c r="I269" s="5" t="s">
        <v>40</v>
      </c>
      <c r="J269" s="5" t="s">
        <v>41</v>
      </c>
      <c r="K269" s="5"/>
    </row>
    <row r="270" spans="1:11">
      <c r="A270" s="5" t="s">
        <v>905</v>
      </c>
      <c r="B270" s="5" t="s">
        <v>1222</v>
      </c>
      <c r="C270" s="5" t="s">
        <v>35</v>
      </c>
      <c r="D270" s="5" t="s">
        <v>1223</v>
      </c>
      <c r="E270" s="5" t="s">
        <v>1224</v>
      </c>
      <c r="F270" s="5" t="s">
        <v>1225</v>
      </c>
      <c r="G270" s="5" t="s">
        <v>1226</v>
      </c>
      <c r="H270" s="5" t="s">
        <v>12</v>
      </c>
      <c r="I270" s="5" t="s">
        <v>40</v>
      </c>
      <c r="J270" s="5" t="s">
        <v>41</v>
      </c>
      <c r="K270" s="5"/>
    </row>
    <row r="271" spans="1:11">
      <c r="A271" s="5" t="s">
        <v>905</v>
      </c>
      <c r="B271" s="5" t="s">
        <v>1227</v>
      </c>
      <c r="C271" s="5" t="s">
        <v>35</v>
      </c>
      <c r="D271" s="5" t="s">
        <v>1228</v>
      </c>
      <c r="E271" s="5" t="s">
        <v>1229</v>
      </c>
      <c r="F271" s="5" t="s">
        <v>1230</v>
      </c>
      <c r="G271" s="5" t="s">
        <v>1231</v>
      </c>
      <c r="H271" s="5" t="s">
        <v>12</v>
      </c>
      <c r="I271" s="5" t="s">
        <v>40</v>
      </c>
      <c r="J271" s="5" t="s">
        <v>41</v>
      </c>
      <c r="K271" s="5"/>
    </row>
    <row r="272" spans="1:11">
      <c r="A272" s="5" t="s">
        <v>905</v>
      </c>
      <c r="B272" s="5" t="s">
        <v>1232</v>
      </c>
      <c r="C272" s="5" t="s">
        <v>35</v>
      </c>
      <c r="D272" s="5" t="s">
        <v>1233</v>
      </c>
      <c r="E272" s="5" t="s">
        <v>1234</v>
      </c>
      <c r="F272" s="5" t="s">
        <v>1235</v>
      </c>
      <c r="G272" s="5" t="s">
        <v>1236</v>
      </c>
      <c r="H272" s="5" t="s">
        <v>12</v>
      </c>
      <c r="I272" s="5" t="s">
        <v>40</v>
      </c>
      <c r="J272" s="5" t="s">
        <v>41</v>
      </c>
      <c r="K272" s="5"/>
    </row>
    <row r="273" spans="1:11">
      <c r="A273" s="5" t="s">
        <v>905</v>
      </c>
      <c r="B273" s="5" t="s">
        <v>1237</v>
      </c>
      <c r="C273" s="5" t="s">
        <v>35</v>
      </c>
      <c r="D273" s="5" t="s">
        <v>1238</v>
      </c>
      <c r="E273" s="5" t="s">
        <v>1239</v>
      </c>
      <c r="F273" s="5" t="s">
        <v>1235</v>
      </c>
      <c r="G273" s="5" t="s">
        <v>1240</v>
      </c>
      <c r="H273" s="5" t="s">
        <v>12</v>
      </c>
      <c r="I273" s="5" t="s">
        <v>40</v>
      </c>
      <c r="J273" s="5" t="s">
        <v>41</v>
      </c>
      <c r="K273" s="5"/>
    </row>
    <row r="274" spans="1:11">
      <c r="A274" s="5" t="s">
        <v>905</v>
      </c>
      <c r="B274" s="5" t="s">
        <v>1241</v>
      </c>
      <c r="C274" s="5" t="s">
        <v>35</v>
      </c>
      <c r="D274" s="5" t="s">
        <v>1242</v>
      </c>
      <c r="E274" s="5" t="s">
        <v>1243</v>
      </c>
      <c r="F274" s="5" t="s">
        <v>1197</v>
      </c>
      <c r="G274" s="5" t="s">
        <v>1244</v>
      </c>
      <c r="H274" s="5" t="s">
        <v>12</v>
      </c>
      <c r="I274" s="5" t="s">
        <v>40</v>
      </c>
      <c r="J274" s="5" t="s">
        <v>41</v>
      </c>
      <c r="K274" s="5"/>
    </row>
    <row r="275" spans="1:11">
      <c r="A275" s="5" t="s">
        <v>905</v>
      </c>
      <c r="B275" s="5" t="s">
        <v>1245</v>
      </c>
      <c r="C275" s="5" t="s">
        <v>35</v>
      </c>
      <c r="D275" s="5" t="s">
        <v>1246</v>
      </c>
      <c r="E275" s="5" t="s">
        <v>1243</v>
      </c>
      <c r="F275" s="5" t="s">
        <v>1197</v>
      </c>
      <c r="G275" s="5" t="s">
        <v>1247</v>
      </c>
      <c r="H275" s="5" t="s">
        <v>12</v>
      </c>
      <c r="I275" s="5" t="s">
        <v>40</v>
      </c>
      <c r="J275" s="5" t="s">
        <v>41</v>
      </c>
      <c r="K275" s="5"/>
    </row>
    <row r="276" spans="1:11">
      <c r="A276" s="5" t="s">
        <v>905</v>
      </c>
      <c r="B276" s="5" t="s">
        <v>1248</v>
      </c>
      <c r="C276" s="5" t="s">
        <v>35</v>
      </c>
      <c r="D276" s="5" t="s">
        <v>1249</v>
      </c>
      <c r="E276" s="5" t="s">
        <v>1250</v>
      </c>
      <c r="F276" s="5" t="s">
        <v>1251</v>
      </c>
      <c r="G276" s="5" t="s">
        <v>1252</v>
      </c>
      <c r="H276" s="5" t="s">
        <v>12</v>
      </c>
      <c r="I276" s="5" t="s">
        <v>40</v>
      </c>
      <c r="J276" s="5" t="s">
        <v>41</v>
      </c>
      <c r="K276" s="5"/>
    </row>
    <row r="277" spans="1:11">
      <c r="A277" s="5" t="s">
        <v>905</v>
      </c>
      <c r="B277" s="5" t="s">
        <v>1253</v>
      </c>
      <c r="C277" s="5" t="s">
        <v>35</v>
      </c>
      <c r="D277" s="5" t="s">
        <v>1254</v>
      </c>
      <c r="E277" s="5" t="s">
        <v>1255</v>
      </c>
      <c r="F277" s="5" t="s">
        <v>1197</v>
      </c>
      <c r="G277" s="5" t="s">
        <v>1256</v>
      </c>
      <c r="H277" s="5" t="s">
        <v>12</v>
      </c>
      <c r="I277" s="5" t="s">
        <v>40</v>
      </c>
      <c r="J277" s="5" t="s">
        <v>41</v>
      </c>
      <c r="K277" s="5"/>
    </row>
    <row r="278" spans="1:11">
      <c r="A278" s="5" t="s">
        <v>905</v>
      </c>
      <c r="B278" s="5" t="s">
        <v>1257</v>
      </c>
      <c r="C278" s="5" t="s">
        <v>35</v>
      </c>
      <c r="D278" s="5" t="s">
        <v>1258</v>
      </c>
      <c r="E278" s="5" t="s">
        <v>1259</v>
      </c>
      <c r="F278" s="5" t="s">
        <v>1197</v>
      </c>
      <c r="G278" s="5" t="s">
        <v>1260</v>
      </c>
      <c r="H278" s="5" t="s">
        <v>12</v>
      </c>
      <c r="I278" s="5" t="s">
        <v>40</v>
      </c>
      <c r="J278" s="5" t="s">
        <v>41</v>
      </c>
      <c r="K278" s="5"/>
    </row>
    <row r="279" spans="1:11">
      <c r="A279" s="5" t="s">
        <v>905</v>
      </c>
      <c r="B279" s="5" t="s">
        <v>1261</v>
      </c>
      <c r="C279" s="5" t="s">
        <v>35</v>
      </c>
      <c r="D279" s="5" t="s">
        <v>1262</v>
      </c>
      <c r="E279" s="5" t="s">
        <v>1263</v>
      </c>
      <c r="F279" s="5" t="s">
        <v>1197</v>
      </c>
      <c r="G279" s="5" t="s">
        <v>1264</v>
      </c>
      <c r="H279" s="5" t="s">
        <v>12</v>
      </c>
      <c r="I279" s="5" t="s">
        <v>40</v>
      </c>
      <c r="J279" s="5" t="s">
        <v>41</v>
      </c>
      <c r="K279" s="5"/>
    </row>
    <row r="280" spans="1:11">
      <c r="A280" s="5" t="s">
        <v>905</v>
      </c>
      <c r="B280" s="5" t="s">
        <v>1265</v>
      </c>
      <c r="C280" s="5" t="s">
        <v>35</v>
      </c>
      <c r="D280" s="5" t="s">
        <v>1266</v>
      </c>
      <c r="E280" s="5" t="s">
        <v>1267</v>
      </c>
      <c r="F280" s="5" t="s">
        <v>1197</v>
      </c>
      <c r="G280" s="5" t="s">
        <v>1268</v>
      </c>
      <c r="H280" s="5" t="s">
        <v>12</v>
      </c>
      <c r="I280" s="5" t="s">
        <v>40</v>
      </c>
      <c r="J280" s="5" t="s">
        <v>41</v>
      </c>
      <c r="K280" s="5"/>
    </row>
    <row r="281" spans="1:11">
      <c r="A281" s="5" t="s">
        <v>905</v>
      </c>
      <c r="B281" s="5" t="s">
        <v>1269</v>
      </c>
      <c r="C281" s="5" t="s">
        <v>35</v>
      </c>
      <c r="D281" s="5" t="s">
        <v>1270</v>
      </c>
      <c r="E281" s="5" t="s">
        <v>1271</v>
      </c>
      <c r="F281" s="5" t="s">
        <v>1197</v>
      </c>
      <c r="G281" s="5" t="s">
        <v>1272</v>
      </c>
      <c r="H281" s="5" t="s">
        <v>12</v>
      </c>
      <c r="I281" s="5" t="s">
        <v>40</v>
      </c>
      <c r="J281" s="5" t="s">
        <v>41</v>
      </c>
      <c r="K281" s="5"/>
    </row>
    <row r="282" spans="1:11">
      <c r="A282" s="5" t="s">
        <v>905</v>
      </c>
      <c r="B282" s="5" t="s">
        <v>1273</v>
      </c>
      <c r="C282" s="5" t="s">
        <v>35</v>
      </c>
      <c r="D282" s="5" t="s">
        <v>1274</v>
      </c>
      <c r="E282" s="5" t="s">
        <v>1275</v>
      </c>
      <c r="F282" s="5" t="s">
        <v>1197</v>
      </c>
      <c r="G282" s="5" t="s">
        <v>1276</v>
      </c>
      <c r="H282" s="5" t="s">
        <v>12</v>
      </c>
      <c r="I282" s="5" t="s">
        <v>40</v>
      </c>
      <c r="J282" s="5" t="s">
        <v>41</v>
      </c>
      <c r="K282" s="5"/>
    </row>
    <row r="283" spans="1:11">
      <c r="A283" s="5" t="s">
        <v>905</v>
      </c>
      <c r="B283" s="5" t="s">
        <v>1277</v>
      </c>
      <c r="C283" s="5" t="s">
        <v>35</v>
      </c>
      <c r="D283" s="5" t="s">
        <v>1278</v>
      </c>
      <c r="E283" s="5" t="s">
        <v>1279</v>
      </c>
      <c r="F283" s="5" t="s">
        <v>1197</v>
      </c>
      <c r="G283" s="5" t="s">
        <v>1280</v>
      </c>
      <c r="H283" s="5" t="s">
        <v>12</v>
      </c>
      <c r="I283" s="5" t="s">
        <v>40</v>
      </c>
      <c r="J283" s="5" t="s">
        <v>41</v>
      </c>
      <c r="K283" s="5"/>
    </row>
    <row r="284" spans="1:11">
      <c r="A284" s="5" t="s">
        <v>905</v>
      </c>
      <c r="B284" s="5" t="s">
        <v>1281</v>
      </c>
      <c r="C284" s="5" t="s">
        <v>35</v>
      </c>
      <c r="D284" s="5" t="s">
        <v>1282</v>
      </c>
      <c r="E284" s="5" t="s">
        <v>1283</v>
      </c>
      <c r="F284" s="5" t="s">
        <v>1197</v>
      </c>
      <c r="G284" s="5" t="s">
        <v>1284</v>
      </c>
      <c r="H284" s="5" t="s">
        <v>12</v>
      </c>
      <c r="I284" s="5" t="s">
        <v>40</v>
      </c>
      <c r="J284" s="5" t="s">
        <v>41</v>
      </c>
      <c r="K284" s="5"/>
    </row>
    <row r="285" spans="1:11">
      <c r="A285" s="5" t="s">
        <v>905</v>
      </c>
      <c r="B285" s="5" t="s">
        <v>1285</v>
      </c>
      <c r="C285" s="5" t="s">
        <v>35</v>
      </c>
      <c r="D285" s="5" t="s">
        <v>1286</v>
      </c>
      <c r="E285" s="5" t="s">
        <v>1287</v>
      </c>
      <c r="F285" s="5" t="s">
        <v>1197</v>
      </c>
      <c r="G285" s="5" t="s">
        <v>1288</v>
      </c>
      <c r="H285" s="5" t="s">
        <v>12</v>
      </c>
      <c r="I285" s="5" t="s">
        <v>40</v>
      </c>
      <c r="J285" s="5" t="s">
        <v>41</v>
      </c>
      <c r="K285" s="5"/>
    </row>
    <row r="286" spans="1:11">
      <c r="A286" s="5" t="s">
        <v>905</v>
      </c>
      <c r="B286" s="5" t="s">
        <v>1289</v>
      </c>
      <c r="C286" s="5" t="s">
        <v>35</v>
      </c>
      <c r="D286" s="5" t="s">
        <v>1290</v>
      </c>
      <c r="E286" s="5" t="s">
        <v>1291</v>
      </c>
      <c r="F286" s="5" t="s">
        <v>1197</v>
      </c>
      <c r="G286" s="5" t="s">
        <v>1292</v>
      </c>
      <c r="H286" s="5" t="s">
        <v>12</v>
      </c>
      <c r="I286" s="5" t="s">
        <v>40</v>
      </c>
      <c r="J286" s="5" t="s">
        <v>41</v>
      </c>
      <c r="K286" s="5"/>
    </row>
    <row r="287" spans="1:11">
      <c r="A287" s="5" t="s">
        <v>905</v>
      </c>
      <c r="B287" s="5" t="s">
        <v>1293</v>
      </c>
      <c r="C287" s="5" t="s">
        <v>35</v>
      </c>
      <c r="D287" s="5" t="s">
        <v>1294</v>
      </c>
      <c r="E287" s="5" t="s">
        <v>1295</v>
      </c>
      <c r="F287" s="5" t="s">
        <v>1197</v>
      </c>
      <c r="G287" s="5" t="s">
        <v>1296</v>
      </c>
      <c r="H287" s="5" t="s">
        <v>12</v>
      </c>
      <c r="I287" s="5" t="s">
        <v>40</v>
      </c>
      <c r="J287" s="5" t="s">
        <v>41</v>
      </c>
      <c r="K287" s="5"/>
    </row>
    <row r="288" spans="1:11">
      <c r="A288" s="5" t="s">
        <v>905</v>
      </c>
      <c r="B288" s="5" t="s">
        <v>1297</v>
      </c>
      <c r="C288" s="5" t="s">
        <v>35</v>
      </c>
      <c r="D288" s="5" t="s">
        <v>1298</v>
      </c>
      <c r="E288" s="5" t="s">
        <v>1299</v>
      </c>
      <c r="F288" s="5" t="s">
        <v>1197</v>
      </c>
      <c r="G288" s="5" t="s">
        <v>1300</v>
      </c>
      <c r="H288" s="5" t="s">
        <v>12</v>
      </c>
      <c r="I288" s="5" t="s">
        <v>40</v>
      </c>
      <c r="J288" s="5" t="s">
        <v>41</v>
      </c>
      <c r="K288" s="5"/>
    </row>
    <row r="289" spans="1:11">
      <c r="A289" s="5" t="s">
        <v>905</v>
      </c>
      <c r="B289" s="5" t="s">
        <v>1301</v>
      </c>
      <c r="C289" s="5" t="s">
        <v>35</v>
      </c>
      <c r="D289" s="5" t="s">
        <v>1302</v>
      </c>
      <c r="E289" s="5" t="s">
        <v>1303</v>
      </c>
      <c r="F289" s="5" t="s">
        <v>1197</v>
      </c>
      <c r="G289" s="5" t="s">
        <v>1304</v>
      </c>
      <c r="H289" s="5" t="s">
        <v>12</v>
      </c>
      <c r="I289" s="5" t="s">
        <v>40</v>
      </c>
      <c r="J289" s="5" t="s">
        <v>41</v>
      </c>
      <c r="K289" s="5"/>
    </row>
    <row r="290" spans="1:11">
      <c r="A290" s="5" t="s">
        <v>905</v>
      </c>
      <c r="B290" s="5" t="s">
        <v>1305</v>
      </c>
      <c r="C290" s="5" t="s">
        <v>35</v>
      </c>
      <c r="D290" s="5" t="s">
        <v>1306</v>
      </c>
      <c r="E290" s="5" t="s">
        <v>1307</v>
      </c>
      <c r="F290" s="5" t="s">
        <v>1197</v>
      </c>
      <c r="G290" s="5" t="s">
        <v>1308</v>
      </c>
      <c r="H290" s="5" t="s">
        <v>12</v>
      </c>
      <c r="I290" s="5" t="s">
        <v>40</v>
      </c>
      <c r="J290" s="5" t="s">
        <v>41</v>
      </c>
      <c r="K290" s="5"/>
    </row>
    <row r="291" spans="1:11">
      <c r="A291" s="5" t="s">
        <v>905</v>
      </c>
      <c r="B291" s="5" t="s">
        <v>1309</v>
      </c>
      <c r="C291" s="5" t="s">
        <v>35</v>
      </c>
      <c r="D291" s="5" t="s">
        <v>1310</v>
      </c>
      <c r="E291" s="5" t="s">
        <v>1311</v>
      </c>
      <c r="F291" s="5" t="s">
        <v>1312</v>
      </c>
      <c r="G291" s="5" t="s">
        <v>1313</v>
      </c>
      <c r="H291" s="5" t="s">
        <v>12</v>
      </c>
      <c r="I291" s="5" t="s">
        <v>40</v>
      </c>
      <c r="J291" s="5" t="s">
        <v>41</v>
      </c>
      <c r="K291" s="5"/>
    </row>
    <row r="292" spans="1:11">
      <c r="A292" s="5" t="s">
        <v>905</v>
      </c>
      <c r="B292" s="5" t="s">
        <v>1314</v>
      </c>
      <c r="C292" s="5" t="s">
        <v>35</v>
      </c>
      <c r="D292" s="5" t="s">
        <v>1315</v>
      </c>
      <c r="E292" s="5" t="s">
        <v>1316</v>
      </c>
      <c r="F292" s="5" t="s">
        <v>1312</v>
      </c>
      <c r="G292" s="5" t="s">
        <v>1317</v>
      </c>
      <c r="H292" s="5" t="s">
        <v>12</v>
      </c>
      <c r="I292" s="5" t="s">
        <v>40</v>
      </c>
      <c r="J292" s="5" t="s">
        <v>41</v>
      </c>
      <c r="K292" s="5"/>
    </row>
    <row r="293" spans="1:11">
      <c r="A293" s="5" t="s">
        <v>905</v>
      </c>
      <c r="B293" s="5" t="s">
        <v>1318</v>
      </c>
      <c r="C293" s="5" t="s">
        <v>35</v>
      </c>
      <c r="D293" s="5" t="s">
        <v>1319</v>
      </c>
      <c r="E293" s="5" t="s">
        <v>1320</v>
      </c>
      <c r="F293" s="5" t="s">
        <v>1321</v>
      </c>
      <c r="G293" s="5" t="s">
        <v>1322</v>
      </c>
      <c r="H293" s="5" t="s">
        <v>12</v>
      </c>
      <c r="I293" s="5" t="s">
        <v>40</v>
      </c>
      <c r="J293" s="5" t="s">
        <v>41</v>
      </c>
      <c r="K293" s="5"/>
    </row>
    <row r="294" spans="1:11">
      <c r="A294" s="5" t="s">
        <v>905</v>
      </c>
      <c r="B294" s="5" t="s">
        <v>1323</v>
      </c>
      <c r="C294" s="5" t="s">
        <v>35</v>
      </c>
      <c r="D294" s="5" t="s">
        <v>1324</v>
      </c>
      <c r="E294" s="5" t="s">
        <v>1325</v>
      </c>
      <c r="F294" s="5" t="s">
        <v>1326</v>
      </c>
      <c r="G294" s="5" t="s">
        <v>1327</v>
      </c>
      <c r="H294" s="5" t="s">
        <v>12</v>
      </c>
      <c r="I294" s="5" t="s">
        <v>40</v>
      </c>
      <c r="J294" s="5" t="s">
        <v>41</v>
      </c>
      <c r="K294" s="5"/>
    </row>
    <row r="295" spans="1:11">
      <c r="A295" s="5" t="s">
        <v>905</v>
      </c>
      <c r="B295" s="5" t="s">
        <v>1328</v>
      </c>
      <c r="C295" s="5" t="s">
        <v>35</v>
      </c>
      <c r="D295" s="5" t="s">
        <v>1329</v>
      </c>
      <c r="E295" s="5" t="s">
        <v>1330</v>
      </c>
      <c r="F295" s="5" t="s">
        <v>1331</v>
      </c>
      <c r="G295" s="5" t="s">
        <v>1332</v>
      </c>
      <c r="H295" s="5" t="s">
        <v>12</v>
      </c>
      <c r="I295" s="5" t="s">
        <v>40</v>
      </c>
      <c r="J295" s="5" t="s">
        <v>41</v>
      </c>
      <c r="K295" s="5"/>
    </row>
    <row r="296" spans="1:11">
      <c r="A296" s="5" t="s">
        <v>905</v>
      </c>
      <c r="B296" s="5" t="s">
        <v>1333</v>
      </c>
      <c r="C296" s="5" t="s">
        <v>35</v>
      </c>
      <c r="D296" s="5" t="s">
        <v>1334</v>
      </c>
      <c r="E296" s="5" t="s">
        <v>1335</v>
      </c>
      <c r="F296" s="5" t="s">
        <v>1336</v>
      </c>
      <c r="G296" s="5" t="s">
        <v>1337</v>
      </c>
      <c r="H296" s="5" t="s">
        <v>12</v>
      </c>
      <c r="I296" s="5" t="s">
        <v>40</v>
      </c>
      <c r="J296" s="5" t="s">
        <v>41</v>
      </c>
      <c r="K296" s="5"/>
    </row>
    <row r="297" spans="1:11">
      <c r="A297" s="5" t="s">
        <v>905</v>
      </c>
      <c r="B297" s="5" t="s">
        <v>1338</v>
      </c>
      <c r="C297" s="5" t="s">
        <v>35</v>
      </c>
      <c r="D297" s="5" t="s">
        <v>1339</v>
      </c>
      <c r="E297" s="5" t="s">
        <v>1340</v>
      </c>
      <c r="F297" s="5" t="s">
        <v>1331</v>
      </c>
      <c r="G297" s="5" t="s">
        <v>1341</v>
      </c>
      <c r="H297" s="5" t="s">
        <v>12</v>
      </c>
      <c r="I297" s="5" t="s">
        <v>40</v>
      </c>
      <c r="J297" s="5" t="s">
        <v>41</v>
      </c>
      <c r="K297" s="5"/>
    </row>
    <row r="298" spans="1:11">
      <c r="A298" s="5" t="s">
        <v>905</v>
      </c>
      <c r="B298" s="5" t="s">
        <v>1342</v>
      </c>
      <c r="C298" s="5" t="s">
        <v>35</v>
      </c>
      <c r="D298" s="5" t="s">
        <v>1343</v>
      </c>
      <c r="E298" s="5" t="s">
        <v>1344</v>
      </c>
      <c r="F298" s="5" t="s">
        <v>1312</v>
      </c>
      <c r="G298" s="5" t="s">
        <v>1345</v>
      </c>
      <c r="H298" s="5" t="s">
        <v>12</v>
      </c>
      <c r="I298" s="5" t="s">
        <v>40</v>
      </c>
      <c r="J298" s="5" t="s">
        <v>41</v>
      </c>
      <c r="K298" s="5"/>
    </row>
    <row r="299" spans="1:11">
      <c r="A299" s="5" t="s">
        <v>905</v>
      </c>
      <c r="B299" s="5" t="s">
        <v>1346</v>
      </c>
      <c r="C299" s="5" t="s">
        <v>35</v>
      </c>
      <c r="D299" s="5" t="s">
        <v>1347</v>
      </c>
      <c r="E299" s="5" t="s">
        <v>1348</v>
      </c>
      <c r="F299" s="5" t="s">
        <v>1349</v>
      </c>
      <c r="G299" s="5" t="s">
        <v>1350</v>
      </c>
      <c r="H299" s="5" t="s">
        <v>12</v>
      </c>
      <c r="I299" s="5" t="s">
        <v>40</v>
      </c>
      <c r="J299" s="5" t="s">
        <v>41</v>
      </c>
      <c r="K299" s="5"/>
    </row>
    <row r="300" spans="1:11">
      <c r="A300" s="5" t="s">
        <v>905</v>
      </c>
      <c r="B300" s="5" t="s">
        <v>1351</v>
      </c>
      <c r="C300" s="5" t="s">
        <v>35</v>
      </c>
      <c r="D300" s="5" t="s">
        <v>1352</v>
      </c>
      <c r="E300" s="5" t="s">
        <v>1353</v>
      </c>
      <c r="F300" s="5" t="s">
        <v>1321</v>
      </c>
      <c r="G300" s="5" t="s">
        <v>1354</v>
      </c>
      <c r="H300" s="5" t="s">
        <v>12</v>
      </c>
      <c r="I300" s="5" t="s">
        <v>40</v>
      </c>
      <c r="J300" s="5" t="s">
        <v>41</v>
      </c>
      <c r="K300" s="5"/>
    </row>
    <row r="301" spans="1:11">
      <c r="A301" s="5" t="s">
        <v>905</v>
      </c>
      <c r="B301" s="5" t="s">
        <v>1355</v>
      </c>
      <c r="C301" s="5" t="s">
        <v>35</v>
      </c>
      <c r="D301" s="5" t="s">
        <v>1356</v>
      </c>
      <c r="E301" s="5" t="s">
        <v>1357</v>
      </c>
      <c r="F301" s="5" t="s">
        <v>1326</v>
      </c>
      <c r="G301" s="5" t="s">
        <v>1358</v>
      </c>
      <c r="H301" s="5" t="s">
        <v>12</v>
      </c>
      <c r="I301" s="5" t="s">
        <v>40</v>
      </c>
      <c r="J301" s="5" t="s">
        <v>41</v>
      </c>
      <c r="K301" s="5"/>
    </row>
    <row r="302" spans="1:11">
      <c r="A302" s="5" t="s">
        <v>905</v>
      </c>
      <c r="B302" s="5" t="s">
        <v>1359</v>
      </c>
      <c r="C302" s="5" t="s">
        <v>35</v>
      </c>
      <c r="D302" s="5" t="s">
        <v>1360</v>
      </c>
      <c r="E302" s="5" t="s">
        <v>1361</v>
      </c>
      <c r="F302" s="5" t="s">
        <v>1331</v>
      </c>
      <c r="G302" s="5" t="s">
        <v>1362</v>
      </c>
      <c r="H302" s="5" t="s">
        <v>12</v>
      </c>
      <c r="I302" s="5" t="s">
        <v>40</v>
      </c>
      <c r="J302" s="5" t="s">
        <v>41</v>
      </c>
      <c r="K302" s="5"/>
    </row>
    <row r="303" spans="1:11">
      <c r="A303" s="5" t="s">
        <v>905</v>
      </c>
      <c r="B303" s="5" t="s">
        <v>1363</v>
      </c>
      <c r="C303" s="5" t="s">
        <v>35</v>
      </c>
      <c r="D303" s="5" t="s">
        <v>1364</v>
      </c>
      <c r="E303" s="5" t="s">
        <v>1365</v>
      </c>
      <c r="F303" s="5" t="s">
        <v>1336</v>
      </c>
      <c r="G303" s="5" t="s">
        <v>1366</v>
      </c>
      <c r="H303" s="5" t="s">
        <v>12</v>
      </c>
      <c r="I303" s="5" t="s">
        <v>40</v>
      </c>
      <c r="J303" s="5" t="s">
        <v>41</v>
      </c>
      <c r="K303" s="5"/>
    </row>
    <row r="304" spans="1:11">
      <c r="A304" s="5" t="s">
        <v>905</v>
      </c>
      <c r="B304" s="5" t="s">
        <v>1367</v>
      </c>
      <c r="C304" s="5" t="s">
        <v>35</v>
      </c>
      <c r="D304" s="5" t="s">
        <v>1368</v>
      </c>
      <c r="E304" s="5" t="s">
        <v>1369</v>
      </c>
      <c r="F304" s="5" t="s">
        <v>1331</v>
      </c>
      <c r="G304" s="5" t="s">
        <v>1370</v>
      </c>
      <c r="H304" s="5" t="s">
        <v>12</v>
      </c>
      <c r="I304" s="5" t="s">
        <v>40</v>
      </c>
      <c r="J304" s="5" t="s">
        <v>41</v>
      </c>
      <c r="K304" s="5"/>
    </row>
    <row r="305" spans="1:11">
      <c r="A305" s="5" t="s">
        <v>905</v>
      </c>
      <c r="B305" s="5" t="s">
        <v>1371</v>
      </c>
      <c r="C305" s="5" t="s">
        <v>35</v>
      </c>
      <c r="D305" s="5" t="s">
        <v>1372</v>
      </c>
      <c r="E305" s="5" t="s">
        <v>1344</v>
      </c>
      <c r="F305" s="5" t="s">
        <v>1312</v>
      </c>
      <c r="G305" s="5" t="s">
        <v>1373</v>
      </c>
      <c r="H305" s="5" t="s">
        <v>12</v>
      </c>
      <c r="I305" s="5" t="s">
        <v>40</v>
      </c>
      <c r="J305" s="5" t="s">
        <v>41</v>
      </c>
      <c r="K305" s="5"/>
    </row>
    <row r="306" spans="1:11">
      <c r="A306" s="5" t="s">
        <v>905</v>
      </c>
      <c r="B306" s="5" t="s">
        <v>1374</v>
      </c>
      <c r="C306" s="5" t="s">
        <v>35</v>
      </c>
      <c r="D306" s="5" t="s">
        <v>1375</v>
      </c>
      <c r="E306" s="5" t="s">
        <v>1348</v>
      </c>
      <c r="F306" s="5" t="s">
        <v>1349</v>
      </c>
      <c r="G306" s="5" t="s">
        <v>1376</v>
      </c>
      <c r="H306" s="5" t="s">
        <v>12</v>
      </c>
      <c r="I306" s="5" t="s">
        <v>40</v>
      </c>
      <c r="J306" s="5" t="s">
        <v>41</v>
      </c>
      <c r="K306" s="5"/>
    </row>
    <row r="307" spans="1:11">
      <c r="A307" s="5" t="s">
        <v>905</v>
      </c>
      <c r="B307" s="5" t="s">
        <v>1377</v>
      </c>
      <c r="C307" s="5" t="s">
        <v>35</v>
      </c>
      <c r="D307" s="5" t="s">
        <v>1378</v>
      </c>
      <c r="E307" s="5" t="s">
        <v>1353</v>
      </c>
      <c r="F307" s="5" t="s">
        <v>1321</v>
      </c>
      <c r="G307" s="5" t="s">
        <v>1379</v>
      </c>
      <c r="H307" s="5" t="s">
        <v>12</v>
      </c>
      <c r="I307" s="5" t="s">
        <v>40</v>
      </c>
      <c r="J307" s="5" t="s">
        <v>41</v>
      </c>
      <c r="K307" s="5"/>
    </row>
    <row r="308" spans="1:11">
      <c r="A308" s="5" t="s">
        <v>905</v>
      </c>
      <c r="B308" s="5" t="s">
        <v>1380</v>
      </c>
      <c r="C308" s="5" t="s">
        <v>35</v>
      </c>
      <c r="D308" s="5" t="s">
        <v>1381</v>
      </c>
      <c r="E308" s="5" t="s">
        <v>1357</v>
      </c>
      <c r="F308" s="5" t="s">
        <v>1326</v>
      </c>
      <c r="G308" s="5" t="s">
        <v>1382</v>
      </c>
      <c r="H308" s="5" t="s">
        <v>12</v>
      </c>
      <c r="I308" s="5" t="s">
        <v>40</v>
      </c>
      <c r="J308" s="5" t="s">
        <v>41</v>
      </c>
      <c r="K308" s="5"/>
    </row>
    <row r="309" spans="1:11">
      <c r="A309" s="5" t="s">
        <v>905</v>
      </c>
      <c r="B309" s="5" t="s">
        <v>1383</v>
      </c>
      <c r="C309" s="5" t="s">
        <v>35</v>
      </c>
      <c r="D309" s="5" t="s">
        <v>1384</v>
      </c>
      <c r="E309" s="5" t="s">
        <v>1361</v>
      </c>
      <c r="F309" s="5" t="s">
        <v>1331</v>
      </c>
      <c r="G309" s="5" t="s">
        <v>1385</v>
      </c>
      <c r="H309" s="5" t="s">
        <v>12</v>
      </c>
      <c r="I309" s="5" t="s">
        <v>40</v>
      </c>
      <c r="J309" s="5" t="s">
        <v>41</v>
      </c>
      <c r="K309" s="5"/>
    </row>
    <row r="310" spans="1:11">
      <c r="A310" s="5" t="s">
        <v>905</v>
      </c>
      <c r="B310" s="5" t="s">
        <v>1386</v>
      </c>
      <c r="C310" s="5" t="s">
        <v>35</v>
      </c>
      <c r="D310" s="5" t="s">
        <v>1387</v>
      </c>
      <c r="E310" s="5" t="s">
        <v>1365</v>
      </c>
      <c r="F310" s="5" t="s">
        <v>1336</v>
      </c>
      <c r="G310" s="5" t="s">
        <v>1388</v>
      </c>
      <c r="H310" s="5" t="s">
        <v>12</v>
      </c>
      <c r="I310" s="5" t="s">
        <v>40</v>
      </c>
      <c r="J310" s="5" t="s">
        <v>41</v>
      </c>
      <c r="K310" s="5"/>
    </row>
    <row r="311" spans="1:11">
      <c r="A311" s="5" t="s">
        <v>905</v>
      </c>
      <c r="B311" s="5" t="s">
        <v>1389</v>
      </c>
      <c r="C311" s="5" t="s">
        <v>35</v>
      </c>
      <c r="D311" s="5" t="s">
        <v>1390</v>
      </c>
      <c r="E311" s="5" t="s">
        <v>1369</v>
      </c>
      <c r="F311" s="5" t="s">
        <v>1331</v>
      </c>
      <c r="G311" s="5" t="s">
        <v>1391</v>
      </c>
      <c r="H311" s="5" t="s">
        <v>12</v>
      </c>
      <c r="I311" s="5" t="s">
        <v>40</v>
      </c>
      <c r="J311" s="5" t="s">
        <v>41</v>
      </c>
      <c r="K311" s="5"/>
    </row>
    <row r="312" spans="1:11">
      <c r="A312" s="5" t="s">
        <v>905</v>
      </c>
      <c r="B312" s="5" t="s">
        <v>1392</v>
      </c>
      <c r="C312" s="5" t="s">
        <v>35</v>
      </c>
      <c r="D312" s="5" t="s">
        <v>1393</v>
      </c>
      <c r="E312" s="5" t="s">
        <v>1394</v>
      </c>
      <c r="F312" s="5" t="s">
        <v>1312</v>
      </c>
      <c r="G312" s="5" t="s">
        <v>1395</v>
      </c>
      <c r="H312" s="5" t="s">
        <v>12</v>
      </c>
      <c r="I312" s="5" t="s">
        <v>40</v>
      </c>
      <c r="J312" s="5" t="s">
        <v>41</v>
      </c>
      <c r="K312" s="5"/>
    </row>
    <row r="313" spans="1:11">
      <c r="A313" s="5" t="s">
        <v>905</v>
      </c>
      <c r="B313" s="5" t="s">
        <v>1396</v>
      </c>
      <c r="C313" s="5" t="s">
        <v>35</v>
      </c>
      <c r="D313" s="5" t="s">
        <v>1397</v>
      </c>
      <c r="E313" s="5" t="s">
        <v>1398</v>
      </c>
      <c r="F313" s="5" t="s">
        <v>1349</v>
      </c>
      <c r="G313" s="5" t="s">
        <v>1399</v>
      </c>
      <c r="H313" s="5" t="s">
        <v>12</v>
      </c>
      <c r="I313" s="5" t="s">
        <v>40</v>
      </c>
      <c r="J313" s="5" t="s">
        <v>41</v>
      </c>
      <c r="K313" s="5"/>
    </row>
    <row r="314" spans="1:11">
      <c r="A314" s="5" t="s">
        <v>905</v>
      </c>
      <c r="B314" s="5" t="s">
        <v>1400</v>
      </c>
      <c r="C314" s="5" t="s">
        <v>35</v>
      </c>
      <c r="D314" s="5" t="s">
        <v>1401</v>
      </c>
      <c r="E314" s="5" t="s">
        <v>1402</v>
      </c>
      <c r="F314" s="5" t="s">
        <v>1321</v>
      </c>
      <c r="G314" s="5" t="s">
        <v>1403</v>
      </c>
      <c r="H314" s="5" t="s">
        <v>12</v>
      </c>
      <c r="I314" s="5" t="s">
        <v>40</v>
      </c>
      <c r="J314" s="5" t="s">
        <v>41</v>
      </c>
      <c r="K314" s="5"/>
    </row>
    <row r="315" spans="1:11">
      <c r="A315" s="5" t="s">
        <v>905</v>
      </c>
      <c r="B315" s="5" t="s">
        <v>1404</v>
      </c>
      <c r="C315" s="5" t="s">
        <v>35</v>
      </c>
      <c r="D315" s="5" t="s">
        <v>1405</v>
      </c>
      <c r="E315" s="5" t="s">
        <v>1325</v>
      </c>
      <c r="F315" s="5" t="s">
        <v>1326</v>
      </c>
      <c r="G315" s="5" t="s">
        <v>1406</v>
      </c>
      <c r="H315" s="5" t="s">
        <v>12</v>
      </c>
      <c r="I315" s="5" t="s">
        <v>40</v>
      </c>
      <c r="J315" s="5" t="s">
        <v>41</v>
      </c>
      <c r="K315" s="5"/>
    </row>
    <row r="316" spans="1:11">
      <c r="A316" s="5" t="s">
        <v>905</v>
      </c>
      <c r="B316" s="5" t="s">
        <v>1407</v>
      </c>
      <c r="C316" s="5" t="s">
        <v>35</v>
      </c>
      <c r="D316" s="5" t="s">
        <v>1408</v>
      </c>
      <c r="E316" s="5" t="s">
        <v>1409</v>
      </c>
      <c r="F316" s="5" t="s">
        <v>1331</v>
      </c>
      <c r="G316" s="5" t="s">
        <v>1410</v>
      </c>
      <c r="H316" s="5" t="s">
        <v>12</v>
      </c>
      <c r="I316" s="5" t="s">
        <v>40</v>
      </c>
      <c r="J316" s="5" t="s">
        <v>41</v>
      </c>
      <c r="K316" s="5"/>
    </row>
    <row r="317" spans="1:11">
      <c r="A317" s="5" t="s">
        <v>905</v>
      </c>
      <c r="B317" s="5" t="s">
        <v>1411</v>
      </c>
      <c r="C317" s="5" t="s">
        <v>35</v>
      </c>
      <c r="D317" s="5" t="s">
        <v>1412</v>
      </c>
      <c r="E317" s="5" t="s">
        <v>1413</v>
      </c>
      <c r="F317" s="5" t="s">
        <v>1336</v>
      </c>
      <c r="G317" s="5" t="s">
        <v>1414</v>
      </c>
      <c r="H317" s="5" t="s">
        <v>12</v>
      </c>
      <c r="I317" s="5" t="s">
        <v>40</v>
      </c>
      <c r="J317" s="5" t="s">
        <v>41</v>
      </c>
      <c r="K317" s="5"/>
    </row>
    <row r="318" spans="1:11">
      <c r="A318" s="5" t="s">
        <v>905</v>
      </c>
      <c r="B318" s="5" t="s">
        <v>1415</v>
      </c>
      <c r="C318" s="5" t="s">
        <v>35</v>
      </c>
      <c r="D318" s="5" t="s">
        <v>1416</v>
      </c>
      <c r="E318" s="5" t="s">
        <v>1417</v>
      </c>
      <c r="F318" s="5" t="s">
        <v>1331</v>
      </c>
      <c r="G318" s="5" t="s">
        <v>1418</v>
      </c>
      <c r="H318" s="5" t="s">
        <v>12</v>
      </c>
      <c r="I318" s="5" t="s">
        <v>40</v>
      </c>
      <c r="J318" s="5" t="s">
        <v>41</v>
      </c>
      <c r="K318" s="5"/>
    </row>
    <row r="319" spans="1:11">
      <c r="A319" s="5" t="s">
        <v>905</v>
      </c>
      <c r="B319" s="5" t="s">
        <v>1419</v>
      </c>
      <c r="C319" s="5" t="s">
        <v>35</v>
      </c>
      <c r="D319" s="5" t="s">
        <v>1420</v>
      </c>
      <c r="E319" s="5" t="s">
        <v>1421</v>
      </c>
      <c r="F319" s="5" t="s">
        <v>1312</v>
      </c>
      <c r="G319" s="5" t="s">
        <v>1422</v>
      </c>
      <c r="H319" s="5" t="s">
        <v>12</v>
      </c>
      <c r="I319" s="5" t="s">
        <v>40</v>
      </c>
      <c r="J319" s="5" t="s">
        <v>41</v>
      </c>
      <c r="K319" s="5"/>
    </row>
    <row r="320" spans="1:11">
      <c r="A320" s="5" t="s">
        <v>905</v>
      </c>
      <c r="B320" s="5" t="s">
        <v>1423</v>
      </c>
      <c r="C320" s="5" t="s">
        <v>35</v>
      </c>
      <c r="D320" s="5" t="s">
        <v>1424</v>
      </c>
      <c r="E320" s="5" t="s">
        <v>1425</v>
      </c>
      <c r="F320" s="5" t="s">
        <v>1349</v>
      </c>
      <c r="G320" s="5" t="s">
        <v>1426</v>
      </c>
      <c r="H320" s="5" t="s">
        <v>12</v>
      </c>
      <c r="I320" s="5" t="s">
        <v>40</v>
      </c>
      <c r="J320" s="5" t="s">
        <v>41</v>
      </c>
      <c r="K320" s="5"/>
    </row>
    <row r="321" spans="1:11">
      <c r="A321" s="5" t="s">
        <v>905</v>
      </c>
      <c r="B321" s="5" t="s">
        <v>1427</v>
      </c>
      <c r="C321" s="5" t="s">
        <v>35</v>
      </c>
      <c r="D321" s="5" t="s">
        <v>1428</v>
      </c>
      <c r="E321" s="5" t="s">
        <v>1429</v>
      </c>
      <c r="F321" s="5" t="s">
        <v>1321</v>
      </c>
      <c r="G321" s="5" t="s">
        <v>1430</v>
      </c>
      <c r="H321" s="5" t="s">
        <v>12</v>
      </c>
      <c r="I321" s="5" t="s">
        <v>40</v>
      </c>
      <c r="J321" s="5" t="s">
        <v>41</v>
      </c>
      <c r="K321" s="5"/>
    </row>
    <row r="322" spans="1:11">
      <c r="A322" s="5" t="s">
        <v>905</v>
      </c>
      <c r="B322" s="5" t="s">
        <v>1431</v>
      </c>
      <c r="C322" s="5" t="s">
        <v>35</v>
      </c>
      <c r="D322" s="5" t="s">
        <v>1432</v>
      </c>
      <c r="E322" s="5" t="s">
        <v>1325</v>
      </c>
      <c r="F322" s="5" t="s">
        <v>1326</v>
      </c>
      <c r="G322" s="5" t="s">
        <v>1433</v>
      </c>
      <c r="H322" s="5" t="s">
        <v>12</v>
      </c>
      <c r="I322" s="5" t="s">
        <v>40</v>
      </c>
      <c r="J322" s="5" t="s">
        <v>41</v>
      </c>
      <c r="K322" s="5"/>
    </row>
    <row r="323" spans="1:11">
      <c r="A323" s="5" t="s">
        <v>905</v>
      </c>
      <c r="B323" s="5" t="s">
        <v>1434</v>
      </c>
      <c r="C323" s="5" t="s">
        <v>35</v>
      </c>
      <c r="D323" s="5" t="s">
        <v>1435</v>
      </c>
      <c r="E323" s="5" t="s">
        <v>1436</v>
      </c>
      <c r="F323" s="5" t="s">
        <v>1331</v>
      </c>
      <c r="G323" s="5" t="s">
        <v>1437</v>
      </c>
      <c r="H323" s="5" t="s">
        <v>12</v>
      </c>
      <c r="I323" s="5" t="s">
        <v>40</v>
      </c>
      <c r="J323" s="5" t="s">
        <v>41</v>
      </c>
      <c r="K323" s="5"/>
    </row>
    <row r="324" spans="1:11">
      <c r="A324" s="5" t="s">
        <v>905</v>
      </c>
      <c r="B324" s="5" t="s">
        <v>1438</v>
      </c>
      <c r="C324" s="5" t="s">
        <v>35</v>
      </c>
      <c r="D324" s="5" t="s">
        <v>1439</v>
      </c>
      <c r="E324" s="5" t="s">
        <v>1440</v>
      </c>
      <c r="F324" s="5" t="s">
        <v>1336</v>
      </c>
      <c r="G324" s="5" t="s">
        <v>1441</v>
      </c>
      <c r="H324" s="5" t="s">
        <v>12</v>
      </c>
      <c r="I324" s="5" t="s">
        <v>40</v>
      </c>
      <c r="J324" s="5" t="s">
        <v>41</v>
      </c>
      <c r="K324" s="5"/>
    </row>
    <row r="325" spans="1:11">
      <c r="A325" s="5" t="s">
        <v>905</v>
      </c>
      <c r="B325" s="5" t="s">
        <v>1442</v>
      </c>
      <c r="C325" s="5" t="s">
        <v>35</v>
      </c>
      <c r="D325" s="5" t="s">
        <v>1443</v>
      </c>
      <c r="E325" s="5" t="s">
        <v>1444</v>
      </c>
      <c r="F325" s="5" t="s">
        <v>1331</v>
      </c>
      <c r="G325" s="5" t="s">
        <v>1445</v>
      </c>
      <c r="H325" s="5" t="s">
        <v>12</v>
      </c>
      <c r="I325" s="5" t="s">
        <v>40</v>
      </c>
      <c r="J325" s="5" t="s">
        <v>41</v>
      </c>
      <c r="K325" s="5"/>
    </row>
    <row r="326" spans="1:11">
      <c r="A326" s="5" t="s">
        <v>905</v>
      </c>
      <c r="B326" s="5" t="s">
        <v>1446</v>
      </c>
      <c r="C326" s="5" t="s">
        <v>35</v>
      </c>
      <c r="D326" s="5" t="s">
        <v>1447</v>
      </c>
      <c r="E326" s="5" t="s">
        <v>1448</v>
      </c>
      <c r="F326" s="5" t="s">
        <v>1449</v>
      </c>
      <c r="G326" s="5" t="s">
        <v>1450</v>
      </c>
      <c r="H326" s="5" t="s">
        <v>12</v>
      </c>
      <c r="I326" s="5" t="s">
        <v>40</v>
      </c>
      <c r="J326" s="5" t="s">
        <v>41</v>
      </c>
      <c r="K326" s="5"/>
    </row>
    <row r="327" spans="1:11">
      <c r="A327" s="5" t="s">
        <v>905</v>
      </c>
      <c r="B327" s="5" t="s">
        <v>1451</v>
      </c>
      <c r="C327" s="5" t="s">
        <v>35</v>
      </c>
      <c r="D327" s="5" t="s">
        <v>1452</v>
      </c>
      <c r="E327" s="5" t="s">
        <v>1453</v>
      </c>
      <c r="F327" s="5" t="s">
        <v>1349</v>
      </c>
      <c r="G327" s="5" t="s">
        <v>1454</v>
      </c>
      <c r="H327" s="5" t="s">
        <v>12</v>
      </c>
      <c r="I327" s="5" t="s">
        <v>40</v>
      </c>
      <c r="J327" s="5" t="s">
        <v>41</v>
      </c>
      <c r="K327" s="5"/>
    </row>
    <row r="328" spans="1:11">
      <c r="A328" s="5" t="s">
        <v>905</v>
      </c>
      <c r="B328" s="5" t="s">
        <v>1455</v>
      </c>
      <c r="C328" s="5" t="s">
        <v>35</v>
      </c>
      <c r="D328" s="5" t="s">
        <v>1456</v>
      </c>
      <c r="E328" s="5" t="s">
        <v>1353</v>
      </c>
      <c r="F328" s="5" t="s">
        <v>1321</v>
      </c>
      <c r="G328" s="5" t="s">
        <v>1457</v>
      </c>
      <c r="H328" s="5" t="s">
        <v>12</v>
      </c>
      <c r="I328" s="5" t="s">
        <v>40</v>
      </c>
      <c r="J328" s="5" t="s">
        <v>41</v>
      </c>
      <c r="K328" s="5"/>
    </row>
    <row r="329" spans="1:11">
      <c r="A329" s="5" t="s">
        <v>905</v>
      </c>
      <c r="B329" s="5" t="s">
        <v>1458</v>
      </c>
      <c r="C329" s="5" t="s">
        <v>35</v>
      </c>
      <c r="D329" s="5" t="s">
        <v>1459</v>
      </c>
      <c r="E329" s="5" t="s">
        <v>1357</v>
      </c>
      <c r="F329" s="5" t="s">
        <v>1326</v>
      </c>
      <c r="G329" s="5" t="s">
        <v>1460</v>
      </c>
      <c r="H329" s="5" t="s">
        <v>12</v>
      </c>
      <c r="I329" s="5" t="s">
        <v>40</v>
      </c>
      <c r="J329" s="5" t="s">
        <v>41</v>
      </c>
      <c r="K329" s="5"/>
    </row>
    <row r="330" spans="1:11">
      <c r="A330" s="5" t="s">
        <v>905</v>
      </c>
      <c r="B330" s="5" t="s">
        <v>1461</v>
      </c>
      <c r="C330" s="5" t="s">
        <v>35</v>
      </c>
      <c r="D330" s="5" t="s">
        <v>1462</v>
      </c>
      <c r="E330" s="5" t="s">
        <v>1361</v>
      </c>
      <c r="F330" s="5" t="s">
        <v>1331</v>
      </c>
      <c r="G330" s="5" t="s">
        <v>1463</v>
      </c>
      <c r="H330" s="5" t="s">
        <v>12</v>
      </c>
      <c r="I330" s="5" t="s">
        <v>40</v>
      </c>
      <c r="J330" s="5" t="s">
        <v>41</v>
      </c>
      <c r="K330" s="5"/>
    </row>
    <row r="331" spans="1:11">
      <c r="A331" s="5" t="s">
        <v>905</v>
      </c>
      <c r="B331" s="5" t="s">
        <v>1464</v>
      </c>
      <c r="C331" s="5" t="s">
        <v>35</v>
      </c>
      <c r="D331" s="5" t="s">
        <v>1465</v>
      </c>
      <c r="E331" s="5" t="s">
        <v>1365</v>
      </c>
      <c r="F331" s="5" t="s">
        <v>1336</v>
      </c>
      <c r="G331" s="5" t="s">
        <v>1466</v>
      </c>
      <c r="H331" s="5" t="s">
        <v>12</v>
      </c>
      <c r="I331" s="5" t="s">
        <v>40</v>
      </c>
      <c r="J331" s="5" t="s">
        <v>41</v>
      </c>
      <c r="K331" s="5"/>
    </row>
    <row r="332" spans="1:11">
      <c r="A332" s="5" t="s">
        <v>905</v>
      </c>
      <c r="B332" s="5" t="s">
        <v>1467</v>
      </c>
      <c r="C332" s="5" t="s">
        <v>35</v>
      </c>
      <c r="D332" s="5" t="s">
        <v>1468</v>
      </c>
      <c r="E332" s="5" t="s">
        <v>1369</v>
      </c>
      <c r="F332" s="5" t="s">
        <v>1331</v>
      </c>
      <c r="G332" s="5" t="s">
        <v>1469</v>
      </c>
      <c r="H332" s="5" t="s">
        <v>12</v>
      </c>
      <c r="I332" s="5" t="s">
        <v>40</v>
      </c>
      <c r="J332" s="5" t="s">
        <v>41</v>
      </c>
      <c r="K332" s="5"/>
    </row>
    <row r="333" spans="1:11">
      <c r="A333" s="5" t="s">
        <v>905</v>
      </c>
      <c r="B333" s="5" t="s">
        <v>1470</v>
      </c>
      <c r="C333" s="5" t="s">
        <v>35</v>
      </c>
      <c r="D333" s="5" t="s">
        <v>1471</v>
      </c>
      <c r="E333" s="5" t="s">
        <v>1448</v>
      </c>
      <c r="F333" s="5" t="s">
        <v>1449</v>
      </c>
      <c r="G333" s="5" t="s">
        <v>1472</v>
      </c>
      <c r="H333" s="5" t="s">
        <v>12</v>
      </c>
      <c r="I333" s="5" t="s">
        <v>40</v>
      </c>
      <c r="J333" s="5" t="s">
        <v>41</v>
      </c>
      <c r="K333" s="5"/>
    </row>
    <row r="334" spans="1:11">
      <c r="A334" s="5" t="s">
        <v>905</v>
      </c>
      <c r="B334" s="5" t="s">
        <v>1473</v>
      </c>
      <c r="C334" s="5" t="s">
        <v>35</v>
      </c>
      <c r="D334" s="5" t="s">
        <v>1474</v>
      </c>
      <c r="E334" s="5" t="s">
        <v>1357</v>
      </c>
      <c r="F334" s="5" t="s">
        <v>1326</v>
      </c>
      <c r="G334" s="5" t="s">
        <v>1475</v>
      </c>
      <c r="H334" s="5" t="s">
        <v>12</v>
      </c>
      <c r="I334" s="5" t="s">
        <v>40</v>
      </c>
      <c r="J334" s="5" t="s">
        <v>41</v>
      </c>
      <c r="K334" s="5"/>
    </row>
    <row r="335" spans="1:11">
      <c r="A335" s="5" t="s">
        <v>905</v>
      </c>
      <c r="B335" s="5" t="s">
        <v>1476</v>
      </c>
      <c r="C335" s="5" t="s">
        <v>35</v>
      </c>
      <c r="D335" s="5" t="s">
        <v>1477</v>
      </c>
      <c r="E335" s="5" t="s">
        <v>1361</v>
      </c>
      <c r="F335" s="5" t="s">
        <v>1331</v>
      </c>
      <c r="G335" s="5" t="s">
        <v>1478</v>
      </c>
      <c r="H335" s="5" t="s">
        <v>12</v>
      </c>
      <c r="I335" s="5" t="s">
        <v>40</v>
      </c>
      <c r="J335" s="5" t="s">
        <v>41</v>
      </c>
      <c r="K335" s="5"/>
    </row>
    <row r="336" spans="1:11">
      <c r="A336" s="5" t="s">
        <v>905</v>
      </c>
      <c r="B336" s="5" t="s">
        <v>1479</v>
      </c>
      <c r="C336" s="5" t="s">
        <v>35</v>
      </c>
      <c r="D336" s="5" t="s">
        <v>1480</v>
      </c>
      <c r="E336" s="5" t="s">
        <v>1481</v>
      </c>
      <c r="F336" s="5" t="s">
        <v>1331</v>
      </c>
      <c r="G336" s="5" t="s">
        <v>1482</v>
      </c>
      <c r="H336" s="5" t="s">
        <v>12</v>
      </c>
      <c r="I336" s="5" t="s">
        <v>40</v>
      </c>
      <c r="J336" s="5" t="s">
        <v>41</v>
      </c>
      <c r="K336" s="5"/>
    </row>
    <row r="337" spans="1:11">
      <c r="A337" s="5" t="s">
        <v>905</v>
      </c>
      <c r="B337" s="5" t="s">
        <v>1483</v>
      </c>
      <c r="C337" s="5" t="s">
        <v>35</v>
      </c>
      <c r="D337" s="5" t="s">
        <v>1484</v>
      </c>
      <c r="E337" s="5" t="s">
        <v>1369</v>
      </c>
      <c r="F337" s="5" t="s">
        <v>1331</v>
      </c>
      <c r="G337" s="5" t="s">
        <v>1485</v>
      </c>
      <c r="H337" s="5" t="s">
        <v>12</v>
      </c>
      <c r="I337" s="5" t="s">
        <v>40</v>
      </c>
      <c r="J337" s="5" t="s">
        <v>41</v>
      </c>
      <c r="K337" s="5"/>
    </row>
    <row r="338" spans="1:11">
      <c r="A338" s="5" t="s">
        <v>905</v>
      </c>
      <c r="B338" s="5" t="s">
        <v>1486</v>
      </c>
      <c r="C338" s="5" t="s">
        <v>35</v>
      </c>
      <c r="D338" s="5" t="s">
        <v>1487</v>
      </c>
      <c r="E338" s="5" t="s">
        <v>1488</v>
      </c>
      <c r="F338" s="5" t="s">
        <v>1326</v>
      </c>
      <c r="G338" s="5" t="s">
        <v>1489</v>
      </c>
      <c r="H338" s="5" t="s">
        <v>12</v>
      </c>
      <c r="I338" s="5" t="s">
        <v>40</v>
      </c>
      <c r="J338" s="5" t="s">
        <v>41</v>
      </c>
      <c r="K338" s="5"/>
    </row>
    <row r="339" spans="1:11">
      <c r="A339" s="5" t="s">
        <v>905</v>
      </c>
      <c r="B339" s="5" t="s">
        <v>1490</v>
      </c>
      <c r="C339" s="5" t="s">
        <v>35</v>
      </c>
      <c r="D339" s="5" t="s">
        <v>1491</v>
      </c>
      <c r="E339" s="5" t="s">
        <v>1492</v>
      </c>
      <c r="F339" s="5" t="s">
        <v>1449</v>
      </c>
      <c r="G339" s="5" t="s">
        <v>1493</v>
      </c>
      <c r="H339" s="5" t="s">
        <v>12</v>
      </c>
      <c r="I339" s="5" t="s">
        <v>40</v>
      </c>
      <c r="J339" s="5" t="s">
        <v>41</v>
      </c>
      <c r="K339" s="5"/>
    </row>
    <row r="340" spans="1:11">
      <c r="A340" s="5" t="s">
        <v>905</v>
      </c>
      <c r="B340" s="5" t="s">
        <v>1494</v>
      </c>
      <c r="C340" s="5" t="s">
        <v>35</v>
      </c>
      <c r="D340" s="5" t="s">
        <v>1495</v>
      </c>
      <c r="E340" s="5" t="s">
        <v>1496</v>
      </c>
      <c r="F340" s="5" t="s">
        <v>1497</v>
      </c>
      <c r="G340" s="5" t="s">
        <v>1498</v>
      </c>
      <c r="H340" s="5" t="s">
        <v>12</v>
      </c>
      <c r="I340" s="5" t="s">
        <v>40</v>
      </c>
      <c r="J340" s="5" t="s">
        <v>41</v>
      </c>
      <c r="K340" s="5"/>
    </row>
    <row r="341" spans="1:11">
      <c r="A341" s="5" t="s">
        <v>905</v>
      </c>
      <c r="B341" s="5" t="s">
        <v>1499</v>
      </c>
      <c r="C341" s="5" t="s">
        <v>35</v>
      </c>
      <c r="D341" s="5" t="s">
        <v>1500</v>
      </c>
      <c r="E341" s="5" t="s">
        <v>1501</v>
      </c>
      <c r="F341" s="5" t="s">
        <v>1331</v>
      </c>
      <c r="G341" s="5" t="s">
        <v>1502</v>
      </c>
      <c r="H341" s="5" t="s">
        <v>12</v>
      </c>
      <c r="I341" s="5" t="s">
        <v>40</v>
      </c>
      <c r="J341" s="5" t="s">
        <v>41</v>
      </c>
      <c r="K341" s="5"/>
    </row>
    <row r="342" spans="1:11">
      <c r="A342" s="5" t="s">
        <v>905</v>
      </c>
      <c r="B342" s="5" t="s">
        <v>1503</v>
      </c>
      <c r="C342" s="5" t="s">
        <v>35</v>
      </c>
      <c r="D342" s="5" t="s">
        <v>1504</v>
      </c>
      <c r="E342" s="5" t="s">
        <v>1505</v>
      </c>
      <c r="F342" s="5" t="s">
        <v>1331</v>
      </c>
      <c r="G342" s="5" t="s">
        <v>1506</v>
      </c>
      <c r="H342" s="5" t="s">
        <v>12</v>
      </c>
      <c r="I342" s="5" t="s">
        <v>40</v>
      </c>
      <c r="J342" s="5" t="s">
        <v>41</v>
      </c>
      <c r="K342" s="5"/>
    </row>
    <row r="343" spans="1:11">
      <c r="A343" s="5" t="s">
        <v>905</v>
      </c>
      <c r="B343" s="5" t="s">
        <v>1507</v>
      </c>
      <c r="C343" s="5" t="s">
        <v>35</v>
      </c>
      <c r="D343" s="5" t="s">
        <v>1508</v>
      </c>
      <c r="E343" s="5" t="s">
        <v>1357</v>
      </c>
      <c r="F343" s="5" t="s">
        <v>1326</v>
      </c>
      <c r="G343" s="5" t="s">
        <v>1509</v>
      </c>
      <c r="H343" s="5" t="s">
        <v>12</v>
      </c>
      <c r="I343" s="5" t="s">
        <v>40</v>
      </c>
      <c r="J343" s="5" t="s">
        <v>41</v>
      </c>
      <c r="K343" s="5"/>
    </row>
    <row r="344" spans="1:11">
      <c r="A344" s="5" t="s">
        <v>905</v>
      </c>
      <c r="B344" s="5" t="s">
        <v>1510</v>
      </c>
      <c r="C344" s="5" t="s">
        <v>35</v>
      </c>
      <c r="D344" s="5" t="s">
        <v>1511</v>
      </c>
      <c r="E344" s="5" t="s">
        <v>1512</v>
      </c>
      <c r="F344" s="5" t="s">
        <v>1331</v>
      </c>
      <c r="G344" s="5" t="s">
        <v>1513</v>
      </c>
      <c r="H344" s="5" t="s">
        <v>12</v>
      </c>
      <c r="I344" s="5" t="s">
        <v>40</v>
      </c>
      <c r="J344" s="5" t="s">
        <v>41</v>
      </c>
      <c r="K344" s="5"/>
    </row>
    <row r="345" spans="1:11">
      <c r="A345" s="5" t="s">
        <v>905</v>
      </c>
      <c r="B345" s="5" t="s">
        <v>1514</v>
      </c>
      <c r="C345" s="5" t="s">
        <v>35</v>
      </c>
      <c r="D345" s="5" t="s">
        <v>1515</v>
      </c>
      <c r="E345" s="5" t="s">
        <v>1361</v>
      </c>
      <c r="F345" s="5" t="s">
        <v>1331</v>
      </c>
      <c r="G345" s="5" t="s">
        <v>1516</v>
      </c>
      <c r="H345" s="5" t="s">
        <v>12</v>
      </c>
      <c r="I345" s="5" t="s">
        <v>40</v>
      </c>
      <c r="J345" s="5" t="s">
        <v>41</v>
      </c>
      <c r="K345" s="5"/>
    </row>
    <row r="346" spans="1:11">
      <c r="A346" s="5" t="s">
        <v>905</v>
      </c>
      <c r="B346" s="5" t="s">
        <v>1517</v>
      </c>
      <c r="C346" s="5" t="s">
        <v>35</v>
      </c>
      <c r="D346" s="5" t="s">
        <v>1518</v>
      </c>
      <c r="E346" s="5" t="s">
        <v>1481</v>
      </c>
      <c r="F346" s="5" t="s">
        <v>1331</v>
      </c>
      <c r="G346" s="5" t="s">
        <v>1519</v>
      </c>
      <c r="H346" s="5" t="s">
        <v>12</v>
      </c>
      <c r="I346" s="5" t="s">
        <v>40</v>
      </c>
      <c r="J346" s="5" t="s">
        <v>41</v>
      </c>
      <c r="K346" s="5"/>
    </row>
    <row r="347" spans="1:11">
      <c r="A347" s="5" t="s">
        <v>905</v>
      </c>
      <c r="B347" s="5" t="s">
        <v>1520</v>
      </c>
      <c r="C347" s="5" t="s">
        <v>35</v>
      </c>
      <c r="D347" s="5" t="s">
        <v>1521</v>
      </c>
      <c r="E347" s="5" t="s">
        <v>1369</v>
      </c>
      <c r="F347" s="5" t="s">
        <v>1331</v>
      </c>
      <c r="G347" s="5" t="s">
        <v>1522</v>
      </c>
      <c r="H347" s="5" t="s">
        <v>12</v>
      </c>
      <c r="I347" s="5" t="s">
        <v>40</v>
      </c>
      <c r="J347" s="5" t="s">
        <v>41</v>
      </c>
      <c r="K347" s="5"/>
    </row>
    <row r="348" spans="1:11">
      <c r="A348" s="5" t="s">
        <v>905</v>
      </c>
      <c r="B348" s="5" t="s">
        <v>1523</v>
      </c>
      <c r="C348" s="5" t="s">
        <v>35</v>
      </c>
      <c r="D348" s="5" t="s">
        <v>1524</v>
      </c>
      <c r="E348" s="5" t="s">
        <v>1357</v>
      </c>
      <c r="F348" s="5" t="s">
        <v>1326</v>
      </c>
      <c r="G348" s="5" t="s">
        <v>1525</v>
      </c>
      <c r="H348" s="5" t="s">
        <v>12</v>
      </c>
      <c r="I348" s="5" t="s">
        <v>40</v>
      </c>
      <c r="J348" s="5" t="s">
        <v>41</v>
      </c>
      <c r="K348" s="5"/>
    </row>
    <row r="349" spans="1:11">
      <c r="A349" s="5" t="s">
        <v>905</v>
      </c>
      <c r="B349" s="5" t="s">
        <v>1526</v>
      </c>
      <c r="C349" s="5" t="s">
        <v>35</v>
      </c>
      <c r="D349" s="5" t="s">
        <v>1527</v>
      </c>
      <c r="E349" s="5" t="s">
        <v>1512</v>
      </c>
      <c r="F349" s="5" t="s">
        <v>1331</v>
      </c>
      <c r="G349" s="5" t="s">
        <v>1528</v>
      </c>
      <c r="H349" s="5" t="s">
        <v>12</v>
      </c>
      <c r="I349" s="5" t="s">
        <v>40</v>
      </c>
      <c r="J349" s="5" t="s">
        <v>41</v>
      </c>
      <c r="K349" s="5"/>
    </row>
    <row r="350" spans="1:11">
      <c r="A350" s="5" t="s">
        <v>905</v>
      </c>
      <c r="B350" s="5" t="s">
        <v>1529</v>
      </c>
      <c r="C350" s="5" t="s">
        <v>35</v>
      </c>
      <c r="D350" s="5" t="s">
        <v>1530</v>
      </c>
      <c r="E350" s="5" t="s">
        <v>1361</v>
      </c>
      <c r="F350" s="5" t="s">
        <v>1331</v>
      </c>
      <c r="G350" s="5" t="s">
        <v>1531</v>
      </c>
      <c r="H350" s="5" t="s">
        <v>12</v>
      </c>
      <c r="I350" s="5" t="s">
        <v>40</v>
      </c>
      <c r="J350" s="5" t="s">
        <v>41</v>
      </c>
      <c r="K350" s="5"/>
    </row>
    <row r="351" spans="1:11">
      <c r="A351" s="5" t="s">
        <v>905</v>
      </c>
      <c r="B351" s="5" t="s">
        <v>1532</v>
      </c>
      <c r="C351" s="5" t="s">
        <v>35</v>
      </c>
      <c r="D351" s="5" t="s">
        <v>1533</v>
      </c>
      <c r="E351" s="5" t="s">
        <v>1481</v>
      </c>
      <c r="F351" s="5" t="s">
        <v>1331</v>
      </c>
      <c r="G351" s="5" t="s">
        <v>1534</v>
      </c>
      <c r="H351" s="5" t="s">
        <v>12</v>
      </c>
      <c r="I351" s="5" t="s">
        <v>40</v>
      </c>
      <c r="J351" s="5" t="s">
        <v>41</v>
      </c>
      <c r="K351" s="5"/>
    </row>
    <row r="352" spans="1:11">
      <c r="A352" s="5" t="s">
        <v>905</v>
      </c>
      <c r="B352" s="5" t="s">
        <v>1535</v>
      </c>
      <c r="C352" s="5" t="s">
        <v>35</v>
      </c>
      <c r="D352" s="5" t="s">
        <v>1536</v>
      </c>
      <c r="E352" s="5" t="s">
        <v>1369</v>
      </c>
      <c r="F352" s="5" t="s">
        <v>1331</v>
      </c>
      <c r="G352" s="5" t="s">
        <v>1537</v>
      </c>
      <c r="H352" s="5" t="s">
        <v>12</v>
      </c>
      <c r="I352" s="5" t="s">
        <v>40</v>
      </c>
      <c r="J352" s="5" t="s">
        <v>41</v>
      </c>
      <c r="K352" s="5"/>
    </row>
    <row r="353" spans="1:11">
      <c r="A353" s="5" t="s">
        <v>905</v>
      </c>
      <c r="B353" s="5" t="s">
        <v>1538</v>
      </c>
      <c r="C353" s="5" t="s">
        <v>35</v>
      </c>
      <c r="D353" s="5" t="s">
        <v>1539</v>
      </c>
      <c r="E353" s="5" t="s">
        <v>1540</v>
      </c>
      <c r="F353" s="5" t="s">
        <v>1326</v>
      </c>
      <c r="G353" s="5" t="s">
        <v>1541</v>
      </c>
      <c r="H353" s="5" t="s">
        <v>12</v>
      </c>
      <c r="I353" s="5" t="s">
        <v>40</v>
      </c>
      <c r="J353" s="5" t="s">
        <v>41</v>
      </c>
      <c r="K353" s="5"/>
    </row>
    <row r="354" spans="1:11">
      <c r="A354" s="5" t="s">
        <v>905</v>
      </c>
      <c r="B354" s="5" t="s">
        <v>1542</v>
      </c>
      <c r="C354" s="5" t="s">
        <v>35</v>
      </c>
      <c r="D354" s="5" t="s">
        <v>1543</v>
      </c>
      <c r="E354" s="5" t="s">
        <v>1544</v>
      </c>
      <c r="F354" s="5" t="s">
        <v>1331</v>
      </c>
      <c r="G354" s="5" t="s">
        <v>1545</v>
      </c>
      <c r="H354" s="5" t="s">
        <v>12</v>
      </c>
      <c r="I354" s="5" t="s">
        <v>40</v>
      </c>
      <c r="J354" s="5" t="s">
        <v>41</v>
      </c>
      <c r="K354" s="5"/>
    </row>
    <row r="355" spans="1:11">
      <c r="A355" s="5" t="s">
        <v>905</v>
      </c>
      <c r="B355" s="5" t="s">
        <v>1546</v>
      </c>
      <c r="C355" s="5" t="s">
        <v>35</v>
      </c>
      <c r="D355" s="5" t="s">
        <v>1547</v>
      </c>
      <c r="E355" s="5" t="s">
        <v>1548</v>
      </c>
      <c r="F355" s="5" t="s">
        <v>1331</v>
      </c>
      <c r="G355" s="5" t="s">
        <v>1549</v>
      </c>
      <c r="H355" s="5" t="s">
        <v>12</v>
      </c>
      <c r="I355" s="5" t="s">
        <v>40</v>
      </c>
      <c r="J355" s="5" t="s">
        <v>41</v>
      </c>
      <c r="K355" s="5"/>
    </row>
    <row r="356" spans="1:11">
      <c r="A356" s="5" t="s">
        <v>905</v>
      </c>
      <c r="B356" s="5" t="s">
        <v>1550</v>
      </c>
      <c r="C356" s="5" t="s">
        <v>35</v>
      </c>
      <c r="D356" s="5" t="s">
        <v>1551</v>
      </c>
      <c r="E356" s="5" t="s">
        <v>1552</v>
      </c>
      <c r="F356" s="5" t="s">
        <v>1331</v>
      </c>
      <c r="G356" s="5" t="s">
        <v>1553</v>
      </c>
      <c r="H356" s="5" t="s">
        <v>12</v>
      </c>
      <c r="I356" s="5" t="s">
        <v>40</v>
      </c>
      <c r="J356" s="5" t="s">
        <v>41</v>
      </c>
      <c r="K356" s="5"/>
    </row>
    <row r="357" spans="1:11">
      <c r="A357" s="5" t="s">
        <v>905</v>
      </c>
      <c r="B357" s="5" t="s">
        <v>1554</v>
      </c>
      <c r="C357" s="5" t="s">
        <v>35</v>
      </c>
      <c r="D357" s="5" t="s">
        <v>1555</v>
      </c>
      <c r="E357" s="5" t="s">
        <v>1556</v>
      </c>
      <c r="F357" s="5" t="s">
        <v>1331</v>
      </c>
      <c r="G357" s="5" t="s">
        <v>1557</v>
      </c>
      <c r="H357" s="5" t="s">
        <v>12</v>
      </c>
      <c r="I357" s="5" t="s">
        <v>40</v>
      </c>
      <c r="J357" s="5" t="s">
        <v>41</v>
      </c>
      <c r="K357" s="5"/>
    </row>
    <row r="358" spans="1:11">
      <c r="A358" s="5" t="s">
        <v>905</v>
      </c>
      <c r="B358" s="5" t="s">
        <v>1558</v>
      </c>
      <c r="C358" s="5" t="s">
        <v>35</v>
      </c>
      <c r="D358" s="5" t="s">
        <v>1559</v>
      </c>
      <c r="E358" s="5" t="s">
        <v>1560</v>
      </c>
      <c r="F358" s="5" t="s">
        <v>1326</v>
      </c>
      <c r="G358" s="5" t="s">
        <v>1561</v>
      </c>
      <c r="H358" s="5" t="s">
        <v>12</v>
      </c>
      <c r="I358" s="5" t="s">
        <v>40</v>
      </c>
      <c r="J358" s="5" t="s">
        <v>41</v>
      </c>
      <c r="K358" s="5"/>
    </row>
    <row r="359" spans="1:11">
      <c r="A359" s="5" t="s">
        <v>905</v>
      </c>
      <c r="B359" s="5" t="s">
        <v>1562</v>
      </c>
      <c r="C359" s="5" t="s">
        <v>35</v>
      </c>
      <c r="D359" s="5" t="s">
        <v>1563</v>
      </c>
      <c r="E359" s="5" t="s">
        <v>1564</v>
      </c>
      <c r="F359" s="5" t="s">
        <v>1331</v>
      </c>
      <c r="G359" s="5" t="s">
        <v>1565</v>
      </c>
      <c r="H359" s="5" t="s">
        <v>12</v>
      </c>
      <c r="I359" s="5" t="s">
        <v>40</v>
      </c>
      <c r="J359" s="5" t="s">
        <v>41</v>
      </c>
      <c r="K359" s="5"/>
    </row>
    <row r="360" spans="1:11">
      <c r="A360" s="5" t="s">
        <v>905</v>
      </c>
      <c r="B360" s="5" t="s">
        <v>1566</v>
      </c>
      <c r="C360" s="5" t="s">
        <v>35</v>
      </c>
      <c r="D360" s="5" t="s">
        <v>1567</v>
      </c>
      <c r="E360" s="5" t="s">
        <v>1568</v>
      </c>
      <c r="F360" s="5" t="s">
        <v>1331</v>
      </c>
      <c r="G360" s="5" t="s">
        <v>1569</v>
      </c>
      <c r="H360" s="5" t="s">
        <v>12</v>
      </c>
      <c r="I360" s="5" t="s">
        <v>40</v>
      </c>
      <c r="J360" s="5" t="s">
        <v>41</v>
      </c>
      <c r="K360" s="5"/>
    </row>
    <row r="361" spans="1:11">
      <c r="A361" s="5" t="s">
        <v>905</v>
      </c>
      <c r="B361" s="5" t="s">
        <v>1570</v>
      </c>
      <c r="C361" s="5" t="s">
        <v>35</v>
      </c>
      <c r="D361" s="5" t="s">
        <v>1571</v>
      </c>
      <c r="E361" s="5" t="s">
        <v>1572</v>
      </c>
      <c r="F361" s="5" t="s">
        <v>1331</v>
      </c>
      <c r="G361" s="5" t="s">
        <v>1573</v>
      </c>
      <c r="H361" s="5" t="s">
        <v>12</v>
      </c>
      <c r="I361" s="5" t="s">
        <v>40</v>
      </c>
      <c r="J361" s="5" t="s">
        <v>41</v>
      </c>
      <c r="K361" s="5"/>
    </row>
    <row r="362" spans="1:11">
      <c r="A362" s="5" t="s">
        <v>905</v>
      </c>
      <c r="B362" s="5" t="s">
        <v>1574</v>
      </c>
      <c r="C362" s="5" t="s">
        <v>35</v>
      </c>
      <c r="D362" s="5" t="s">
        <v>1575</v>
      </c>
      <c r="E362" s="5" t="s">
        <v>1576</v>
      </c>
      <c r="F362" s="5" t="s">
        <v>1331</v>
      </c>
      <c r="G362" s="5" t="s">
        <v>1577</v>
      </c>
      <c r="H362" s="5" t="s">
        <v>12</v>
      </c>
      <c r="I362" s="5" t="s">
        <v>40</v>
      </c>
      <c r="J362" s="5" t="s">
        <v>41</v>
      </c>
      <c r="K362" s="5"/>
    </row>
    <row r="363" spans="1:11">
      <c r="A363" s="5" t="s">
        <v>905</v>
      </c>
      <c r="B363" s="5" t="s">
        <v>1578</v>
      </c>
      <c r="C363" s="5" t="s">
        <v>35</v>
      </c>
      <c r="D363" s="5" t="s">
        <v>1579</v>
      </c>
      <c r="E363" s="5" t="s">
        <v>1357</v>
      </c>
      <c r="F363" s="5" t="s">
        <v>1326</v>
      </c>
      <c r="G363" s="5" t="s">
        <v>1580</v>
      </c>
      <c r="H363" s="5" t="s">
        <v>12</v>
      </c>
      <c r="I363" s="5" t="s">
        <v>40</v>
      </c>
      <c r="J363" s="5" t="s">
        <v>41</v>
      </c>
      <c r="K363" s="5"/>
    </row>
    <row r="364" spans="1:11">
      <c r="A364" s="5" t="s">
        <v>905</v>
      </c>
      <c r="B364" s="5" t="s">
        <v>1581</v>
      </c>
      <c r="C364" s="5" t="s">
        <v>35</v>
      </c>
      <c r="D364" s="5" t="s">
        <v>1582</v>
      </c>
      <c r="E364" s="5" t="s">
        <v>1512</v>
      </c>
      <c r="F364" s="5" t="s">
        <v>1331</v>
      </c>
      <c r="G364" s="5" t="s">
        <v>1583</v>
      </c>
      <c r="H364" s="5" t="s">
        <v>12</v>
      </c>
      <c r="I364" s="5" t="s">
        <v>40</v>
      </c>
      <c r="J364" s="5" t="s">
        <v>41</v>
      </c>
      <c r="K364" s="5"/>
    </row>
    <row r="365" spans="1:11">
      <c r="A365" s="5" t="s">
        <v>905</v>
      </c>
      <c r="B365" s="5" t="s">
        <v>1584</v>
      </c>
      <c r="C365" s="5" t="s">
        <v>35</v>
      </c>
      <c r="D365" s="5" t="s">
        <v>1585</v>
      </c>
      <c r="E365" s="5" t="s">
        <v>1361</v>
      </c>
      <c r="F365" s="5" t="s">
        <v>1331</v>
      </c>
      <c r="G365" s="5" t="s">
        <v>1586</v>
      </c>
      <c r="H365" s="5" t="s">
        <v>12</v>
      </c>
      <c r="I365" s="5" t="s">
        <v>40</v>
      </c>
      <c r="J365" s="5" t="s">
        <v>41</v>
      </c>
      <c r="K365" s="5"/>
    </row>
    <row r="366" spans="1:11">
      <c r="A366" s="5" t="s">
        <v>905</v>
      </c>
      <c r="B366" s="5" t="s">
        <v>1587</v>
      </c>
      <c r="C366" s="5" t="s">
        <v>35</v>
      </c>
      <c r="D366" s="5" t="s">
        <v>1588</v>
      </c>
      <c r="E366" s="5" t="s">
        <v>1481</v>
      </c>
      <c r="F366" s="5" t="s">
        <v>1331</v>
      </c>
      <c r="G366" s="5" t="s">
        <v>1589</v>
      </c>
      <c r="H366" s="5" t="s">
        <v>12</v>
      </c>
      <c r="I366" s="5" t="s">
        <v>40</v>
      </c>
      <c r="J366" s="5" t="s">
        <v>41</v>
      </c>
      <c r="K366" s="5"/>
    </row>
    <row r="367" spans="1:11">
      <c r="A367" s="5" t="s">
        <v>905</v>
      </c>
      <c r="B367" s="5" t="s">
        <v>1590</v>
      </c>
      <c r="C367" s="5" t="s">
        <v>35</v>
      </c>
      <c r="D367" s="5" t="s">
        <v>1591</v>
      </c>
      <c r="E367" s="5" t="s">
        <v>1369</v>
      </c>
      <c r="F367" s="5" t="s">
        <v>1331</v>
      </c>
      <c r="G367" s="5" t="s">
        <v>1592</v>
      </c>
      <c r="H367" s="5" t="s">
        <v>12</v>
      </c>
      <c r="I367" s="5" t="s">
        <v>40</v>
      </c>
      <c r="J367" s="5" t="s">
        <v>41</v>
      </c>
      <c r="K367" s="5"/>
    </row>
    <row r="368" spans="1:11">
      <c r="A368" s="5" t="s">
        <v>905</v>
      </c>
      <c r="B368" s="5" t="s">
        <v>1593</v>
      </c>
      <c r="C368" s="5" t="s">
        <v>35</v>
      </c>
      <c r="D368" s="5" t="s">
        <v>1594</v>
      </c>
      <c r="E368" s="5" t="s">
        <v>1595</v>
      </c>
      <c r="F368" s="5" t="s">
        <v>1326</v>
      </c>
      <c r="G368" s="5" t="s">
        <v>1596</v>
      </c>
      <c r="H368" s="5" t="s">
        <v>12</v>
      </c>
      <c r="I368" s="5" t="s">
        <v>40</v>
      </c>
      <c r="J368" s="5" t="s">
        <v>41</v>
      </c>
      <c r="K368" s="5"/>
    </row>
    <row r="369" spans="1:11">
      <c r="A369" s="5" t="s">
        <v>905</v>
      </c>
      <c r="B369" s="5" t="s">
        <v>1597</v>
      </c>
      <c r="C369" s="5" t="s">
        <v>35</v>
      </c>
      <c r="D369" s="5" t="s">
        <v>1598</v>
      </c>
      <c r="E369" s="5" t="s">
        <v>1599</v>
      </c>
      <c r="F369" s="5" t="s">
        <v>1331</v>
      </c>
      <c r="G369" s="5" t="s">
        <v>1600</v>
      </c>
      <c r="H369" s="5" t="s">
        <v>12</v>
      </c>
      <c r="I369" s="5" t="s">
        <v>40</v>
      </c>
      <c r="J369" s="5" t="s">
        <v>41</v>
      </c>
      <c r="K369" s="5"/>
    </row>
    <row r="370" spans="1:11">
      <c r="A370" s="5" t="s">
        <v>905</v>
      </c>
      <c r="B370" s="5" t="s">
        <v>1601</v>
      </c>
      <c r="C370" s="5" t="s">
        <v>35</v>
      </c>
      <c r="D370" s="5" t="s">
        <v>1602</v>
      </c>
      <c r="E370" s="5" t="s">
        <v>1603</v>
      </c>
      <c r="F370" s="5" t="s">
        <v>1331</v>
      </c>
      <c r="G370" s="5" t="s">
        <v>1604</v>
      </c>
      <c r="H370" s="5" t="s">
        <v>12</v>
      </c>
      <c r="I370" s="5" t="s">
        <v>40</v>
      </c>
      <c r="J370" s="5" t="s">
        <v>41</v>
      </c>
      <c r="K370" s="5"/>
    </row>
    <row r="371" spans="1:11">
      <c r="A371" s="5" t="s">
        <v>905</v>
      </c>
      <c r="B371" s="5" t="s">
        <v>1605</v>
      </c>
      <c r="C371" s="5" t="s">
        <v>35</v>
      </c>
      <c r="D371" s="5" t="s">
        <v>1606</v>
      </c>
      <c r="E371" s="5" t="s">
        <v>1607</v>
      </c>
      <c r="F371" s="5" t="s">
        <v>1608</v>
      </c>
      <c r="G371" s="5" t="s">
        <v>1609</v>
      </c>
      <c r="H371" s="5" t="s">
        <v>12</v>
      </c>
      <c r="I371" s="5" t="s">
        <v>40</v>
      </c>
      <c r="J371" s="5" t="s">
        <v>41</v>
      </c>
      <c r="K371" s="5"/>
    </row>
    <row r="372" spans="1:11">
      <c r="A372" s="5" t="s">
        <v>905</v>
      </c>
      <c r="B372" s="5" t="s">
        <v>1610</v>
      </c>
      <c r="C372" s="5" t="s">
        <v>35</v>
      </c>
      <c r="D372" s="5" t="s">
        <v>1611</v>
      </c>
      <c r="E372" s="5" t="s">
        <v>1612</v>
      </c>
      <c r="F372" s="5" t="s">
        <v>1331</v>
      </c>
      <c r="G372" s="5" t="s">
        <v>1613</v>
      </c>
      <c r="H372" s="5" t="s">
        <v>12</v>
      </c>
      <c r="I372" s="5" t="s">
        <v>40</v>
      </c>
      <c r="J372" s="5" t="s">
        <v>41</v>
      </c>
      <c r="K372" s="5"/>
    </row>
    <row r="373" spans="1:11">
      <c r="A373" s="5" t="s">
        <v>905</v>
      </c>
      <c r="B373" s="5" t="s">
        <v>1614</v>
      </c>
      <c r="C373" s="5" t="s">
        <v>35</v>
      </c>
      <c r="D373" s="5" t="s">
        <v>1615</v>
      </c>
      <c r="E373" s="5" t="s">
        <v>1357</v>
      </c>
      <c r="F373" s="5" t="s">
        <v>1326</v>
      </c>
      <c r="G373" s="5" t="s">
        <v>1616</v>
      </c>
      <c r="H373" s="5" t="s">
        <v>12</v>
      </c>
      <c r="I373" s="5" t="s">
        <v>40</v>
      </c>
      <c r="J373" s="5" t="s">
        <v>41</v>
      </c>
      <c r="K373" s="5"/>
    </row>
    <row r="374" spans="1:11">
      <c r="A374" s="5" t="s">
        <v>905</v>
      </c>
      <c r="B374" s="5" t="s">
        <v>1617</v>
      </c>
      <c r="C374" s="5" t="s">
        <v>35</v>
      </c>
      <c r="D374" s="5" t="s">
        <v>1618</v>
      </c>
      <c r="E374" s="5" t="s">
        <v>1619</v>
      </c>
      <c r="F374" s="5" t="s">
        <v>1620</v>
      </c>
      <c r="G374" s="5" t="s">
        <v>1621</v>
      </c>
      <c r="H374" s="5" t="s">
        <v>12</v>
      </c>
      <c r="I374" s="5" t="s">
        <v>40</v>
      </c>
      <c r="J374" s="5" t="s">
        <v>41</v>
      </c>
      <c r="K374" s="5"/>
    </row>
    <row r="375" spans="1:11">
      <c r="A375" s="5" t="s">
        <v>905</v>
      </c>
      <c r="B375" s="5" t="s">
        <v>1622</v>
      </c>
      <c r="C375" s="5" t="s">
        <v>35</v>
      </c>
      <c r="D375" s="5" t="s">
        <v>1623</v>
      </c>
      <c r="E375" s="5" t="s">
        <v>1624</v>
      </c>
      <c r="F375" s="5" t="s">
        <v>1620</v>
      </c>
      <c r="G375" s="5" t="s">
        <v>1625</v>
      </c>
      <c r="H375" s="5" t="s">
        <v>12</v>
      </c>
      <c r="I375" s="5" t="s">
        <v>40</v>
      </c>
      <c r="J375" s="5" t="s">
        <v>41</v>
      </c>
      <c r="K375" s="5"/>
    </row>
    <row r="376" spans="1:11">
      <c r="A376" s="5" t="s">
        <v>905</v>
      </c>
      <c r="B376" s="5" t="s">
        <v>1626</v>
      </c>
      <c r="C376" s="5" t="s">
        <v>35</v>
      </c>
      <c r="D376" s="5" t="s">
        <v>1627</v>
      </c>
      <c r="E376" s="5" t="s">
        <v>1628</v>
      </c>
      <c r="F376" s="5" t="s">
        <v>1620</v>
      </c>
      <c r="G376" s="5" t="s">
        <v>1629</v>
      </c>
      <c r="H376" s="5" t="s">
        <v>12</v>
      </c>
      <c r="I376" s="5" t="s">
        <v>40</v>
      </c>
      <c r="J376" s="5" t="s">
        <v>41</v>
      </c>
      <c r="K376" s="5"/>
    </row>
    <row r="377" spans="1:11">
      <c r="A377" s="5" t="s">
        <v>905</v>
      </c>
      <c r="B377" s="5" t="s">
        <v>1630</v>
      </c>
      <c r="C377" s="5" t="s">
        <v>35</v>
      </c>
      <c r="D377" s="5" t="s">
        <v>1631</v>
      </c>
      <c r="E377" s="5" t="s">
        <v>1632</v>
      </c>
      <c r="F377" s="5" t="s">
        <v>1620</v>
      </c>
      <c r="G377" s="5" t="s">
        <v>1633</v>
      </c>
      <c r="H377" s="5" t="s">
        <v>12</v>
      </c>
      <c r="I377" s="5" t="s">
        <v>40</v>
      </c>
      <c r="J377" s="5" t="s">
        <v>41</v>
      </c>
      <c r="K377" s="5"/>
    </row>
    <row r="378" spans="1:11">
      <c r="A378" s="5" t="s">
        <v>905</v>
      </c>
      <c r="B378" s="5" t="s">
        <v>1634</v>
      </c>
      <c r="C378" s="5" t="s">
        <v>35</v>
      </c>
      <c r="D378" s="5" t="s">
        <v>1635</v>
      </c>
      <c r="E378" s="5" t="s">
        <v>1636</v>
      </c>
      <c r="F378" s="5" t="s">
        <v>1637</v>
      </c>
      <c r="G378" s="5" t="s">
        <v>1638</v>
      </c>
      <c r="H378" s="5" t="s">
        <v>12</v>
      </c>
      <c r="I378" s="5" t="s">
        <v>40</v>
      </c>
      <c r="J378" s="5" t="s">
        <v>41</v>
      </c>
      <c r="K378" s="5"/>
    </row>
    <row r="379" spans="1:11">
      <c r="A379" s="5" t="s">
        <v>905</v>
      </c>
      <c r="B379" s="5" t="s">
        <v>1639</v>
      </c>
      <c r="C379" s="5" t="s">
        <v>35</v>
      </c>
      <c r="D379" s="5" t="s">
        <v>1640</v>
      </c>
      <c r="E379" s="5" t="s">
        <v>1641</v>
      </c>
      <c r="F379" s="5" t="s">
        <v>1637</v>
      </c>
      <c r="G379" s="5" t="s">
        <v>1642</v>
      </c>
      <c r="H379" s="5" t="s">
        <v>12</v>
      </c>
      <c r="I379" s="5" t="s">
        <v>40</v>
      </c>
      <c r="J379" s="5" t="s">
        <v>41</v>
      </c>
      <c r="K379" s="5"/>
    </row>
    <row r="380" spans="1:11">
      <c r="A380" s="5" t="s">
        <v>905</v>
      </c>
      <c r="B380" s="5" t="s">
        <v>1643</v>
      </c>
      <c r="C380" s="5" t="s">
        <v>35</v>
      </c>
      <c r="D380" s="5" t="s">
        <v>1644</v>
      </c>
      <c r="E380" s="5" t="s">
        <v>1645</v>
      </c>
      <c r="F380" s="5" t="s">
        <v>1646</v>
      </c>
      <c r="G380" s="5" t="s">
        <v>1647</v>
      </c>
      <c r="H380" s="5" t="s">
        <v>12</v>
      </c>
      <c r="I380" s="5" t="s">
        <v>40</v>
      </c>
      <c r="J380" s="5" t="s">
        <v>41</v>
      </c>
      <c r="K380" s="5"/>
    </row>
    <row r="381" spans="1:11">
      <c r="A381" s="5" t="s">
        <v>905</v>
      </c>
      <c r="B381" s="5" t="s">
        <v>1648</v>
      </c>
      <c r="C381" s="5" t="s">
        <v>35</v>
      </c>
      <c r="D381" s="5" t="s">
        <v>1649</v>
      </c>
      <c r="E381" s="5" t="s">
        <v>1650</v>
      </c>
      <c r="F381" s="5" t="s">
        <v>1651</v>
      </c>
      <c r="G381" s="5" t="s">
        <v>1652</v>
      </c>
      <c r="H381" s="5" t="s">
        <v>12</v>
      </c>
      <c r="I381" s="5" t="s">
        <v>40</v>
      </c>
      <c r="J381" s="5" t="s">
        <v>41</v>
      </c>
      <c r="K381" s="5"/>
    </row>
    <row r="382" spans="1:11">
      <c r="A382" s="5" t="s">
        <v>905</v>
      </c>
      <c r="B382" s="5" t="s">
        <v>1653</v>
      </c>
      <c r="C382" s="5" t="s">
        <v>35</v>
      </c>
      <c r="D382" s="5" t="s">
        <v>1654</v>
      </c>
      <c r="E382" s="5" t="s">
        <v>1655</v>
      </c>
      <c r="F382" s="5" t="s">
        <v>1656</v>
      </c>
      <c r="G382" s="5" t="s">
        <v>1657</v>
      </c>
      <c r="H382" s="5" t="s">
        <v>12</v>
      </c>
      <c r="I382" s="5" t="s">
        <v>40</v>
      </c>
      <c r="J382" s="5" t="s">
        <v>41</v>
      </c>
      <c r="K382" s="5"/>
    </row>
    <row r="383" spans="1:11">
      <c r="A383" s="5" t="s">
        <v>905</v>
      </c>
      <c r="B383" s="5" t="s">
        <v>1658</v>
      </c>
      <c r="C383" s="5" t="s">
        <v>35</v>
      </c>
      <c r="D383" s="5" t="s">
        <v>1659</v>
      </c>
      <c r="E383" s="5" t="s">
        <v>1660</v>
      </c>
      <c r="F383" s="5" t="s">
        <v>1661</v>
      </c>
      <c r="G383" s="5" t="s">
        <v>1662</v>
      </c>
      <c r="H383" s="5" t="s">
        <v>12</v>
      </c>
      <c r="I383" s="5" t="s">
        <v>40</v>
      </c>
      <c r="J383" s="5" t="s">
        <v>41</v>
      </c>
      <c r="K383" s="5"/>
    </row>
    <row r="384" spans="1:11">
      <c r="A384" s="5" t="s">
        <v>905</v>
      </c>
      <c r="B384" s="5" t="s">
        <v>1663</v>
      </c>
      <c r="C384" s="5" t="s">
        <v>35</v>
      </c>
      <c r="D384" s="5" t="s">
        <v>1664</v>
      </c>
      <c r="E384" s="5" t="s">
        <v>1665</v>
      </c>
      <c r="F384" s="5" t="s">
        <v>1661</v>
      </c>
      <c r="G384" s="5" t="s">
        <v>1666</v>
      </c>
      <c r="H384" s="5" t="s">
        <v>12</v>
      </c>
      <c r="I384" s="5" t="s">
        <v>40</v>
      </c>
      <c r="J384" s="5" t="s">
        <v>41</v>
      </c>
      <c r="K384" s="5"/>
    </row>
    <row r="385" spans="1:11">
      <c r="A385" s="5" t="s">
        <v>905</v>
      </c>
      <c r="B385" s="5" t="s">
        <v>1667</v>
      </c>
      <c r="C385" s="5" t="s">
        <v>35</v>
      </c>
      <c r="D385" s="5" t="s">
        <v>1668</v>
      </c>
      <c r="E385" s="5" t="s">
        <v>1669</v>
      </c>
      <c r="F385" s="5" t="s">
        <v>1670</v>
      </c>
      <c r="G385" s="5" t="s">
        <v>1671</v>
      </c>
      <c r="H385" s="5" t="s">
        <v>12</v>
      </c>
      <c r="I385" s="5" t="s">
        <v>40</v>
      </c>
      <c r="J385" s="5" t="s">
        <v>41</v>
      </c>
      <c r="K385" s="5"/>
    </row>
    <row r="386" spans="1:11">
      <c r="A386" s="5" t="s">
        <v>905</v>
      </c>
      <c r="B386" s="5" t="s">
        <v>1672</v>
      </c>
      <c r="C386" s="5" t="s">
        <v>35</v>
      </c>
      <c r="D386" s="5" t="s">
        <v>1673</v>
      </c>
      <c r="E386" s="5" t="s">
        <v>1674</v>
      </c>
      <c r="F386" s="5" t="s">
        <v>1675</v>
      </c>
      <c r="G386" s="5" t="s">
        <v>1676</v>
      </c>
      <c r="H386" s="5" t="s">
        <v>12</v>
      </c>
      <c r="I386" s="5" t="s">
        <v>40</v>
      </c>
      <c r="J386" s="5" t="s">
        <v>41</v>
      </c>
      <c r="K386" s="5"/>
    </row>
    <row r="387" spans="1:11">
      <c r="A387" s="5" t="s">
        <v>905</v>
      </c>
      <c r="B387" s="5" t="s">
        <v>1677</v>
      </c>
      <c r="C387" s="5" t="s">
        <v>35</v>
      </c>
      <c r="D387" s="5" t="s">
        <v>1678</v>
      </c>
      <c r="E387" s="5" t="s">
        <v>1679</v>
      </c>
      <c r="F387" s="5" t="s">
        <v>1680</v>
      </c>
      <c r="G387" s="5" t="s">
        <v>1681</v>
      </c>
      <c r="H387" s="5" t="s">
        <v>12</v>
      </c>
      <c r="I387" s="5" t="s">
        <v>40</v>
      </c>
      <c r="J387" s="5" t="s">
        <v>41</v>
      </c>
      <c r="K387" s="5"/>
    </row>
    <row r="388" spans="1:11">
      <c r="A388" s="5" t="s">
        <v>905</v>
      </c>
      <c r="B388" s="5" t="s">
        <v>1682</v>
      </c>
      <c r="C388" s="5" t="s">
        <v>35</v>
      </c>
      <c r="D388" s="5" t="s">
        <v>1683</v>
      </c>
      <c r="E388" s="5" t="s">
        <v>1684</v>
      </c>
      <c r="F388" s="5" t="s">
        <v>1680</v>
      </c>
      <c r="G388" s="5" t="s">
        <v>1685</v>
      </c>
      <c r="H388" s="5" t="s">
        <v>12</v>
      </c>
      <c r="I388" s="5" t="s">
        <v>40</v>
      </c>
      <c r="J388" s="5" t="s">
        <v>41</v>
      </c>
      <c r="K388" s="5"/>
    </row>
    <row r="389" spans="1:11">
      <c r="A389" s="5" t="s">
        <v>905</v>
      </c>
      <c r="B389" s="5" t="s">
        <v>1686</v>
      </c>
      <c r="C389" s="5" t="s">
        <v>35</v>
      </c>
      <c r="D389" s="5" t="s">
        <v>1687</v>
      </c>
      <c r="E389" s="5" t="s">
        <v>1688</v>
      </c>
      <c r="F389" s="5" t="s">
        <v>1680</v>
      </c>
      <c r="G389" s="5" t="s">
        <v>1689</v>
      </c>
      <c r="H389" s="5" t="s">
        <v>12</v>
      </c>
      <c r="I389" s="5" t="s">
        <v>40</v>
      </c>
      <c r="J389" s="5" t="s">
        <v>41</v>
      </c>
      <c r="K389" s="5"/>
    </row>
    <row r="390" spans="1:11">
      <c r="A390" s="5" t="s">
        <v>905</v>
      </c>
      <c r="B390" s="5" t="s">
        <v>1690</v>
      </c>
      <c r="C390" s="5" t="s">
        <v>35</v>
      </c>
      <c r="D390" s="5" t="s">
        <v>1691</v>
      </c>
      <c r="E390" s="5" t="s">
        <v>1692</v>
      </c>
      <c r="F390" s="5" t="s">
        <v>1693</v>
      </c>
      <c r="G390" s="5" t="s">
        <v>1694</v>
      </c>
      <c r="H390" s="5" t="s">
        <v>12</v>
      </c>
      <c r="I390" s="5" t="s">
        <v>40</v>
      </c>
      <c r="J390" s="5" t="s">
        <v>41</v>
      </c>
      <c r="K390" s="5"/>
    </row>
    <row r="391" spans="1:11">
      <c r="A391" s="5" t="s">
        <v>905</v>
      </c>
      <c r="B391" s="5" t="s">
        <v>1695</v>
      </c>
      <c r="C391" s="5" t="s">
        <v>35</v>
      </c>
      <c r="D391" s="5" t="s">
        <v>1696</v>
      </c>
      <c r="E391" s="5" t="s">
        <v>1697</v>
      </c>
      <c r="F391" s="5" t="s">
        <v>1698</v>
      </c>
      <c r="G391" s="5" t="s">
        <v>1699</v>
      </c>
      <c r="H391" s="5" t="s">
        <v>12</v>
      </c>
      <c r="I391" s="5" t="s">
        <v>40</v>
      </c>
      <c r="J391" s="5" t="s">
        <v>41</v>
      </c>
      <c r="K391" s="5"/>
    </row>
    <row r="392" spans="1:11">
      <c r="A392" s="5" t="s">
        <v>905</v>
      </c>
      <c r="B392" s="5" t="s">
        <v>1700</v>
      </c>
      <c r="C392" s="5" t="s">
        <v>35</v>
      </c>
      <c r="D392" s="5" t="s">
        <v>1701</v>
      </c>
      <c r="E392" s="5" t="s">
        <v>1702</v>
      </c>
      <c r="F392" s="5" t="s">
        <v>1698</v>
      </c>
      <c r="G392" s="5" t="s">
        <v>1703</v>
      </c>
      <c r="H392" s="5" t="s">
        <v>12</v>
      </c>
      <c r="I392" s="5" t="s">
        <v>40</v>
      </c>
      <c r="J392" s="5" t="s">
        <v>41</v>
      </c>
      <c r="K392" s="5"/>
    </row>
    <row r="393" spans="1:11">
      <c r="A393" s="5" t="s">
        <v>905</v>
      </c>
      <c r="B393" s="5" t="s">
        <v>1704</v>
      </c>
      <c r="C393" s="5" t="s">
        <v>35</v>
      </c>
      <c r="D393" s="5" t="s">
        <v>1705</v>
      </c>
      <c r="E393" s="5" t="s">
        <v>1706</v>
      </c>
      <c r="F393" s="5" t="s">
        <v>1707</v>
      </c>
      <c r="G393" s="5" t="s">
        <v>1708</v>
      </c>
      <c r="H393" s="5" t="s">
        <v>12</v>
      </c>
      <c r="I393" s="5" t="s">
        <v>40</v>
      </c>
      <c r="J393" s="5" t="s">
        <v>41</v>
      </c>
      <c r="K393" s="5"/>
    </row>
    <row r="394" spans="1:11">
      <c r="A394" s="5" t="s">
        <v>905</v>
      </c>
      <c r="B394" s="5" t="s">
        <v>1709</v>
      </c>
      <c r="C394" s="5" t="s">
        <v>35</v>
      </c>
      <c r="D394" s="5" t="s">
        <v>1710</v>
      </c>
      <c r="E394" s="5" t="s">
        <v>1711</v>
      </c>
      <c r="F394" s="5" t="s">
        <v>1707</v>
      </c>
      <c r="G394" s="5" t="s">
        <v>1712</v>
      </c>
      <c r="H394" s="5" t="s">
        <v>12</v>
      </c>
      <c r="I394" s="5" t="s">
        <v>40</v>
      </c>
      <c r="J394" s="5" t="s">
        <v>41</v>
      </c>
      <c r="K394" s="5"/>
    </row>
    <row r="395" spans="1:11">
      <c r="A395" s="5" t="s">
        <v>905</v>
      </c>
      <c r="B395" s="5" t="s">
        <v>1713</v>
      </c>
      <c r="C395" s="5" t="s">
        <v>35</v>
      </c>
      <c r="D395" s="5" t="s">
        <v>1714</v>
      </c>
      <c r="E395" s="5" t="s">
        <v>1715</v>
      </c>
      <c r="F395" s="5" t="s">
        <v>1716</v>
      </c>
      <c r="G395" s="5" t="s">
        <v>1717</v>
      </c>
      <c r="H395" s="5" t="s">
        <v>12</v>
      </c>
      <c r="I395" s="5" t="s">
        <v>40</v>
      </c>
      <c r="J395" s="5" t="s">
        <v>41</v>
      </c>
      <c r="K395" s="5"/>
    </row>
    <row r="396" spans="1:11">
      <c r="A396" s="5" t="s">
        <v>905</v>
      </c>
      <c r="B396" s="5" t="s">
        <v>1718</v>
      </c>
      <c r="C396" s="5" t="s">
        <v>35</v>
      </c>
      <c r="D396" s="5" t="s">
        <v>1719</v>
      </c>
      <c r="E396" s="5" t="s">
        <v>1720</v>
      </c>
      <c r="F396" s="5" t="s">
        <v>1698</v>
      </c>
      <c r="G396" s="5" t="s">
        <v>1721</v>
      </c>
      <c r="H396" s="5" t="s">
        <v>12</v>
      </c>
      <c r="I396" s="5" t="s">
        <v>40</v>
      </c>
      <c r="J396" s="5" t="s">
        <v>41</v>
      </c>
      <c r="K396" s="5"/>
    </row>
    <row r="397" spans="1:11">
      <c r="A397" s="5" t="s">
        <v>905</v>
      </c>
      <c r="B397" s="5" t="s">
        <v>1722</v>
      </c>
      <c r="C397" s="5" t="s">
        <v>35</v>
      </c>
      <c r="D397" s="5" t="s">
        <v>1723</v>
      </c>
      <c r="E397" s="5" t="s">
        <v>1724</v>
      </c>
      <c r="F397" s="5" t="s">
        <v>1698</v>
      </c>
      <c r="G397" s="5" t="s">
        <v>1725</v>
      </c>
      <c r="H397" s="5" t="s">
        <v>12</v>
      </c>
      <c r="I397" s="5" t="s">
        <v>40</v>
      </c>
      <c r="J397" s="5" t="s">
        <v>41</v>
      </c>
      <c r="K397" s="5"/>
    </row>
    <row r="398" spans="1:11">
      <c r="A398" s="5" t="s">
        <v>905</v>
      </c>
      <c r="B398" s="5" t="s">
        <v>1726</v>
      </c>
      <c r="C398" s="5" t="s">
        <v>35</v>
      </c>
      <c r="D398" s="5" t="s">
        <v>1727</v>
      </c>
      <c r="E398" s="5" t="s">
        <v>1728</v>
      </c>
      <c r="F398" s="5" t="s">
        <v>1729</v>
      </c>
      <c r="G398" s="5" t="s">
        <v>1730</v>
      </c>
      <c r="H398" s="5" t="s">
        <v>12</v>
      </c>
      <c r="I398" s="5" t="s">
        <v>40</v>
      </c>
      <c r="J398" s="5" t="s">
        <v>41</v>
      </c>
      <c r="K398" s="5"/>
    </row>
    <row r="399" spans="1:11">
      <c r="A399" s="5" t="s">
        <v>905</v>
      </c>
      <c r="B399" s="5" t="s">
        <v>1731</v>
      </c>
      <c r="C399" s="5" t="s">
        <v>35</v>
      </c>
      <c r="D399" s="5" t="s">
        <v>1732</v>
      </c>
      <c r="E399" s="5" t="s">
        <v>1733</v>
      </c>
      <c r="F399" s="5" t="s">
        <v>1729</v>
      </c>
      <c r="G399" s="5" t="s">
        <v>1734</v>
      </c>
      <c r="H399" s="5" t="s">
        <v>12</v>
      </c>
      <c r="I399" s="5" t="s">
        <v>40</v>
      </c>
      <c r="J399" s="5" t="s">
        <v>41</v>
      </c>
      <c r="K399" s="5"/>
    </row>
    <row r="400" spans="1:11">
      <c r="A400" s="5" t="s">
        <v>905</v>
      </c>
      <c r="B400" s="5" t="s">
        <v>1735</v>
      </c>
      <c r="C400" s="5" t="s">
        <v>35</v>
      </c>
      <c r="D400" s="5" t="s">
        <v>1736</v>
      </c>
      <c r="E400" s="5" t="s">
        <v>1737</v>
      </c>
      <c r="F400" s="5" t="s">
        <v>1738</v>
      </c>
      <c r="G400" s="5" t="s">
        <v>1739</v>
      </c>
      <c r="H400" s="5" t="s">
        <v>12</v>
      </c>
      <c r="I400" s="5" t="s">
        <v>40</v>
      </c>
      <c r="J400" s="5" t="s">
        <v>41</v>
      </c>
      <c r="K400" s="5"/>
    </row>
    <row r="401" spans="1:11">
      <c r="A401" s="5" t="s">
        <v>905</v>
      </c>
      <c r="B401" s="5" t="s">
        <v>1740</v>
      </c>
      <c r="C401" s="5" t="s">
        <v>35</v>
      </c>
      <c r="D401" s="5" t="s">
        <v>1741</v>
      </c>
      <c r="E401" s="5" t="s">
        <v>1742</v>
      </c>
      <c r="F401" s="5" t="s">
        <v>1743</v>
      </c>
      <c r="G401" s="5" t="s">
        <v>1744</v>
      </c>
      <c r="H401" s="5" t="s">
        <v>12</v>
      </c>
      <c r="I401" s="5" t="s">
        <v>40</v>
      </c>
      <c r="J401" s="5" t="s">
        <v>41</v>
      </c>
      <c r="K401" s="5"/>
    </row>
    <row r="402" spans="1:11">
      <c r="A402" s="5" t="s">
        <v>905</v>
      </c>
      <c r="B402" s="5" t="s">
        <v>1745</v>
      </c>
      <c r="C402" s="5" t="s">
        <v>35</v>
      </c>
      <c r="D402" s="5" t="s">
        <v>1746</v>
      </c>
      <c r="E402" s="5" t="s">
        <v>1747</v>
      </c>
      <c r="F402" s="5" t="s">
        <v>1743</v>
      </c>
      <c r="G402" s="5" t="s">
        <v>1748</v>
      </c>
      <c r="H402" s="5" t="s">
        <v>12</v>
      </c>
      <c r="I402" s="5" t="s">
        <v>40</v>
      </c>
      <c r="J402" s="5" t="s">
        <v>41</v>
      </c>
      <c r="K402" s="5"/>
    </row>
    <row r="403" spans="1:11">
      <c r="A403" s="5" t="s">
        <v>905</v>
      </c>
      <c r="B403" s="5" t="s">
        <v>1749</v>
      </c>
      <c r="C403" s="5" t="s">
        <v>35</v>
      </c>
      <c r="D403" s="5" t="s">
        <v>1750</v>
      </c>
      <c r="E403" s="5" t="s">
        <v>1751</v>
      </c>
      <c r="F403" s="5" t="s">
        <v>1743</v>
      </c>
      <c r="G403" s="5" t="s">
        <v>1752</v>
      </c>
      <c r="H403" s="5" t="s">
        <v>12</v>
      </c>
      <c r="I403" s="5" t="s">
        <v>40</v>
      </c>
      <c r="J403" s="5" t="s">
        <v>41</v>
      </c>
      <c r="K403" s="5"/>
    </row>
    <row r="404" spans="1:11">
      <c r="A404" s="5" t="s">
        <v>905</v>
      </c>
      <c r="B404" s="5" t="s">
        <v>1753</v>
      </c>
      <c r="C404" s="5" t="s">
        <v>35</v>
      </c>
      <c r="D404" s="5" t="s">
        <v>1754</v>
      </c>
      <c r="E404" s="5" t="s">
        <v>1755</v>
      </c>
      <c r="F404" s="5" t="s">
        <v>1312</v>
      </c>
      <c r="G404" s="5" t="s">
        <v>1756</v>
      </c>
      <c r="H404" s="5" t="s">
        <v>12</v>
      </c>
      <c r="I404" s="5" t="s">
        <v>40</v>
      </c>
      <c r="J404" s="5" t="s">
        <v>41</v>
      </c>
      <c r="K404" s="5"/>
    </row>
    <row r="405" spans="1:11">
      <c r="A405" s="5" t="s">
        <v>905</v>
      </c>
      <c r="B405" s="5" t="s">
        <v>1757</v>
      </c>
      <c r="C405" s="5" t="s">
        <v>35</v>
      </c>
      <c r="D405" s="5" t="s">
        <v>1758</v>
      </c>
      <c r="E405" s="5" t="s">
        <v>1759</v>
      </c>
      <c r="F405" s="5" t="s">
        <v>1312</v>
      </c>
      <c r="G405" s="5" t="s">
        <v>1760</v>
      </c>
      <c r="H405" s="5" t="s">
        <v>12</v>
      </c>
      <c r="I405" s="5" t="s">
        <v>40</v>
      </c>
      <c r="J405" s="5" t="s">
        <v>41</v>
      </c>
      <c r="K405" s="5"/>
    </row>
    <row r="406" spans="1:11">
      <c r="A406" s="5" t="s">
        <v>1761</v>
      </c>
      <c r="B406" s="5" t="s">
        <v>1762</v>
      </c>
      <c r="C406" s="5" t="s">
        <v>35</v>
      </c>
      <c r="D406" s="5" t="s">
        <v>1763</v>
      </c>
      <c r="E406" s="5" t="s">
        <v>1764</v>
      </c>
      <c r="F406" s="5" t="s">
        <v>71</v>
      </c>
      <c r="G406" s="5" t="s">
        <v>1765</v>
      </c>
      <c r="H406" s="5" t="s">
        <v>12</v>
      </c>
      <c r="I406" s="5" t="s">
        <v>40</v>
      </c>
      <c r="J406" s="5" t="s">
        <v>41</v>
      </c>
      <c r="K406" s="5"/>
    </row>
    <row r="407" spans="1:11">
      <c r="A407" s="5" t="s">
        <v>1761</v>
      </c>
      <c r="B407" s="5" t="s">
        <v>1766</v>
      </c>
      <c r="C407" s="5" t="s">
        <v>35</v>
      </c>
      <c r="D407" s="5" t="s">
        <v>1767</v>
      </c>
      <c r="E407" s="5" t="s">
        <v>1768</v>
      </c>
      <c r="F407" s="5" t="s">
        <v>71</v>
      </c>
      <c r="G407" s="5" t="s">
        <v>1769</v>
      </c>
      <c r="H407" s="5" t="s">
        <v>12</v>
      </c>
      <c r="I407" s="5" t="s">
        <v>40</v>
      </c>
      <c r="J407" s="5" t="s">
        <v>41</v>
      </c>
      <c r="K407" s="5"/>
    </row>
    <row r="408" spans="1:11">
      <c r="A408" s="5" t="s">
        <v>1761</v>
      </c>
      <c r="B408" s="5" t="s">
        <v>1770</v>
      </c>
      <c r="C408" s="5" t="s">
        <v>35</v>
      </c>
      <c r="D408" s="5" t="s">
        <v>1771</v>
      </c>
      <c r="E408" s="5" t="s">
        <v>1772</v>
      </c>
      <c r="F408" s="5" t="s">
        <v>1773</v>
      </c>
      <c r="G408" s="5" t="s">
        <v>1774</v>
      </c>
      <c r="H408" s="5" t="s">
        <v>12</v>
      </c>
      <c r="I408" s="5" t="s">
        <v>40</v>
      </c>
      <c r="J408" s="5" t="s">
        <v>41</v>
      </c>
      <c r="K408" s="5"/>
    </row>
    <row r="409" spans="1:11">
      <c r="A409" s="5" t="s">
        <v>1761</v>
      </c>
      <c r="B409" s="5" t="s">
        <v>1775</v>
      </c>
      <c r="C409" s="5" t="s">
        <v>35</v>
      </c>
      <c r="D409" s="5" t="s">
        <v>1776</v>
      </c>
      <c r="E409" s="5" t="s">
        <v>1777</v>
      </c>
      <c r="F409" s="5" t="s">
        <v>71</v>
      </c>
      <c r="G409" s="5" t="s">
        <v>1778</v>
      </c>
      <c r="H409" s="5" t="s">
        <v>12</v>
      </c>
      <c r="I409" s="5" t="s">
        <v>40</v>
      </c>
      <c r="J409" s="5" t="s">
        <v>41</v>
      </c>
      <c r="K409" s="5"/>
    </row>
    <row r="410" spans="1:11">
      <c r="A410" s="5" t="s">
        <v>1761</v>
      </c>
      <c r="B410" s="5" t="s">
        <v>1779</v>
      </c>
      <c r="C410" s="5" t="s">
        <v>35</v>
      </c>
      <c r="D410" s="5" t="s">
        <v>1780</v>
      </c>
      <c r="E410" s="5" t="s">
        <v>1781</v>
      </c>
      <c r="F410" s="5" t="s">
        <v>71</v>
      </c>
      <c r="G410" s="5" t="s">
        <v>1782</v>
      </c>
      <c r="H410" s="5" t="s">
        <v>12</v>
      </c>
      <c r="I410" s="5" t="s">
        <v>40</v>
      </c>
      <c r="J410" s="5" t="s">
        <v>41</v>
      </c>
      <c r="K410" s="5"/>
    </row>
    <row r="411" spans="1:11">
      <c r="A411" s="5" t="s">
        <v>1761</v>
      </c>
      <c r="B411" s="5" t="s">
        <v>1783</v>
      </c>
      <c r="C411" s="5" t="s">
        <v>35</v>
      </c>
      <c r="D411" s="5" t="s">
        <v>1784</v>
      </c>
      <c r="E411" s="5" t="s">
        <v>1785</v>
      </c>
      <c r="F411" s="5" t="s">
        <v>1773</v>
      </c>
      <c r="G411" s="5" t="s">
        <v>1786</v>
      </c>
      <c r="H411" s="5" t="s">
        <v>12</v>
      </c>
      <c r="I411" s="5" t="s">
        <v>40</v>
      </c>
      <c r="J411" s="5" t="s">
        <v>41</v>
      </c>
      <c r="K411" s="5"/>
    </row>
    <row r="412" spans="1:11">
      <c r="A412" s="5" t="s">
        <v>1761</v>
      </c>
      <c r="B412" s="5" t="s">
        <v>1787</v>
      </c>
      <c r="C412" s="5" t="s">
        <v>35</v>
      </c>
      <c r="D412" s="5" t="s">
        <v>1788</v>
      </c>
      <c r="E412" s="5" t="s">
        <v>1789</v>
      </c>
      <c r="F412" s="5" t="s">
        <v>71</v>
      </c>
      <c r="G412" s="5" t="s">
        <v>1790</v>
      </c>
      <c r="H412" s="5" t="s">
        <v>12</v>
      </c>
      <c r="I412" s="5" t="s">
        <v>40</v>
      </c>
      <c r="J412" s="5" t="s">
        <v>41</v>
      </c>
      <c r="K412" s="5"/>
    </row>
    <row r="413" spans="1:11">
      <c r="A413" s="5" t="s">
        <v>1761</v>
      </c>
      <c r="B413" s="5" t="s">
        <v>1791</v>
      </c>
      <c r="C413" s="5" t="s">
        <v>35</v>
      </c>
      <c r="D413" s="5" t="s">
        <v>1792</v>
      </c>
      <c r="E413" s="5" t="s">
        <v>1793</v>
      </c>
      <c r="F413" s="5" t="s">
        <v>1773</v>
      </c>
      <c r="G413" s="5" t="s">
        <v>1794</v>
      </c>
      <c r="H413" s="5" t="s">
        <v>12</v>
      </c>
      <c r="I413" s="5" t="s">
        <v>40</v>
      </c>
      <c r="J413" s="5" t="s">
        <v>41</v>
      </c>
      <c r="K413" s="5"/>
    </row>
    <row r="414" spans="1:11">
      <c r="A414" s="5" t="s">
        <v>1761</v>
      </c>
      <c r="B414" s="5" t="s">
        <v>1795</v>
      </c>
      <c r="C414" s="5" t="s">
        <v>35</v>
      </c>
      <c r="D414" s="5" t="s">
        <v>1796</v>
      </c>
      <c r="E414" s="5" t="s">
        <v>1797</v>
      </c>
      <c r="F414" s="5" t="s">
        <v>71</v>
      </c>
      <c r="G414" s="5" t="s">
        <v>1798</v>
      </c>
      <c r="H414" s="5" t="s">
        <v>12</v>
      </c>
      <c r="I414" s="5" t="s">
        <v>40</v>
      </c>
      <c r="J414" s="5" t="s">
        <v>41</v>
      </c>
      <c r="K414" s="5"/>
    </row>
    <row r="415" spans="1:11">
      <c r="A415" s="5" t="s">
        <v>1761</v>
      </c>
      <c r="B415" s="5" t="s">
        <v>1799</v>
      </c>
      <c r="C415" s="5" t="s">
        <v>35</v>
      </c>
      <c r="D415" s="5" t="s">
        <v>1800</v>
      </c>
      <c r="E415" s="5" t="s">
        <v>1801</v>
      </c>
      <c r="F415" s="5" t="s">
        <v>1802</v>
      </c>
      <c r="G415" s="5" t="s">
        <v>1803</v>
      </c>
      <c r="H415" s="5" t="s">
        <v>12</v>
      </c>
      <c r="I415" s="5" t="s">
        <v>40</v>
      </c>
      <c r="J415" s="5" t="s">
        <v>41</v>
      </c>
      <c r="K415" s="5"/>
    </row>
    <row r="416" spans="1:11">
      <c r="A416" s="5" t="s">
        <v>1761</v>
      </c>
      <c r="B416" s="5" t="s">
        <v>1804</v>
      </c>
      <c r="C416" s="5" t="s">
        <v>35</v>
      </c>
      <c r="D416" s="5" t="s">
        <v>1805</v>
      </c>
      <c r="E416" s="5" t="s">
        <v>1806</v>
      </c>
      <c r="F416" s="5" t="s">
        <v>1807</v>
      </c>
      <c r="G416" s="5" t="s">
        <v>1808</v>
      </c>
      <c r="H416" s="5" t="s">
        <v>12</v>
      </c>
      <c r="I416" s="5" t="s">
        <v>40</v>
      </c>
      <c r="J416" s="5" t="s">
        <v>41</v>
      </c>
      <c r="K416" s="5"/>
    </row>
    <row r="417" spans="1:11">
      <c r="A417" s="5" t="s">
        <v>1761</v>
      </c>
      <c r="B417" s="5" t="s">
        <v>1809</v>
      </c>
      <c r="C417" s="5" t="s">
        <v>35</v>
      </c>
      <c r="D417" s="5" t="s">
        <v>1810</v>
      </c>
      <c r="E417" s="5" t="s">
        <v>1811</v>
      </c>
      <c r="F417" s="5" t="s">
        <v>1812</v>
      </c>
      <c r="G417" s="5" t="s">
        <v>1813</v>
      </c>
      <c r="H417" s="5" t="s">
        <v>12</v>
      </c>
      <c r="I417" s="5" t="s">
        <v>40</v>
      </c>
      <c r="J417" s="5" t="s">
        <v>41</v>
      </c>
      <c r="K417" s="5"/>
    </row>
    <row r="418" spans="1:11">
      <c r="A418" s="5" t="s">
        <v>1761</v>
      </c>
      <c r="B418" s="5" t="s">
        <v>1814</v>
      </c>
      <c r="C418" s="5" t="s">
        <v>35</v>
      </c>
      <c r="D418" s="5" t="s">
        <v>1815</v>
      </c>
      <c r="E418" s="5" t="s">
        <v>1816</v>
      </c>
      <c r="F418" s="5" t="s">
        <v>1817</v>
      </c>
      <c r="G418" s="5" t="s">
        <v>1818</v>
      </c>
      <c r="H418" s="5" t="s">
        <v>12</v>
      </c>
      <c r="I418" s="5" t="s">
        <v>40</v>
      </c>
      <c r="J418" s="5" t="s">
        <v>41</v>
      </c>
      <c r="K418" s="5"/>
    </row>
    <row r="419" spans="1:11">
      <c r="A419" s="5" t="s">
        <v>1761</v>
      </c>
      <c r="B419" s="5" t="s">
        <v>1819</v>
      </c>
      <c r="C419" s="5" t="s">
        <v>35</v>
      </c>
      <c r="D419" s="5" t="s">
        <v>1820</v>
      </c>
      <c r="E419" s="5" t="s">
        <v>1821</v>
      </c>
      <c r="F419" s="5" t="s">
        <v>1822</v>
      </c>
      <c r="G419" s="5" t="s">
        <v>1823</v>
      </c>
      <c r="H419" s="5" t="s">
        <v>12</v>
      </c>
      <c r="I419" s="5" t="s">
        <v>40</v>
      </c>
      <c r="J419" s="5" t="s">
        <v>41</v>
      </c>
      <c r="K419" s="5"/>
    </row>
    <row r="420" spans="1:11">
      <c r="A420" s="5" t="s">
        <v>1761</v>
      </c>
      <c r="B420" s="5" t="s">
        <v>1824</v>
      </c>
      <c r="C420" s="5" t="s">
        <v>35</v>
      </c>
      <c r="D420" s="5" t="s">
        <v>1825</v>
      </c>
      <c r="E420" s="5" t="s">
        <v>1826</v>
      </c>
      <c r="F420" s="5" t="s">
        <v>1827</v>
      </c>
      <c r="G420" s="5" t="s">
        <v>1828</v>
      </c>
      <c r="H420" s="5" t="s">
        <v>12</v>
      </c>
      <c r="I420" s="5" t="s">
        <v>40</v>
      </c>
      <c r="J420" s="5" t="s">
        <v>41</v>
      </c>
      <c r="K420" s="5"/>
    </row>
    <row r="421" spans="1:11">
      <c r="A421" s="5" t="s">
        <v>1761</v>
      </c>
      <c r="B421" s="5" t="s">
        <v>1829</v>
      </c>
      <c r="C421" s="5" t="s">
        <v>35</v>
      </c>
      <c r="D421" s="5" t="s">
        <v>1830</v>
      </c>
      <c r="E421" s="5" t="s">
        <v>1831</v>
      </c>
      <c r="F421" s="5" t="s">
        <v>1832</v>
      </c>
      <c r="G421" s="5" t="s">
        <v>1833</v>
      </c>
      <c r="H421" s="5" t="s">
        <v>12</v>
      </c>
      <c r="I421" s="5" t="s">
        <v>40</v>
      </c>
      <c r="J421" s="5" t="s">
        <v>41</v>
      </c>
      <c r="K421" s="5"/>
    </row>
    <row r="422" spans="1:11">
      <c r="A422" s="5" t="s">
        <v>1761</v>
      </c>
      <c r="B422" s="5" t="s">
        <v>1834</v>
      </c>
      <c r="C422" s="5" t="s">
        <v>35</v>
      </c>
      <c r="D422" s="5" t="s">
        <v>1835</v>
      </c>
      <c r="E422" s="5" t="s">
        <v>1836</v>
      </c>
      <c r="F422" s="5" t="s">
        <v>1837</v>
      </c>
      <c r="G422" s="5" t="s">
        <v>1838</v>
      </c>
      <c r="H422" s="5" t="s">
        <v>12</v>
      </c>
      <c r="I422" s="5" t="s">
        <v>40</v>
      </c>
      <c r="J422" s="5" t="s">
        <v>41</v>
      </c>
      <c r="K422" s="5"/>
    </row>
    <row r="423" spans="1:11">
      <c r="A423" s="5" t="s">
        <v>1761</v>
      </c>
      <c r="B423" s="5" t="s">
        <v>1839</v>
      </c>
      <c r="C423" s="5" t="s">
        <v>35</v>
      </c>
      <c r="D423" s="5" t="s">
        <v>1840</v>
      </c>
      <c r="E423" s="5" t="s">
        <v>1841</v>
      </c>
      <c r="F423" s="5" t="s">
        <v>1837</v>
      </c>
      <c r="G423" s="5" t="s">
        <v>1842</v>
      </c>
      <c r="H423" s="5" t="s">
        <v>12</v>
      </c>
      <c r="I423" s="5" t="s">
        <v>40</v>
      </c>
      <c r="J423" s="5" t="s">
        <v>41</v>
      </c>
      <c r="K423" s="5"/>
    </row>
    <row r="424" spans="1:11">
      <c r="A424" s="5" t="s">
        <v>1761</v>
      </c>
      <c r="B424" s="5" t="s">
        <v>1843</v>
      </c>
      <c r="C424" s="5" t="s">
        <v>35</v>
      </c>
      <c r="D424" s="5" t="s">
        <v>1844</v>
      </c>
      <c r="E424" s="5" t="s">
        <v>1845</v>
      </c>
      <c r="F424" s="5" t="s">
        <v>1837</v>
      </c>
      <c r="G424" s="5" t="s">
        <v>1846</v>
      </c>
      <c r="H424" s="5" t="s">
        <v>12</v>
      </c>
      <c r="I424" s="5" t="s">
        <v>40</v>
      </c>
      <c r="J424" s="5" t="s">
        <v>41</v>
      </c>
      <c r="K424" s="5"/>
    </row>
    <row r="425" spans="1:11">
      <c r="A425" s="5" t="s">
        <v>1847</v>
      </c>
      <c r="B425" s="5" t="s">
        <v>1848</v>
      </c>
      <c r="C425" s="5" t="s">
        <v>35</v>
      </c>
      <c r="D425" s="5" t="s">
        <v>1849</v>
      </c>
      <c r="E425" s="5" t="s">
        <v>1850</v>
      </c>
      <c r="F425" s="5" t="s">
        <v>1851</v>
      </c>
      <c r="G425" s="5" t="s">
        <v>1852</v>
      </c>
      <c r="H425" s="5" t="s">
        <v>12</v>
      </c>
      <c r="I425" s="5" t="s">
        <v>40</v>
      </c>
      <c r="J425" s="5" t="s">
        <v>41</v>
      </c>
      <c r="K425" s="5"/>
    </row>
    <row r="426" spans="1:11">
      <c r="A426" s="5" t="s">
        <v>1847</v>
      </c>
      <c r="B426" s="5" t="s">
        <v>1853</v>
      </c>
      <c r="C426" s="5" t="s">
        <v>35</v>
      </c>
      <c r="D426" s="5" t="s">
        <v>1854</v>
      </c>
      <c r="E426" s="5" t="s">
        <v>1850</v>
      </c>
      <c r="F426" s="5" t="s">
        <v>1851</v>
      </c>
      <c r="G426" s="5" t="s">
        <v>1855</v>
      </c>
      <c r="H426" s="5" t="s">
        <v>12</v>
      </c>
      <c r="I426" s="5" t="s">
        <v>40</v>
      </c>
      <c r="J426" s="5" t="s">
        <v>41</v>
      </c>
      <c r="K426" s="5"/>
    </row>
    <row r="427" spans="1:11">
      <c r="A427" s="5" t="s">
        <v>1847</v>
      </c>
      <c r="B427" s="5" t="s">
        <v>1856</v>
      </c>
      <c r="C427" s="5" t="s">
        <v>35</v>
      </c>
      <c r="D427" s="5" t="s">
        <v>1857</v>
      </c>
      <c r="E427" s="5" t="s">
        <v>1858</v>
      </c>
      <c r="F427" s="5" t="s">
        <v>1859</v>
      </c>
      <c r="G427" s="5" t="s">
        <v>1860</v>
      </c>
      <c r="H427" s="5" t="s">
        <v>12</v>
      </c>
      <c r="I427" s="5" t="s">
        <v>40</v>
      </c>
      <c r="J427" s="5" t="s">
        <v>41</v>
      </c>
      <c r="K427" s="5"/>
    </row>
    <row r="428" spans="1:11">
      <c r="A428" s="5" t="s">
        <v>1847</v>
      </c>
      <c r="B428" s="5" t="s">
        <v>1861</v>
      </c>
      <c r="C428" s="5" t="s">
        <v>35</v>
      </c>
      <c r="D428" s="5" t="s">
        <v>1862</v>
      </c>
      <c r="E428" s="5" t="s">
        <v>1863</v>
      </c>
      <c r="F428" s="5" t="s">
        <v>1864</v>
      </c>
      <c r="G428" s="5" t="s">
        <v>1865</v>
      </c>
      <c r="H428" s="5" t="s">
        <v>12</v>
      </c>
      <c r="I428" s="5" t="s">
        <v>40</v>
      </c>
      <c r="J428" s="5" t="s">
        <v>41</v>
      </c>
      <c r="K428" s="5"/>
    </row>
    <row r="429" spans="1:11">
      <c r="A429" s="5" t="s">
        <v>1847</v>
      </c>
      <c r="B429" s="5" t="s">
        <v>1866</v>
      </c>
      <c r="C429" s="5" t="s">
        <v>35</v>
      </c>
      <c r="D429" s="5" t="s">
        <v>1867</v>
      </c>
      <c r="E429" s="5" t="s">
        <v>1850</v>
      </c>
      <c r="F429" s="5" t="s">
        <v>1851</v>
      </c>
      <c r="G429" s="5" t="s">
        <v>1868</v>
      </c>
      <c r="H429" s="5" t="s">
        <v>12</v>
      </c>
      <c r="I429" s="5" t="s">
        <v>40</v>
      </c>
      <c r="J429" s="5" t="s">
        <v>41</v>
      </c>
      <c r="K429" s="5"/>
    </row>
    <row r="430" spans="1:11">
      <c r="A430" s="5" t="s">
        <v>1847</v>
      </c>
      <c r="B430" s="5" t="s">
        <v>1869</v>
      </c>
      <c r="C430" s="5" t="s">
        <v>35</v>
      </c>
      <c r="D430" s="5" t="s">
        <v>1870</v>
      </c>
      <c r="E430" s="5" t="s">
        <v>1850</v>
      </c>
      <c r="F430" s="5" t="s">
        <v>1851</v>
      </c>
      <c r="G430" s="5" t="s">
        <v>1871</v>
      </c>
      <c r="H430" s="5" t="s">
        <v>12</v>
      </c>
      <c r="I430" s="5" t="s">
        <v>40</v>
      </c>
      <c r="J430" s="5" t="s">
        <v>41</v>
      </c>
      <c r="K430" s="5"/>
    </row>
    <row r="431" spans="1:11">
      <c r="A431" s="5" t="s">
        <v>1847</v>
      </c>
      <c r="B431" s="5" t="s">
        <v>1872</v>
      </c>
      <c r="C431" s="5" t="s">
        <v>35</v>
      </c>
      <c r="D431" s="5" t="s">
        <v>1873</v>
      </c>
      <c r="E431" s="5" t="s">
        <v>1858</v>
      </c>
      <c r="F431" s="5" t="s">
        <v>1859</v>
      </c>
      <c r="G431" s="5" t="s">
        <v>1874</v>
      </c>
      <c r="H431" s="5" t="s">
        <v>12</v>
      </c>
      <c r="I431" s="5" t="s">
        <v>40</v>
      </c>
      <c r="J431" s="5" t="s">
        <v>41</v>
      </c>
      <c r="K431" s="5"/>
    </row>
    <row r="432" spans="1:11">
      <c r="A432" s="5" t="s">
        <v>1847</v>
      </c>
      <c r="B432" s="5" t="s">
        <v>1875</v>
      </c>
      <c r="C432" s="5" t="s">
        <v>35</v>
      </c>
      <c r="D432" s="5" t="s">
        <v>1876</v>
      </c>
      <c r="E432" s="5" t="s">
        <v>1863</v>
      </c>
      <c r="F432" s="5" t="s">
        <v>1864</v>
      </c>
      <c r="G432" s="5" t="s">
        <v>1877</v>
      </c>
      <c r="H432" s="5" t="s">
        <v>12</v>
      </c>
      <c r="I432" s="5" t="s">
        <v>40</v>
      </c>
      <c r="J432" s="5" t="s">
        <v>41</v>
      </c>
      <c r="K432" s="5"/>
    </row>
    <row r="433" spans="1:11">
      <c r="A433" s="5" t="s">
        <v>1847</v>
      </c>
      <c r="B433" s="5" t="s">
        <v>1878</v>
      </c>
      <c r="C433" s="5" t="s">
        <v>35</v>
      </c>
      <c r="D433" s="5" t="s">
        <v>1879</v>
      </c>
      <c r="E433" s="5" t="s">
        <v>1850</v>
      </c>
      <c r="F433" s="5" t="s">
        <v>1851</v>
      </c>
      <c r="G433" s="5" t="s">
        <v>1880</v>
      </c>
      <c r="H433" s="5" t="s">
        <v>12</v>
      </c>
      <c r="I433" s="5" t="s">
        <v>40</v>
      </c>
      <c r="J433" s="5" t="s">
        <v>41</v>
      </c>
      <c r="K433" s="5"/>
    </row>
    <row r="434" spans="1:11">
      <c r="A434" s="5" t="s">
        <v>1847</v>
      </c>
      <c r="B434" s="5" t="s">
        <v>1881</v>
      </c>
      <c r="C434" s="5" t="s">
        <v>35</v>
      </c>
      <c r="D434" s="5" t="s">
        <v>1882</v>
      </c>
      <c r="E434" s="5" t="s">
        <v>1858</v>
      </c>
      <c r="F434" s="5" t="s">
        <v>1859</v>
      </c>
      <c r="G434" s="5" t="s">
        <v>1883</v>
      </c>
      <c r="H434" s="5" t="s">
        <v>12</v>
      </c>
      <c r="I434" s="5" t="s">
        <v>40</v>
      </c>
      <c r="J434" s="5" t="s">
        <v>41</v>
      </c>
      <c r="K434" s="5"/>
    </row>
    <row r="435" spans="1:11">
      <c r="A435" s="5" t="s">
        <v>1847</v>
      </c>
      <c r="B435" s="5" t="s">
        <v>1884</v>
      </c>
      <c r="C435" s="5" t="s">
        <v>35</v>
      </c>
      <c r="D435" s="5" t="s">
        <v>1885</v>
      </c>
      <c r="E435" s="5" t="s">
        <v>1850</v>
      </c>
      <c r="F435" s="5" t="s">
        <v>1851</v>
      </c>
      <c r="G435" s="5" t="s">
        <v>1886</v>
      </c>
      <c r="H435" s="5" t="s">
        <v>12</v>
      </c>
      <c r="I435" s="5" t="s">
        <v>40</v>
      </c>
      <c r="J435" s="5" t="s">
        <v>41</v>
      </c>
      <c r="K435" s="5"/>
    </row>
    <row r="436" spans="1:11">
      <c r="A436" s="5" t="s">
        <v>1847</v>
      </c>
      <c r="B436" s="5" t="s">
        <v>1887</v>
      </c>
      <c r="C436" s="5" t="s">
        <v>35</v>
      </c>
      <c r="D436" s="5" t="s">
        <v>1888</v>
      </c>
      <c r="E436" s="5" t="s">
        <v>1889</v>
      </c>
      <c r="F436" s="5" t="s">
        <v>1890</v>
      </c>
      <c r="G436" s="5" t="s">
        <v>1891</v>
      </c>
      <c r="H436" s="5" t="s">
        <v>12</v>
      </c>
      <c r="I436" s="5" t="s">
        <v>40</v>
      </c>
      <c r="J436" s="5" t="s">
        <v>41</v>
      </c>
      <c r="K436" s="5"/>
    </row>
    <row r="437" spans="1:11">
      <c r="A437" s="5" t="s">
        <v>1847</v>
      </c>
      <c r="B437" s="5" t="s">
        <v>1892</v>
      </c>
      <c r="C437" s="5" t="s">
        <v>35</v>
      </c>
      <c r="D437" s="5" t="s">
        <v>1893</v>
      </c>
      <c r="E437" s="5" t="s">
        <v>1894</v>
      </c>
      <c r="F437" s="5" t="s">
        <v>1895</v>
      </c>
      <c r="G437" s="5" t="s">
        <v>1896</v>
      </c>
      <c r="H437" s="5" t="s">
        <v>12</v>
      </c>
      <c r="I437" s="5" t="s">
        <v>40</v>
      </c>
      <c r="J437" s="5" t="s">
        <v>41</v>
      </c>
      <c r="K437" s="5"/>
    </row>
    <row r="438" spans="1:11">
      <c r="A438" s="5" t="s">
        <v>1847</v>
      </c>
      <c r="B438" s="5" t="s">
        <v>1897</v>
      </c>
      <c r="C438" s="5" t="s">
        <v>35</v>
      </c>
      <c r="D438" s="5" t="s">
        <v>1898</v>
      </c>
      <c r="E438" s="5" t="s">
        <v>1899</v>
      </c>
      <c r="F438" s="5" t="s">
        <v>1895</v>
      </c>
      <c r="G438" s="5" t="s">
        <v>1900</v>
      </c>
      <c r="H438" s="5" t="s">
        <v>12</v>
      </c>
      <c r="I438" s="5" t="s">
        <v>40</v>
      </c>
      <c r="J438" s="5" t="s">
        <v>41</v>
      </c>
      <c r="K438" s="5"/>
    </row>
    <row r="439" spans="1:11">
      <c r="A439" s="5" t="s">
        <v>1847</v>
      </c>
      <c r="B439" s="5" t="s">
        <v>1901</v>
      </c>
      <c r="C439" s="5" t="s">
        <v>35</v>
      </c>
      <c r="D439" s="5" t="s">
        <v>1902</v>
      </c>
      <c r="E439" s="5" t="s">
        <v>1899</v>
      </c>
      <c r="F439" s="5" t="s">
        <v>1895</v>
      </c>
      <c r="G439" s="5" t="s">
        <v>1903</v>
      </c>
      <c r="H439" s="5" t="s">
        <v>12</v>
      </c>
      <c r="I439" s="5" t="s">
        <v>40</v>
      </c>
      <c r="J439" s="5" t="s">
        <v>41</v>
      </c>
      <c r="K439" s="5"/>
    </row>
    <row r="440" spans="1:11">
      <c r="A440" s="5" t="s">
        <v>1847</v>
      </c>
      <c r="B440" s="5" t="s">
        <v>1904</v>
      </c>
      <c r="C440" s="5" t="s">
        <v>35</v>
      </c>
      <c r="D440" s="5" t="s">
        <v>1905</v>
      </c>
      <c r="E440" s="5" t="s">
        <v>1899</v>
      </c>
      <c r="F440" s="5" t="s">
        <v>1895</v>
      </c>
      <c r="G440" s="5" t="s">
        <v>1906</v>
      </c>
      <c r="H440" s="5" t="s">
        <v>12</v>
      </c>
      <c r="I440" s="5" t="s">
        <v>40</v>
      </c>
      <c r="J440" s="5" t="s">
        <v>41</v>
      </c>
      <c r="K440" s="5"/>
    </row>
    <row r="441" spans="1:11">
      <c r="A441" s="5" t="s">
        <v>1847</v>
      </c>
      <c r="B441" s="5" t="s">
        <v>1907</v>
      </c>
      <c r="C441" s="5" t="s">
        <v>35</v>
      </c>
      <c r="D441" s="5" t="s">
        <v>1908</v>
      </c>
      <c r="E441" s="5" t="s">
        <v>1909</v>
      </c>
      <c r="F441" s="5" t="s">
        <v>1910</v>
      </c>
      <c r="G441" s="5" t="s">
        <v>1911</v>
      </c>
      <c r="H441" s="5" t="s">
        <v>12</v>
      </c>
      <c r="I441" s="5" t="s">
        <v>40</v>
      </c>
      <c r="J441" s="5" t="s">
        <v>41</v>
      </c>
      <c r="K441" s="5"/>
    </row>
    <row r="442" spans="1:11">
      <c r="A442" s="5" t="s">
        <v>1847</v>
      </c>
      <c r="B442" s="5" t="s">
        <v>1912</v>
      </c>
      <c r="C442" s="5" t="s">
        <v>35</v>
      </c>
      <c r="D442" s="5" t="s">
        <v>1913</v>
      </c>
      <c r="E442" s="5" t="s">
        <v>1914</v>
      </c>
      <c r="F442" s="5" t="s">
        <v>1915</v>
      </c>
      <c r="G442" s="5" t="s">
        <v>1916</v>
      </c>
      <c r="H442" s="5" t="s">
        <v>12</v>
      </c>
      <c r="I442" s="5" t="s">
        <v>40</v>
      </c>
      <c r="J442" s="5" t="s">
        <v>41</v>
      </c>
      <c r="K442" s="5"/>
    </row>
    <row r="443" spans="1:11">
      <c r="A443" s="5" t="s">
        <v>1847</v>
      </c>
      <c r="B443" s="5" t="s">
        <v>1917</v>
      </c>
      <c r="C443" s="5" t="s">
        <v>35</v>
      </c>
      <c r="D443" s="5" t="s">
        <v>1918</v>
      </c>
      <c r="E443" s="5" t="s">
        <v>1919</v>
      </c>
      <c r="F443" s="5" t="s">
        <v>1915</v>
      </c>
      <c r="G443" s="5" t="s">
        <v>1920</v>
      </c>
      <c r="H443" s="5" t="s">
        <v>12</v>
      </c>
      <c r="I443" s="5" t="s">
        <v>40</v>
      </c>
      <c r="J443" s="5" t="s">
        <v>41</v>
      </c>
      <c r="K443" s="5"/>
    </row>
    <row r="444" spans="1:11">
      <c r="A444" s="5" t="s">
        <v>1847</v>
      </c>
      <c r="B444" s="5" t="s">
        <v>1921</v>
      </c>
      <c r="C444" s="5" t="s">
        <v>35</v>
      </c>
      <c r="D444" s="5" t="s">
        <v>1922</v>
      </c>
      <c r="E444" s="5" t="s">
        <v>1923</v>
      </c>
      <c r="F444" s="5" t="s">
        <v>1915</v>
      </c>
      <c r="G444" s="5" t="s">
        <v>1924</v>
      </c>
      <c r="H444" s="5" t="s">
        <v>12</v>
      </c>
      <c r="I444" s="5" t="s">
        <v>40</v>
      </c>
      <c r="J444" s="5" t="s">
        <v>41</v>
      </c>
      <c r="K444" s="5"/>
    </row>
    <row r="445" spans="1:11">
      <c r="A445" s="5" t="s">
        <v>1847</v>
      </c>
      <c r="B445" s="5" t="s">
        <v>1925</v>
      </c>
      <c r="C445" s="5" t="s">
        <v>35</v>
      </c>
      <c r="D445" s="5" t="s">
        <v>1926</v>
      </c>
      <c r="E445" s="5" t="s">
        <v>1927</v>
      </c>
      <c r="F445" s="5" t="s">
        <v>1928</v>
      </c>
      <c r="G445" s="5" t="s">
        <v>1929</v>
      </c>
      <c r="H445" s="5" t="s">
        <v>12</v>
      </c>
      <c r="I445" s="5" t="s">
        <v>40</v>
      </c>
      <c r="J445" s="5" t="s">
        <v>41</v>
      </c>
      <c r="K445" s="5"/>
    </row>
    <row r="446" spans="1:11">
      <c r="A446" s="5" t="s">
        <v>1847</v>
      </c>
      <c r="B446" s="5" t="s">
        <v>1930</v>
      </c>
      <c r="C446" s="5" t="s">
        <v>35</v>
      </c>
      <c r="D446" s="5" t="s">
        <v>1931</v>
      </c>
      <c r="E446" s="5" t="s">
        <v>1932</v>
      </c>
      <c r="F446" s="5" t="s">
        <v>1933</v>
      </c>
      <c r="G446" s="5" t="s">
        <v>1934</v>
      </c>
      <c r="H446" s="5" t="s">
        <v>12</v>
      </c>
      <c r="I446" s="5" t="s">
        <v>40</v>
      </c>
      <c r="J446" s="5" t="s">
        <v>41</v>
      </c>
      <c r="K446" s="5"/>
    </row>
    <row r="447" spans="1:11">
      <c r="A447" s="5" t="s">
        <v>1847</v>
      </c>
      <c r="B447" s="5" t="s">
        <v>1935</v>
      </c>
      <c r="C447" s="5" t="s">
        <v>35</v>
      </c>
      <c r="D447" s="5" t="s">
        <v>1936</v>
      </c>
      <c r="E447" s="5" t="s">
        <v>1937</v>
      </c>
      <c r="F447" s="5" t="s">
        <v>1915</v>
      </c>
      <c r="G447" s="5" t="s">
        <v>1938</v>
      </c>
      <c r="H447" s="5" t="s">
        <v>12</v>
      </c>
      <c r="I447" s="5" t="s">
        <v>40</v>
      </c>
      <c r="J447" s="5" t="s">
        <v>41</v>
      </c>
      <c r="K447" s="5"/>
    </row>
    <row r="448" spans="1:11">
      <c r="A448" s="5" t="s">
        <v>1847</v>
      </c>
      <c r="B448" s="5" t="s">
        <v>1939</v>
      </c>
      <c r="C448" s="5" t="s">
        <v>35</v>
      </c>
      <c r="D448" s="5" t="s">
        <v>1940</v>
      </c>
      <c r="E448" s="5" t="s">
        <v>1941</v>
      </c>
      <c r="F448" s="5" t="s">
        <v>1942</v>
      </c>
      <c r="G448" s="5" t="s">
        <v>1943</v>
      </c>
      <c r="H448" s="5" t="s">
        <v>12</v>
      </c>
      <c r="I448" s="5" t="s">
        <v>40</v>
      </c>
      <c r="J448" s="5" t="s">
        <v>41</v>
      </c>
      <c r="K448" s="5"/>
    </row>
    <row r="449" spans="1:11">
      <c r="A449" s="5" t="s">
        <v>1847</v>
      </c>
      <c r="B449" s="5" t="s">
        <v>1944</v>
      </c>
      <c r="C449" s="5" t="s">
        <v>35</v>
      </c>
      <c r="D449" s="5" t="s">
        <v>1945</v>
      </c>
      <c r="E449" s="5" t="s">
        <v>1946</v>
      </c>
      <c r="F449" s="5" t="s">
        <v>1947</v>
      </c>
      <c r="G449" s="5" t="s">
        <v>1948</v>
      </c>
      <c r="H449" s="5" t="s">
        <v>12</v>
      </c>
      <c r="I449" s="5" t="s">
        <v>40</v>
      </c>
      <c r="J449" s="5" t="s">
        <v>41</v>
      </c>
      <c r="K449" s="5"/>
    </row>
    <row r="450" spans="1:11">
      <c r="A450" s="5" t="s">
        <v>1847</v>
      </c>
      <c r="B450" s="5" t="s">
        <v>1949</v>
      </c>
      <c r="C450" s="5" t="s">
        <v>35</v>
      </c>
      <c r="D450" s="5" t="s">
        <v>1950</v>
      </c>
      <c r="E450" s="5" t="s">
        <v>1951</v>
      </c>
      <c r="F450" s="5" t="s">
        <v>1952</v>
      </c>
      <c r="G450" s="5" t="s">
        <v>1953</v>
      </c>
      <c r="H450" s="5" t="s">
        <v>12</v>
      </c>
      <c r="I450" s="5" t="s">
        <v>40</v>
      </c>
      <c r="J450" s="5" t="s">
        <v>41</v>
      </c>
      <c r="K450" s="5"/>
    </row>
    <row r="451" spans="1:11">
      <c r="A451" s="5" t="s">
        <v>1847</v>
      </c>
      <c r="B451" s="5" t="s">
        <v>1954</v>
      </c>
      <c r="C451" s="5" t="s">
        <v>35</v>
      </c>
      <c r="D451" s="5" t="s">
        <v>1955</v>
      </c>
      <c r="E451" s="5" t="s">
        <v>1956</v>
      </c>
      <c r="F451" s="5" t="s">
        <v>1957</v>
      </c>
      <c r="G451" s="5" t="s">
        <v>1958</v>
      </c>
      <c r="H451" s="5" t="s">
        <v>12</v>
      </c>
      <c r="I451" s="5" t="s">
        <v>40</v>
      </c>
      <c r="J451" s="5" t="s">
        <v>41</v>
      </c>
      <c r="K451" s="5"/>
    </row>
    <row r="452" spans="1:11">
      <c r="A452" s="5" t="s">
        <v>1847</v>
      </c>
      <c r="B452" s="5" t="s">
        <v>1959</v>
      </c>
      <c r="C452" s="5" t="s">
        <v>35</v>
      </c>
      <c r="D452" s="5" t="s">
        <v>1960</v>
      </c>
      <c r="E452" s="5" t="s">
        <v>1961</v>
      </c>
      <c r="F452" s="5" t="s">
        <v>1962</v>
      </c>
      <c r="G452" s="5" t="s">
        <v>3384</v>
      </c>
      <c r="H452" s="5" t="s">
        <v>12</v>
      </c>
      <c r="I452" s="5" t="s">
        <v>40</v>
      </c>
      <c r="J452" s="5" t="s">
        <v>41</v>
      </c>
      <c r="K452" s="5"/>
    </row>
    <row r="453" spans="1:11">
      <c r="A453" s="5" t="s">
        <v>1847</v>
      </c>
      <c r="B453" s="5" t="s">
        <v>1963</v>
      </c>
      <c r="C453" s="5" t="s">
        <v>35</v>
      </c>
      <c r="D453" s="5" t="s">
        <v>1964</v>
      </c>
      <c r="E453" s="5" t="s">
        <v>1965</v>
      </c>
      <c r="F453" s="5" t="s">
        <v>1966</v>
      </c>
      <c r="G453" s="5" t="s">
        <v>1967</v>
      </c>
      <c r="H453" s="5" t="s">
        <v>12</v>
      </c>
      <c r="I453" s="5" t="s">
        <v>40</v>
      </c>
      <c r="J453" s="5" t="s">
        <v>41</v>
      </c>
      <c r="K453" s="5"/>
    </row>
    <row r="454" spans="1:11">
      <c r="A454" s="5" t="s">
        <v>1847</v>
      </c>
      <c r="B454" s="5" t="s">
        <v>1968</v>
      </c>
      <c r="C454" s="5" t="s">
        <v>35</v>
      </c>
      <c r="D454" s="5" t="s">
        <v>1969</v>
      </c>
      <c r="E454" s="5" t="s">
        <v>1970</v>
      </c>
      <c r="F454" s="5" t="s">
        <v>1971</v>
      </c>
      <c r="G454" s="5" t="s">
        <v>1972</v>
      </c>
      <c r="H454" s="5" t="s">
        <v>12</v>
      </c>
      <c r="I454" s="5" t="s">
        <v>40</v>
      </c>
      <c r="J454" s="5" t="s">
        <v>41</v>
      </c>
      <c r="K454" s="5"/>
    </row>
    <row r="455" spans="1:11">
      <c r="A455" s="5" t="s">
        <v>1847</v>
      </c>
      <c r="B455" s="5" t="s">
        <v>1973</v>
      </c>
      <c r="C455" s="5" t="s">
        <v>35</v>
      </c>
      <c r="D455" s="5" t="s">
        <v>1974</v>
      </c>
      <c r="E455" s="5" t="s">
        <v>1975</v>
      </c>
      <c r="F455" s="5" t="s">
        <v>1976</v>
      </c>
      <c r="G455" s="5" t="s">
        <v>1977</v>
      </c>
      <c r="H455" s="5" t="s">
        <v>12</v>
      </c>
      <c r="I455" s="5" t="s">
        <v>40</v>
      </c>
      <c r="J455" s="5" t="s">
        <v>41</v>
      </c>
      <c r="K455" s="5"/>
    </row>
    <row r="456" spans="1:11">
      <c r="A456" s="5" t="s">
        <v>1978</v>
      </c>
      <c r="B456" s="5" t="s">
        <v>1979</v>
      </c>
      <c r="C456" s="5" t="s">
        <v>35</v>
      </c>
      <c r="D456" s="5" t="s">
        <v>1980</v>
      </c>
      <c r="E456" s="5" t="s">
        <v>1981</v>
      </c>
      <c r="F456" s="5" t="s">
        <v>1982</v>
      </c>
      <c r="G456" s="5" t="s">
        <v>1983</v>
      </c>
      <c r="H456" s="5" t="s">
        <v>12</v>
      </c>
      <c r="I456" s="5" t="s">
        <v>40</v>
      </c>
      <c r="J456" s="5" t="s">
        <v>41</v>
      </c>
      <c r="K456" s="5"/>
    </row>
    <row r="457" spans="1:11">
      <c r="A457" s="5" t="s">
        <v>1978</v>
      </c>
      <c r="B457" s="5" t="s">
        <v>1984</v>
      </c>
      <c r="C457" s="5" t="s">
        <v>35</v>
      </c>
      <c r="D457" s="5" t="s">
        <v>1985</v>
      </c>
      <c r="E457" s="5" t="s">
        <v>1986</v>
      </c>
      <c r="F457" s="5" t="s">
        <v>1987</v>
      </c>
      <c r="G457" s="5" t="s">
        <v>1988</v>
      </c>
      <c r="H457" s="5" t="s">
        <v>12</v>
      </c>
      <c r="I457" s="5" t="s">
        <v>40</v>
      </c>
      <c r="J457" s="5" t="s">
        <v>41</v>
      </c>
      <c r="K457" s="5"/>
    </row>
    <row r="458" spans="1:11">
      <c r="A458" s="5" t="s">
        <v>1978</v>
      </c>
      <c r="B458" s="5" t="s">
        <v>1989</v>
      </c>
      <c r="C458" s="5" t="s">
        <v>35</v>
      </c>
      <c r="D458" s="5" t="s">
        <v>1990</v>
      </c>
      <c r="E458" s="5" t="s">
        <v>1991</v>
      </c>
      <c r="F458" s="5" t="s">
        <v>1982</v>
      </c>
      <c r="G458" s="5" t="s">
        <v>1992</v>
      </c>
      <c r="H458" s="5" t="s">
        <v>12</v>
      </c>
      <c r="I458" s="5" t="s">
        <v>40</v>
      </c>
      <c r="J458" s="5" t="s">
        <v>41</v>
      </c>
      <c r="K458" s="5"/>
    </row>
    <row r="459" spans="1:11">
      <c r="A459" s="5" t="s">
        <v>1978</v>
      </c>
      <c r="B459" s="5" t="s">
        <v>1993</v>
      </c>
      <c r="C459" s="5" t="s">
        <v>35</v>
      </c>
      <c r="D459" s="5" t="s">
        <v>1994</v>
      </c>
      <c r="E459" s="5" t="s">
        <v>1995</v>
      </c>
      <c r="F459" s="5" t="s">
        <v>1996</v>
      </c>
      <c r="G459" s="5" t="s">
        <v>1997</v>
      </c>
      <c r="H459" s="5" t="s">
        <v>12</v>
      </c>
      <c r="I459" s="5" t="s">
        <v>40</v>
      </c>
      <c r="J459" s="5" t="s">
        <v>41</v>
      </c>
      <c r="K459" s="5"/>
    </row>
    <row r="460" spans="1:11">
      <c r="A460" s="5" t="s">
        <v>1978</v>
      </c>
      <c r="B460" s="5" t="s">
        <v>1998</v>
      </c>
      <c r="C460" s="5" t="s">
        <v>35</v>
      </c>
      <c r="D460" s="5" t="s">
        <v>1999</v>
      </c>
      <c r="E460" s="5" t="s">
        <v>2000</v>
      </c>
      <c r="F460" s="5" t="s">
        <v>2001</v>
      </c>
      <c r="G460" s="5" t="s">
        <v>2002</v>
      </c>
      <c r="H460" s="5" t="s">
        <v>12</v>
      </c>
      <c r="I460" s="5" t="s">
        <v>40</v>
      </c>
      <c r="J460" s="5" t="s">
        <v>41</v>
      </c>
      <c r="K460" s="5"/>
    </row>
    <row r="461" spans="1:11">
      <c r="A461" s="5" t="s">
        <v>1978</v>
      </c>
      <c r="B461" s="5" t="s">
        <v>2003</v>
      </c>
      <c r="C461" s="5" t="s">
        <v>35</v>
      </c>
      <c r="D461" s="5" t="s">
        <v>2004</v>
      </c>
      <c r="E461" s="5" t="s">
        <v>2005</v>
      </c>
      <c r="F461" s="5" t="s">
        <v>2006</v>
      </c>
      <c r="G461" s="5" t="s">
        <v>2007</v>
      </c>
      <c r="H461" s="5" t="s">
        <v>12</v>
      </c>
      <c r="I461" s="5" t="s">
        <v>40</v>
      </c>
      <c r="J461" s="5" t="s">
        <v>41</v>
      </c>
      <c r="K461" s="5"/>
    </row>
    <row r="462" spans="1:11">
      <c r="A462" s="5" t="s">
        <v>1978</v>
      </c>
      <c r="B462" s="5" t="s">
        <v>2008</v>
      </c>
      <c r="C462" s="5" t="s">
        <v>35</v>
      </c>
      <c r="D462" s="5" t="s">
        <v>2009</v>
      </c>
      <c r="E462" s="5" t="s">
        <v>2010</v>
      </c>
      <c r="F462" s="5" t="s">
        <v>2011</v>
      </c>
      <c r="G462" s="5" t="s">
        <v>2012</v>
      </c>
      <c r="H462" s="5" t="s">
        <v>12</v>
      </c>
      <c r="I462" s="5" t="s">
        <v>40</v>
      </c>
      <c r="J462" s="5" t="s">
        <v>41</v>
      </c>
      <c r="K462" s="5"/>
    </row>
    <row r="463" spans="1:11">
      <c r="A463" s="5" t="s">
        <v>1978</v>
      </c>
      <c r="B463" s="5" t="s">
        <v>2013</v>
      </c>
      <c r="C463" s="5" t="s">
        <v>35</v>
      </c>
      <c r="D463" s="5" t="s">
        <v>2014</v>
      </c>
      <c r="E463" s="5" t="s">
        <v>2015</v>
      </c>
      <c r="F463" s="5" t="s">
        <v>2016</v>
      </c>
      <c r="G463" s="5" t="s">
        <v>2017</v>
      </c>
      <c r="H463" s="5" t="s">
        <v>12</v>
      </c>
      <c r="I463" s="5" t="s">
        <v>40</v>
      </c>
      <c r="J463" s="5" t="s">
        <v>41</v>
      </c>
      <c r="K463" s="5"/>
    </row>
    <row r="464" spans="1:11">
      <c r="A464" s="5" t="s">
        <v>1978</v>
      </c>
      <c r="B464" s="5" t="s">
        <v>2018</v>
      </c>
      <c r="C464" s="5" t="s">
        <v>35</v>
      </c>
      <c r="D464" s="5" t="s">
        <v>2019</v>
      </c>
      <c r="E464" s="5" t="s">
        <v>2020</v>
      </c>
      <c r="F464" s="5" t="s">
        <v>2021</v>
      </c>
      <c r="G464" s="5" t="s">
        <v>2022</v>
      </c>
      <c r="H464" s="5" t="s">
        <v>12</v>
      </c>
      <c r="I464" s="5" t="s">
        <v>40</v>
      </c>
      <c r="J464" s="5" t="s">
        <v>41</v>
      </c>
      <c r="K464" s="5"/>
    </row>
    <row r="465" spans="1:11">
      <c r="A465" s="5" t="s">
        <v>1978</v>
      </c>
      <c r="B465" s="5" t="s">
        <v>2023</v>
      </c>
      <c r="C465" s="5" t="s">
        <v>35</v>
      </c>
      <c r="D465" s="5" t="s">
        <v>2024</v>
      </c>
      <c r="E465" s="5" t="s">
        <v>2025</v>
      </c>
      <c r="F465" s="5" t="s">
        <v>2026</v>
      </c>
      <c r="G465" s="5" t="s">
        <v>2027</v>
      </c>
      <c r="H465" s="5" t="s">
        <v>12</v>
      </c>
      <c r="I465" s="5" t="s">
        <v>40</v>
      </c>
      <c r="J465" s="5" t="s">
        <v>41</v>
      </c>
      <c r="K465" s="5"/>
    </row>
    <row r="466" spans="1:11">
      <c r="A466" s="5" t="s">
        <v>1978</v>
      </c>
      <c r="B466" s="5" t="s">
        <v>2028</v>
      </c>
      <c r="C466" s="5" t="s">
        <v>35</v>
      </c>
      <c r="D466" s="5" t="s">
        <v>2029</v>
      </c>
      <c r="E466" s="5" t="s">
        <v>2030</v>
      </c>
      <c r="F466" s="5" t="s">
        <v>2031</v>
      </c>
      <c r="G466" s="5" t="s">
        <v>2032</v>
      </c>
      <c r="H466" s="5" t="s">
        <v>12</v>
      </c>
      <c r="I466" s="5" t="s">
        <v>40</v>
      </c>
      <c r="J466" s="5" t="s">
        <v>41</v>
      </c>
      <c r="K466" s="5"/>
    </row>
    <row r="467" spans="1:11">
      <c r="A467" s="5" t="s">
        <v>1978</v>
      </c>
      <c r="B467" s="5" t="s">
        <v>2033</v>
      </c>
      <c r="C467" s="5" t="s">
        <v>35</v>
      </c>
      <c r="D467" s="5" t="s">
        <v>2034</v>
      </c>
      <c r="E467" s="5" t="s">
        <v>2035</v>
      </c>
      <c r="F467" s="5" t="s">
        <v>2036</v>
      </c>
      <c r="G467" s="5" t="s">
        <v>2037</v>
      </c>
      <c r="H467" s="5" t="s">
        <v>12</v>
      </c>
      <c r="I467" s="5" t="s">
        <v>40</v>
      </c>
      <c r="J467" s="5" t="s">
        <v>41</v>
      </c>
      <c r="K467" s="5"/>
    </row>
    <row r="468" spans="1:11">
      <c r="A468" s="5" t="s">
        <v>1978</v>
      </c>
      <c r="B468" s="5" t="s">
        <v>2038</v>
      </c>
      <c r="C468" s="5" t="s">
        <v>35</v>
      </c>
      <c r="D468" s="5" t="s">
        <v>2039</v>
      </c>
      <c r="E468" s="5" t="s">
        <v>2040</v>
      </c>
      <c r="F468" s="5" t="s">
        <v>2041</v>
      </c>
      <c r="G468" s="5" t="s">
        <v>2042</v>
      </c>
      <c r="H468" s="5" t="s">
        <v>12</v>
      </c>
      <c r="I468" s="5" t="s">
        <v>40</v>
      </c>
      <c r="J468" s="5" t="s">
        <v>41</v>
      </c>
      <c r="K468" s="5"/>
    </row>
    <row r="469" spans="1:11">
      <c r="A469" s="5" t="s">
        <v>1978</v>
      </c>
      <c r="B469" s="5" t="s">
        <v>2043</v>
      </c>
      <c r="C469" s="5" t="s">
        <v>35</v>
      </c>
      <c r="D469" s="5" t="s">
        <v>2044</v>
      </c>
      <c r="E469" s="5" t="s">
        <v>2045</v>
      </c>
      <c r="F469" s="5" t="s">
        <v>2046</v>
      </c>
      <c r="G469" s="5" t="s">
        <v>2047</v>
      </c>
      <c r="H469" s="5" t="s">
        <v>12</v>
      </c>
      <c r="I469" s="5" t="s">
        <v>40</v>
      </c>
      <c r="J469" s="5" t="s">
        <v>41</v>
      </c>
      <c r="K469" s="5"/>
    </row>
    <row r="470" spans="1:11">
      <c r="A470" s="5" t="s">
        <v>1978</v>
      </c>
      <c r="B470" s="5" t="s">
        <v>2048</v>
      </c>
      <c r="C470" s="5" t="s">
        <v>35</v>
      </c>
      <c r="D470" s="5" t="s">
        <v>2049</v>
      </c>
      <c r="E470" s="5" t="s">
        <v>2050</v>
      </c>
      <c r="F470" s="5" t="s">
        <v>2051</v>
      </c>
      <c r="G470" s="5" t="s">
        <v>2052</v>
      </c>
      <c r="H470" s="5" t="s">
        <v>12</v>
      </c>
      <c r="I470" s="5" t="s">
        <v>40</v>
      </c>
      <c r="J470" s="5" t="s">
        <v>41</v>
      </c>
      <c r="K470" s="5"/>
    </row>
    <row r="471" spans="1:11">
      <c r="A471" s="5" t="s">
        <v>1978</v>
      </c>
      <c r="B471" s="5" t="s">
        <v>2053</v>
      </c>
      <c r="C471" s="5" t="s">
        <v>35</v>
      </c>
      <c r="D471" s="5" t="s">
        <v>2054</v>
      </c>
      <c r="E471" s="5" t="s">
        <v>2055</v>
      </c>
      <c r="F471" s="5" t="s">
        <v>2051</v>
      </c>
      <c r="G471" s="5" t="s">
        <v>2056</v>
      </c>
      <c r="H471" s="5" t="s">
        <v>12</v>
      </c>
      <c r="I471" s="5" t="s">
        <v>40</v>
      </c>
      <c r="J471" s="5" t="s">
        <v>41</v>
      </c>
      <c r="K471" s="5"/>
    </row>
    <row r="472" spans="1:11">
      <c r="A472" s="5" t="s">
        <v>1978</v>
      </c>
      <c r="B472" s="5" t="s">
        <v>2057</v>
      </c>
      <c r="C472" s="5" t="s">
        <v>35</v>
      </c>
      <c r="D472" s="5" t="s">
        <v>2058</v>
      </c>
      <c r="E472" s="5" t="s">
        <v>2059</v>
      </c>
      <c r="F472" s="5" t="s">
        <v>2060</v>
      </c>
      <c r="G472" s="5" t="s">
        <v>2061</v>
      </c>
      <c r="H472" s="5" t="s">
        <v>12</v>
      </c>
      <c r="I472" s="5" t="s">
        <v>40</v>
      </c>
      <c r="J472" s="5" t="s">
        <v>41</v>
      </c>
      <c r="K472" s="5"/>
    </row>
    <row r="473" spans="1:11">
      <c r="A473" s="5" t="s">
        <v>1978</v>
      </c>
      <c r="B473" s="5" t="s">
        <v>2062</v>
      </c>
      <c r="C473" s="5" t="s">
        <v>35</v>
      </c>
      <c r="D473" s="5" t="s">
        <v>2063</v>
      </c>
      <c r="E473" s="5" t="s">
        <v>2064</v>
      </c>
      <c r="F473" s="5" t="s">
        <v>2065</v>
      </c>
      <c r="G473" s="5" t="s">
        <v>2066</v>
      </c>
      <c r="H473" s="5" t="s">
        <v>12</v>
      </c>
      <c r="I473" s="5" t="s">
        <v>40</v>
      </c>
      <c r="J473" s="5" t="s">
        <v>41</v>
      </c>
      <c r="K473" s="5"/>
    </row>
    <row r="474" spans="1:11">
      <c r="A474" s="5" t="s">
        <v>1978</v>
      </c>
      <c r="B474" s="5" t="s">
        <v>2067</v>
      </c>
      <c r="C474" s="5" t="s">
        <v>35</v>
      </c>
      <c r="D474" s="5" t="s">
        <v>2068</v>
      </c>
      <c r="E474" s="5" t="s">
        <v>2069</v>
      </c>
      <c r="F474" s="5" t="s">
        <v>2060</v>
      </c>
      <c r="G474" s="5" t="s">
        <v>2070</v>
      </c>
      <c r="H474" s="5" t="s">
        <v>12</v>
      </c>
      <c r="I474" s="5" t="s">
        <v>40</v>
      </c>
      <c r="J474" s="5" t="s">
        <v>41</v>
      </c>
      <c r="K474" s="5"/>
    </row>
    <row r="475" spans="1:11">
      <c r="A475" s="5" t="s">
        <v>1978</v>
      </c>
      <c r="B475" s="5" t="s">
        <v>2071</v>
      </c>
      <c r="C475" s="5" t="s">
        <v>35</v>
      </c>
      <c r="D475" s="5" t="s">
        <v>2072</v>
      </c>
      <c r="E475" s="5" t="s">
        <v>2069</v>
      </c>
      <c r="F475" s="5" t="s">
        <v>2060</v>
      </c>
      <c r="G475" s="5" t="s">
        <v>2073</v>
      </c>
      <c r="H475" s="5" t="s">
        <v>12</v>
      </c>
      <c r="I475" s="5" t="s">
        <v>40</v>
      </c>
      <c r="J475" s="5" t="s">
        <v>41</v>
      </c>
      <c r="K475" s="5"/>
    </row>
    <row r="476" spans="1:11">
      <c r="A476" s="5" t="s">
        <v>1978</v>
      </c>
      <c r="B476" s="5" t="s">
        <v>2074</v>
      </c>
      <c r="C476" s="5" t="s">
        <v>35</v>
      </c>
      <c r="D476" s="5" t="s">
        <v>2075</v>
      </c>
      <c r="E476" s="5" t="s">
        <v>2076</v>
      </c>
      <c r="F476" s="5" t="s">
        <v>2077</v>
      </c>
      <c r="G476" s="5" t="s">
        <v>2078</v>
      </c>
      <c r="H476" s="5" t="s">
        <v>12</v>
      </c>
      <c r="I476" s="5" t="s">
        <v>40</v>
      </c>
      <c r="J476" s="5" t="s">
        <v>41</v>
      </c>
      <c r="K476" s="5"/>
    </row>
    <row r="477" spans="1:11">
      <c r="A477" s="5" t="s">
        <v>1978</v>
      </c>
      <c r="B477" s="5" t="s">
        <v>2079</v>
      </c>
      <c r="C477" s="5" t="s">
        <v>35</v>
      </c>
      <c r="D477" s="5" t="s">
        <v>2080</v>
      </c>
      <c r="E477" s="5" t="s">
        <v>2081</v>
      </c>
      <c r="F477" s="5" t="s">
        <v>2082</v>
      </c>
      <c r="G477" s="5" t="s">
        <v>2083</v>
      </c>
      <c r="H477" s="5" t="s">
        <v>12</v>
      </c>
      <c r="I477" s="5" t="s">
        <v>40</v>
      </c>
      <c r="J477" s="5" t="s">
        <v>41</v>
      </c>
      <c r="K477" s="5"/>
    </row>
    <row r="478" spans="1:11">
      <c r="A478" s="5" t="s">
        <v>1978</v>
      </c>
      <c r="B478" s="5" t="s">
        <v>2084</v>
      </c>
      <c r="C478" s="5" t="s">
        <v>35</v>
      </c>
      <c r="D478" s="5" t="s">
        <v>2085</v>
      </c>
      <c r="E478" s="5" t="s">
        <v>2086</v>
      </c>
      <c r="F478" s="5" t="s">
        <v>2087</v>
      </c>
      <c r="G478" s="5" t="s">
        <v>2088</v>
      </c>
      <c r="H478" s="5" t="s">
        <v>12</v>
      </c>
      <c r="I478" s="5" t="s">
        <v>40</v>
      </c>
      <c r="J478" s="5" t="s">
        <v>41</v>
      </c>
      <c r="K478" s="5"/>
    </row>
    <row r="479" spans="1:11">
      <c r="A479" s="5" t="s">
        <v>1978</v>
      </c>
      <c r="B479" s="5" t="s">
        <v>2089</v>
      </c>
      <c r="C479" s="5" t="s">
        <v>35</v>
      </c>
      <c r="D479" s="5" t="s">
        <v>2090</v>
      </c>
      <c r="E479" s="5" t="s">
        <v>2091</v>
      </c>
      <c r="F479" s="5" t="s">
        <v>1693</v>
      </c>
      <c r="G479" s="5" t="s">
        <v>2092</v>
      </c>
      <c r="H479" s="5" t="s">
        <v>12</v>
      </c>
      <c r="I479" s="5" t="s">
        <v>40</v>
      </c>
      <c r="J479" s="5" t="s">
        <v>41</v>
      </c>
      <c r="K479" s="5"/>
    </row>
    <row r="480" spans="1:11">
      <c r="A480" s="5" t="s">
        <v>1978</v>
      </c>
      <c r="B480" s="5" t="s">
        <v>2093</v>
      </c>
      <c r="C480" s="5" t="s">
        <v>35</v>
      </c>
      <c r="D480" s="5" t="s">
        <v>2094</v>
      </c>
      <c r="E480" s="5" t="s">
        <v>2095</v>
      </c>
      <c r="F480" s="5" t="s">
        <v>2096</v>
      </c>
      <c r="G480" s="5" t="s">
        <v>2097</v>
      </c>
      <c r="H480" s="5" t="s">
        <v>12</v>
      </c>
      <c r="I480" s="5" t="s">
        <v>40</v>
      </c>
      <c r="J480" s="5" t="s">
        <v>41</v>
      </c>
      <c r="K480" s="5"/>
    </row>
    <row r="481" spans="1:11">
      <c r="A481" s="5" t="s">
        <v>1978</v>
      </c>
      <c r="B481" s="5" t="s">
        <v>2098</v>
      </c>
      <c r="C481" s="5" t="s">
        <v>35</v>
      </c>
      <c r="D481" s="5" t="s">
        <v>2099</v>
      </c>
      <c r="E481" s="5" t="s">
        <v>2100</v>
      </c>
      <c r="F481" s="5" t="s">
        <v>1693</v>
      </c>
      <c r="G481" s="5" t="s">
        <v>2101</v>
      </c>
      <c r="H481" s="5" t="s">
        <v>12</v>
      </c>
      <c r="I481" s="5" t="s">
        <v>40</v>
      </c>
      <c r="J481" s="5" t="s">
        <v>41</v>
      </c>
      <c r="K481" s="5"/>
    </row>
    <row r="482" spans="1:11">
      <c r="A482" s="5" t="s">
        <v>1978</v>
      </c>
      <c r="B482" s="5" t="s">
        <v>2102</v>
      </c>
      <c r="C482" s="5" t="s">
        <v>35</v>
      </c>
      <c r="D482" s="5" t="s">
        <v>2103</v>
      </c>
      <c r="E482" s="5" t="s">
        <v>2104</v>
      </c>
      <c r="F482" s="5" t="s">
        <v>1693</v>
      </c>
      <c r="G482" s="5" t="s">
        <v>2105</v>
      </c>
      <c r="H482" s="5" t="s">
        <v>12</v>
      </c>
      <c r="I482" s="5" t="s">
        <v>40</v>
      </c>
      <c r="J482" s="5" t="s">
        <v>41</v>
      </c>
      <c r="K482" s="5"/>
    </row>
    <row r="483" spans="1:11">
      <c r="A483" s="5" t="s">
        <v>1978</v>
      </c>
      <c r="B483" s="5" t="s">
        <v>2106</v>
      </c>
      <c r="C483" s="5" t="s">
        <v>35</v>
      </c>
      <c r="D483" s="5" t="s">
        <v>2107</v>
      </c>
      <c r="E483" s="5" t="s">
        <v>2108</v>
      </c>
      <c r="F483" s="5" t="s">
        <v>1693</v>
      </c>
      <c r="G483" s="5" t="s">
        <v>2109</v>
      </c>
      <c r="H483" s="5" t="s">
        <v>12</v>
      </c>
      <c r="I483" s="5" t="s">
        <v>40</v>
      </c>
      <c r="J483" s="5" t="s">
        <v>41</v>
      </c>
      <c r="K483" s="5"/>
    </row>
    <row r="484" spans="1:11">
      <c r="A484" s="5" t="s">
        <v>1978</v>
      </c>
      <c r="B484" s="5" t="s">
        <v>2110</v>
      </c>
      <c r="C484" s="5" t="s">
        <v>35</v>
      </c>
      <c r="D484" s="5" t="s">
        <v>2111</v>
      </c>
      <c r="E484" s="5" t="s">
        <v>2112</v>
      </c>
      <c r="F484" s="5" t="s">
        <v>2113</v>
      </c>
      <c r="G484" s="5" t="s">
        <v>2114</v>
      </c>
      <c r="H484" s="5" t="s">
        <v>12</v>
      </c>
      <c r="I484" s="5" t="s">
        <v>40</v>
      </c>
      <c r="J484" s="5" t="s">
        <v>41</v>
      </c>
      <c r="K484" s="5"/>
    </row>
    <row r="485" spans="1:11">
      <c r="A485" s="5" t="s">
        <v>1978</v>
      </c>
      <c r="B485" s="5" t="s">
        <v>2115</v>
      </c>
      <c r="C485" s="5" t="s">
        <v>35</v>
      </c>
      <c r="D485" s="5" t="s">
        <v>2116</v>
      </c>
      <c r="E485" s="5" t="s">
        <v>2117</v>
      </c>
      <c r="F485" s="5" t="s">
        <v>2113</v>
      </c>
      <c r="G485" s="5" t="s">
        <v>2118</v>
      </c>
      <c r="H485" s="5" t="s">
        <v>12</v>
      </c>
      <c r="I485" s="5" t="s">
        <v>40</v>
      </c>
      <c r="J485" s="5" t="s">
        <v>41</v>
      </c>
      <c r="K485" s="5"/>
    </row>
    <row r="486" spans="1:11">
      <c r="A486" s="5" t="s">
        <v>1978</v>
      </c>
      <c r="B486" s="5" t="s">
        <v>2119</v>
      </c>
      <c r="C486" s="5" t="s">
        <v>35</v>
      </c>
      <c r="D486" s="5" t="s">
        <v>2120</v>
      </c>
      <c r="E486" s="5" t="s">
        <v>2121</v>
      </c>
      <c r="F486" s="5" t="s">
        <v>2122</v>
      </c>
      <c r="G486" s="5" t="s">
        <v>2123</v>
      </c>
      <c r="H486" s="5" t="s">
        <v>12</v>
      </c>
      <c r="I486" s="5" t="s">
        <v>40</v>
      </c>
      <c r="J486" s="5" t="s">
        <v>41</v>
      </c>
      <c r="K486" s="5"/>
    </row>
    <row r="487" spans="1:11">
      <c r="A487" s="5" t="s">
        <v>1978</v>
      </c>
      <c r="B487" s="5" t="s">
        <v>2124</v>
      </c>
      <c r="C487" s="5" t="s">
        <v>35</v>
      </c>
      <c r="D487" s="5" t="s">
        <v>2125</v>
      </c>
      <c r="E487" s="5" t="s">
        <v>2126</v>
      </c>
      <c r="F487" s="5" t="s">
        <v>2127</v>
      </c>
      <c r="G487" s="5" t="s">
        <v>2128</v>
      </c>
      <c r="H487" s="5" t="s">
        <v>12</v>
      </c>
      <c r="I487" s="5" t="s">
        <v>40</v>
      </c>
      <c r="J487" s="5" t="s">
        <v>41</v>
      </c>
      <c r="K487" s="5"/>
    </row>
    <row r="488" spans="1:11">
      <c r="A488" s="5" t="s">
        <v>1978</v>
      </c>
      <c r="B488" s="5" t="s">
        <v>2129</v>
      </c>
      <c r="C488" s="5" t="s">
        <v>35</v>
      </c>
      <c r="D488" s="5" t="s">
        <v>2130</v>
      </c>
      <c r="E488" s="5" t="s">
        <v>2131</v>
      </c>
      <c r="F488" s="5" t="s">
        <v>1693</v>
      </c>
      <c r="G488" s="5" t="s">
        <v>2132</v>
      </c>
      <c r="H488" s="5" t="s">
        <v>12</v>
      </c>
      <c r="I488" s="5" t="s">
        <v>40</v>
      </c>
      <c r="J488" s="5" t="s">
        <v>41</v>
      </c>
      <c r="K488" s="5"/>
    </row>
    <row r="489" spans="1:11">
      <c r="A489" s="5" t="s">
        <v>2133</v>
      </c>
      <c r="B489" s="5" t="s">
        <v>2134</v>
      </c>
      <c r="C489" s="5" t="s">
        <v>35</v>
      </c>
      <c r="D489" s="5" t="s">
        <v>2135</v>
      </c>
      <c r="E489" s="5" t="s">
        <v>2136</v>
      </c>
      <c r="F489" s="5" t="s">
        <v>2137</v>
      </c>
      <c r="G489" s="5" t="s">
        <v>2138</v>
      </c>
      <c r="H489" s="5" t="s">
        <v>12</v>
      </c>
      <c r="I489" s="5" t="s">
        <v>40</v>
      </c>
      <c r="J489" s="5" t="s">
        <v>41</v>
      </c>
      <c r="K489" s="5"/>
    </row>
    <row r="490" spans="1:11">
      <c r="A490" s="5" t="s">
        <v>2133</v>
      </c>
      <c r="B490" s="5" t="s">
        <v>2139</v>
      </c>
      <c r="C490" s="5" t="s">
        <v>35</v>
      </c>
      <c r="D490" s="5" t="s">
        <v>2140</v>
      </c>
      <c r="E490" s="5" t="s">
        <v>2141</v>
      </c>
      <c r="F490" s="5" t="s">
        <v>2137</v>
      </c>
      <c r="G490" s="5" t="s">
        <v>2142</v>
      </c>
      <c r="H490" s="5" t="s">
        <v>12</v>
      </c>
      <c r="I490" s="5" t="s">
        <v>40</v>
      </c>
      <c r="J490" s="5" t="s">
        <v>41</v>
      </c>
      <c r="K490" s="5"/>
    </row>
    <row r="491" spans="1:11">
      <c r="A491" s="5" t="s">
        <v>2133</v>
      </c>
      <c r="B491" s="5" t="s">
        <v>2143</v>
      </c>
      <c r="C491" s="5" t="s">
        <v>35</v>
      </c>
      <c r="D491" s="5" t="s">
        <v>2144</v>
      </c>
      <c r="E491" s="5" t="s">
        <v>2145</v>
      </c>
      <c r="F491" s="5" t="s">
        <v>2137</v>
      </c>
      <c r="G491" s="5" t="s">
        <v>2146</v>
      </c>
      <c r="H491" s="5" t="s">
        <v>12</v>
      </c>
      <c r="I491" s="5" t="s">
        <v>40</v>
      </c>
      <c r="J491" s="5" t="s">
        <v>41</v>
      </c>
      <c r="K491" s="5"/>
    </row>
    <row r="492" spans="1:11">
      <c r="A492" s="5" t="s">
        <v>2133</v>
      </c>
      <c r="B492" s="5" t="s">
        <v>2147</v>
      </c>
      <c r="C492" s="5" t="s">
        <v>35</v>
      </c>
      <c r="D492" s="5" t="s">
        <v>2148</v>
      </c>
      <c r="E492" s="5" t="s">
        <v>2149</v>
      </c>
      <c r="F492" s="5" t="s">
        <v>2137</v>
      </c>
      <c r="G492" s="5" t="s">
        <v>2150</v>
      </c>
      <c r="H492" s="5" t="s">
        <v>12</v>
      </c>
      <c r="I492" s="5" t="s">
        <v>40</v>
      </c>
      <c r="J492" s="5" t="s">
        <v>41</v>
      </c>
      <c r="K492" s="5"/>
    </row>
    <row r="493" spans="1:11">
      <c r="A493" s="5" t="s">
        <v>2133</v>
      </c>
      <c r="B493" s="5" t="s">
        <v>2151</v>
      </c>
      <c r="C493" s="5" t="s">
        <v>35</v>
      </c>
      <c r="D493" s="5" t="s">
        <v>2152</v>
      </c>
      <c r="E493" s="5" t="s">
        <v>2153</v>
      </c>
      <c r="F493" s="5" t="s">
        <v>2137</v>
      </c>
      <c r="G493" s="5" t="s">
        <v>2154</v>
      </c>
      <c r="H493" s="5" t="s">
        <v>12</v>
      </c>
      <c r="I493" s="5" t="s">
        <v>40</v>
      </c>
      <c r="J493" s="5" t="s">
        <v>41</v>
      </c>
      <c r="K493" s="5"/>
    </row>
    <row r="494" spans="1:11">
      <c r="A494" s="5" t="s">
        <v>2133</v>
      </c>
      <c r="B494" s="5" t="s">
        <v>2155</v>
      </c>
      <c r="C494" s="5" t="s">
        <v>35</v>
      </c>
      <c r="D494" s="5" t="s">
        <v>2156</v>
      </c>
      <c r="E494" s="5" t="s">
        <v>2157</v>
      </c>
      <c r="F494" s="5" t="s">
        <v>2158</v>
      </c>
      <c r="G494" s="5" t="s">
        <v>2159</v>
      </c>
      <c r="H494" s="5" t="s">
        <v>12</v>
      </c>
      <c r="I494" s="5" t="s">
        <v>40</v>
      </c>
      <c r="J494" s="5" t="s">
        <v>41</v>
      </c>
      <c r="K494" s="5"/>
    </row>
    <row r="495" spans="1:11">
      <c r="A495" s="5" t="s">
        <v>2133</v>
      </c>
      <c r="B495" s="5" t="s">
        <v>2160</v>
      </c>
      <c r="C495" s="5" t="s">
        <v>35</v>
      </c>
      <c r="D495" s="5" t="s">
        <v>2161</v>
      </c>
      <c r="E495" s="5" t="s">
        <v>2162</v>
      </c>
      <c r="F495" s="5" t="s">
        <v>2158</v>
      </c>
      <c r="G495" s="5" t="s">
        <v>2163</v>
      </c>
      <c r="H495" s="5" t="s">
        <v>12</v>
      </c>
      <c r="I495" s="5" t="s">
        <v>40</v>
      </c>
      <c r="J495" s="5" t="s">
        <v>41</v>
      </c>
      <c r="K495" s="5"/>
    </row>
    <row r="496" spans="1:11">
      <c r="A496" s="5" t="s">
        <v>2133</v>
      </c>
      <c r="B496" s="5" t="s">
        <v>2164</v>
      </c>
      <c r="C496" s="5" t="s">
        <v>35</v>
      </c>
      <c r="D496" s="5" t="s">
        <v>2165</v>
      </c>
      <c r="E496" s="5" t="s">
        <v>2166</v>
      </c>
      <c r="F496" s="5" t="s">
        <v>2167</v>
      </c>
      <c r="G496" s="5" t="s">
        <v>2168</v>
      </c>
      <c r="H496" s="5" t="s">
        <v>12</v>
      </c>
      <c r="I496" s="5" t="s">
        <v>40</v>
      </c>
      <c r="J496" s="5" t="s">
        <v>41</v>
      </c>
      <c r="K496" s="5"/>
    </row>
    <row r="497" spans="1:11">
      <c r="A497" s="5" t="s">
        <v>2133</v>
      </c>
      <c r="B497" s="5" t="s">
        <v>2169</v>
      </c>
      <c r="C497" s="5" t="s">
        <v>35</v>
      </c>
      <c r="D497" s="5" t="s">
        <v>2170</v>
      </c>
      <c r="E497" s="5" t="s">
        <v>2171</v>
      </c>
      <c r="F497" s="5" t="s">
        <v>2158</v>
      </c>
      <c r="G497" s="5" t="s">
        <v>2172</v>
      </c>
      <c r="H497" s="5" t="s">
        <v>12</v>
      </c>
      <c r="I497" s="5" t="s">
        <v>40</v>
      </c>
      <c r="J497" s="5" t="s">
        <v>41</v>
      </c>
      <c r="K497" s="5"/>
    </row>
    <row r="498" spans="1:11">
      <c r="A498" s="5" t="s">
        <v>2133</v>
      </c>
      <c r="B498" s="5" t="s">
        <v>2173</v>
      </c>
      <c r="C498" s="5" t="s">
        <v>35</v>
      </c>
      <c r="D498" s="5" t="s">
        <v>2174</v>
      </c>
      <c r="E498" s="5" t="s">
        <v>2175</v>
      </c>
      <c r="F498" s="5" t="s">
        <v>2158</v>
      </c>
      <c r="G498" s="5" t="s">
        <v>2176</v>
      </c>
      <c r="H498" s="5" t="s">
        <v>12</v>
      </c>
      <c r="I498" s="5" t="s">
        <v>40</v>
      </c>
      <c r="J498" s="5" t="s">
        <v>41</v>
      </c>
      <c r="K498" s="5"/>
    </row>
    <row r="499" spans="1:11">
      <c r="A499" s="5" t="s">
        <v>2133</v>
      </c>
      <c r="B499" s="5" t="s">
        <v>2177</v>
      </c>
      <c r="C499" s="5" t="s">
        <v>35</v>
      </c>
      <c r="D499" s="5" t="s">
        <v>2178</v>
      </c>
      <c r="E499" s="5" t="s">
        <v>2179</v>
      </c>
      <c r="F499" s="5" t="s">
        <v>2180</v>
      </c>
      <c r="G499" s="5" t="s">
        <v>2181</v>
      </c>
      <c r="H499" s="5" t="s">
        <v>12</v>
      </c>
      <c r="I499" s="5" t="s">
        <v>40</v>
      </c>
      <c r="J499" s="5" t="s">
        <v>41</v>
      </c>
      <c r="K499" s="5"/>
    </row>
    <row r="500" spans="1:11">
      <c r="A500" s="5" t="s">
        <v>2133</v>
      </c>
      <c r="B500" s="5" t="s">
        <v>2182</v>
      </c>
      <c r="C500" s="5" t="s">
        <v>35</v>
      </c>
      <c r="D500" s="5" t="s">
        <v>2183</v>
      </c>
      <c r="E500" s="5" t="s">
        <v>2184</v>
      </c>
      <c r="F500" s="5" t="s">
        <v>2185</v>
      </c>
      <c r="G500" s="5" t="s">
        <v>2186</v>
      </c>
      <c r="H500" s="5" t="s">
        <v>12</v>
      </c>
      <c r="I500" s="5" t="s">
        <v>40</v>
      </c>
      <c r="J500" s="5" t="s">
        <v>41</v>
      </c>
      <c r="K500" s="5"/>
    </row>
    <row r="501" spans="1:11">
      <c r="A501" s="5" t="s">
        <v>2133</v>
      </c>
      <c r="B501" s="5" t="s">
        <v>2187</v>
      </c>
      <c r="C501" s="5" t="s">
        <v>35</v>
      </c>
      <c r="D501" s="5" t="s">
        <v>2188</v>
      </c>
      <c r="E501" s="5" t="s">
        <v>2189</v>
      </c>
      <c r="F501" s="5" t="s">
        <v>2185</v>
      </c>
      <c r="G501" s="5" t="s">
        <v>2190</v>
      </c>
      <c r="H501" s="5" t="s">
        <v>12</v>
      </c>
      <c r="I501" s="5" t="s">
        <v>40</v>
      </c>
      <c r="J501" s="5" t="s">
        <v>41</v>
      </c>
      <c r="K501" s="5"/>
    </row>
    <row r="502" spans="1:11">
      <c r="A502" s="5" t="s">
        <v>2133</v>
      </c>
      <c r="B502" s="5" t="s">
        <v>2191</v>
      </c>
      <c r="C502" s="5" t="s">
        <v>35</v>
      </c>
      <c r="D502" s="5" t="s">
        <v>2192</v>
      </c>
      <c r="E502" s="5" t="s">
        <v>2193</v>
      </c>
      <c r="F502" s="5" t="s">
        <v>2158</v>
      </c>
      <c r="G502" s="5" t="s">
        <v>2194</v>
      </c>
      <c r="H502" s="5" t="s">
        <v>12</v>
      </c>
      <c r="I502" s="5" t="s">
        <v>40</v>
      </c>
      <c r="J502" s="5" t="s">
        <v>41</v>
      </c>
      <c r="K502" s="5"/>
    </row>
    <row r="503" spans="1:11">
      <c r="A503" s="5" t="s">
        <v>2133</v>
      </c>
      <c r="B503" s="5" t="s">
        <v>2195</v>
      </c>
      <c r="C503" s="5" t="s">
        <v>35</v>
      </c>
      <c r="D503" s="5" t="s">
        <v>2196</v>
      </c>
      <c r="E503" s="5" t="s">
        <v>2197</v>
      </c>
      <c r="F503" s="5" t="s">
        <v>2198</v>
      </c>
      <c r="G503" s="5" t="s">
        <v>2199</v>
      </c>
      <c r="H503" s="5" t="s">
        <v>12</v>
      </c>
      <c r="I503" s="5" t="s">
        <v>40</v>
      </c>
      <c r="J503" s="5" t="s">
        <v>41</v>
      </c>
      <c r="K503" s="5"/>
    </row>
    <row r="504" spans="1:11">
      <c r="A504" s="5" t="s">
        <v>2133</v>
      </c>
      <c r="B504" s="5" t="s">
        <v>2200</v>
      </c>
      <c r="C504" s="5" t="s">
        <v>35</v>
      </c>
      <c r="D504" s="5" t="s">
        <v>2201</v>
      </c>
      <c r="E504" s="5" t="s">
        <v>2202</v>
      </c>
      <c r="F504" s="5" t="s">
        <v>2198</v>
      </c>
      <c r="G504" s="5" t="s">
        <v>2203</v>
      </c>
      <c r="H504" s="5" t="s">
        <v>12</v>
      </c>
      <c r="I504" s="5" t="s">
        <v>40</v>
      </c>
      <c r="J504" s="5" t="s">
        <v>41</v>
      </c>
      <c r="K504" s="5"/>
    </row>
    <row r="505" spans="1:11">
      <c r="A505" s="5" t="s">
        <v>2133</v>
      </c>
      <c r="B505" s="5" t="s">
        <v>2204</v>
      </c>
      <c r="C505" s="5" t="s">
        <v>35</v>
      </c>
      <c r="D505" s="5" t="s">
        <v>2205</v>
      </c>
      <c r="E505" s="5" t="s">
        <v>2206</v>
      </c>
      <c r="F505" s="5" t="s">
        <v>2158</v>
      </c>
      <c r="G505" s="5" t="s">
        <v>2207</v>
      </c>
      <c r="H505" s="5" t="s">
        <v>12</v>
      </c>
      <c r="I505" s="5" t="s">
        <v>40</v>
      </c>
      <c r="J505" s="5" t="s">
        <v>41</v>
      </c>
      <c r="K505" s="5"/>
    </row>
    <row r="506" spans="1:11">
      <c r="A506" s="5" t="s">
        <v>2133</v>
      </c>
      <c r="B506" s="5" t="s">
        <v>2208</v>
      </c>
      <c r="C506" s="5" t="s">
        <v>35</v>
      </c>
      <c r="D506" s="5" t="s">
        <v>2209</v>
      </c>
      <c r="E506" s="5" t="s">
        <v>2210</v>
      </c>
      <c r="F506" s="5" t="s">
        <v>2158</v>
      </c>
      <c r="G506" s="5" t="s">
        <v>2211</v>
      </c>
      <c r="H506" s="5" t="s">
        <v>12</v>
      </c>
      <c r="I506" s="5" t="s">
        <v>40</v>
      </c>
      <c r="J506" s="5" t="s">
        <v>41</v>
      </c>
      <c r="K506" s="5"/>
    </row>
    <row r="507" spans="1:11">
      <c r="A507" s="5" t="s">
        <v>2133</v>
      </c>
      <c r="B507" s="5" t="s">
        <v>2212</v>
      </c>
      <c r="C507" s="5" t="s">
        <v>35</v>
      </c>
      <c r="D507" s="5" t="s">
        <v>2213</v>
      </c>
      <c r="E507" s="5" t="s">
        <v>2214</v>
      </c>
      <c r="F507" s="5" t="s">
        <v>2215</v>
      </c>
      <c r="G507" s="5" t="s">
        <v>2216</v>
      </c>
      <c r="H507" s="5" t="s">
        <v>12</v>
      </c>
      <c r="I507" s="5" t="s">
        <v>40</v>
      </c>
      <c r="J507" s="5" t="s">
        <v>41</v>
      </c>
      <c r="K507" s="5"/>
    </row>
    <row r="508" spans="1:11">
      <c r="A508" s="5" t="s">
        <v>2133</v>
      </c>
      <c r="B508" s="5" t="s">
        <v>2217</v>
      </c>
      <c r="C508" s="5" t="s">
        <v>35</v>
      </c>
      <c r="D508" s="5" t="s">
        <v>2218</v>
      </c>
      <c r="E508" s="5" t="s">
        <v>2219</v>
      </c>
      <c r="F508" s="5" t="s">
        <v>2220</v>
      </c>
      <c r="G508" s="5" t="s">
        <v>2221</v>
      </c>
      <c r="H508" s="5" t="s">
        <v>12</v>
      </c>
      <c r="I508" s="5" t="s">
        <v>40</v>
      </c>
      <c r="J508" s="5" t="s">
        <v>41</v>
      </c>
      <c r="K508" s="5"/>
    </row>
    <row r="509" spans="1:11">
      <c r="A509" s="5" t="s">
        <v>2133</v>
      </c>
      <c r="B509" s="5" t="s">
        <v>2222</v>
      </c>
      <c r="C509" s="5" t="s">
        <v>35</v>
      </c>
      <c r="D509" s="5" t="s">
        <v>2223</v>
      </c>
      <c r="E509" s="5" t="s">
        <v>2224</v>
      </c>
      <c r="F509" s="5" t="s">
        <v>2220</v>
      </c>
      <c r="G509" s="5" t="s">
        <v>2225</v>
      </c>
      <c r="H509" s="5" t="s">
        <v>12</v>
      </c>
      <c r="I509" s="5" t="s">
        <v>40</v>
      </c>
      <c r="J509" s="5" t="s">
        <v>41</v>
      </c>
      <c r="K509" s="5"/>
    </row>
    <row r="510" spans="1:11">
      <c r="A510" s="5" t="s">
        <v>2133</v>
      </c>
      <c r="B510" s="5" t="s">
        <v>2226</v>
      </c>
      <c r="C510" s="5" t="s">
        <v>35</v>
      </c>
      <c r="D510" s="5" t="s">
        <v>2227</v>
      </c>
      <c r="E510" s="5" t="s">
        <v>2228</v>
      </c>
      <c r="F510" s="5" t="s">
        <v>2180</v>
      </c>
      <c r="G510" s="5" t="s">
        <v>2229</v>
      </c>
      <c r="H510" s="5" t="s">
        <v>12</v>
      </c>
      <c r="I510" s="5" t="s">
        <v>40</v>
      </c>
      <c r="J510" s="5" t="s">
        <v>41</v>
      </c>
      <c r="K510" s="5"/>
    </row>
    <row r="511" spans="1:11">
      <c r="A511" s="5" t="s">
        <v>2230</v>
      </c>
      <c r="B511" s="5" t="s">
        <v>2231</v>
      </c>
      <c r="C511" s="5" t="s">
        <v>35</v>
      </c>
      <c r="D511" s="5" t="s">
        <v>2232</v>
      </c>
      <c r="E511" s="5" t="s">
        <v>2233</v>
      </c>
      <c r="F511" s="5" t="s">
        <v>2234</v>
      </c>
      <c r="G511" s="5" t="s">
        <v>2235</v>
      </c>
      <c r="H511" s="5" t="s">
        <v>12</v>
      </c>
      <c r="I511" s="5" t="s">
        <v>40</v>
      </c>
      <c r="J511" s="5" t="s">
        <v>41</v>
      </c>
      <c r="K511" s="5"/>
    </row>
    <row r="512" spans="1:11">
      <c r="A512" s="5" t="s">
        <v>2230</v>
      </c>
      <c r="B512" s="5" t="s">
        <v>2236</v>
      </c>
      <c r="C512" s="5" t="s">
        <v>35</v>
      </c>
      <c r="D512" s="5" t="s">
        <v>2237</v>
      </c>
      <c r="E512" s="5" t="s">
        <v>2233</v>
      </c>
      <c r="F512" s="5" t="s">
        <v>2234</v>
      </c>
      <c r="G512" s="5" t="s">
        <v>2238</v>
      </c>
      <c r="H512" s="5" t="s">
        <v>12</v>
      </c>
      <c r="I512" s="5" t="s">
        <v>40</v>
      </c>
      <c r="J512" s="5" t="s">
        <v>41</v>
      </c>
      <c r="K512" s="5"/>
    </row>
    <row r="513" spans="1:11">
      <c r="A513" s="5" t="s">
        <v>2230</v>
      </c>
      <c r="B513" s="5" t="s">
        <v>2239</v>
      </c>
      <c r="C513" s="5" t="s">
        <v>35</v>
      </c>
      <c r="D513" s="5" t="s">
        <v>2240</v>
      </c>
      <c r="E513" s="5" t="s">
        <v>2233</v>
      </c>
      <c r="F513" s="5" t="s">
        <v>2234</v>
      </c>
      <c r="G513" s="5" t="s">
        <v>2241</v>
      </c>
      <c r="H513" s="5" t="s">
        <v>12</v>
      </c>
      <c r="I513" s="5" t="s">
        <v>40</v>
      </c>
      <c r="J513" s="5" t="s">
        <v>41</v>
      </c>
      <c r="K513" s="5"/>
    </row>
    <row r="514" spans="1:11">
      <c r="A514" s="5" t="s">
        <v>2230</v>
      </c>
      <c r="B514" s="5" t="s">
        <v>2242</v>
      </c>
      <c r="C514" s="5" t="s">
        <v>35</v>
      </c>
      <c r="D514" s="5" t="s">
        <v>2243</v>
      </c>
      <c r="E514" s="5" t="s">
        <v>2233</v>
      </c>
      <c r="F514" s="5" t="s">
        <v>2234</v>
      </c>
      <c r="G514" s="5" t="s">
        <v>2244</v>
      </c>
      <c r="H514" s="5" t="s">
        <v>12</v>
      </c>
      <c r="I514" s="5" t="s">
        <v>40</v>
      </c>
      <c r="J514" s="5" t="s">
        <v>41</v>
      </c>
      <c r="K514" s="5"/>
    </row>
    <row r="515" spans="1:11">
      <c r="A515" s="5" t="s">
        <v>2230</v>
      </c>
      <c r="B515" s="5" t="s">
        <v>2245</v>
      </c>
      <c r="C515" s="5" t="s">
        <v>35</v>
      </c>
      <c r="D515" s="5" t="s">
        <v>2246</v>
      </c>
      <c r="E515" s="5" t="s">
        <v>2247</v>
      </c>
      <c r="F515" s="5" t="s">
        <v>740</v>
      </c>
      <c r="G515" s="5" t="s">
        <v>2248</v>
      </c>
      <c r="H515" s="5" t="s">
        <v>12</v>
      </c>
      <c r="I515" s="5" t="s">
        <v>40</v>
      </c>
      <c r="J515" s="5" t="s">
        <v>41</v>
      </c>
      <c r="K515" s="5"/>
    </row>
    <row r="516" spans="1:11">
      <c r="A516" s="5" t="s">
        <v>2230</v>
      </c>
      <c r="B516" s="5" t="s">
        <v>2249</v>
      </c>
      <c r="C516" s="5" t="s">
        <v>35</v>
      </c>
      <c r="D516" s="5" t="s">
        <v>2250</v>
      </c>
      <c r="E516" s="5" t="s">
        <v>2251</v>
      </c>
      <c r="F516" s="5" t="s">
        <v>740</v>
      </c>
      <c r="G516" s="5" t="s">
        <v>2252</v>
      </c>
      <c r="H516" s="5" t="s">
        <v>12</v>
      </c>
      <c r="I516" s="5" t="s">
        <v>40</v>
      </c>
      <c r="J516" s="5" t="s">
        <v>41</v>
      </c>
      <c r="K516" s="5"/>
    </row>
    <row r="517" spans="1:11">
      <c r="A517" s="5" t="s">
        <v>2230</v>
      </c>
      <c r="B517" s="5" t="s">
        <v>2253</v>
      </c>
      <c r="C517" s="5" t="s">
        <v>35</v>
      </c>
      <c r="D517" s="5" t="s">
        <v>2254</v>
      </c>
      <c r="E517" s="5" t="s">
        <v>2255</v>
      </c>
      <c r="F517" s="5" t="s">
        <v>2256</v>
      </c>
      <c r="G517" s="5" t="s">
        <v>2257</v>
      </c>
      <c r="H517" s="5" t="s">
        <v>12</v>
      </c>
      <c r="I517" s="5" t="s">
        <v>40</v>
      </c>
      <c r="J517" s="5" t="s">
        <v>41</v>
      </c>
      <c r="K517" s="5"/>
    </row>
    <row r="518" spans="1:11">
      <c r="A518" s="5" t="s">
        <v>2230</v>
      </c>
      <c r="B518" s="5" t="s">
        <v>2258</v>
      </c>
      <c r="C518" s="5" t="s">
        <v>35</v>
      </c>
      <c r="D518" s="5" t="s">
        <v>2259</v>
      </c>
      <c r="E518" s="5" t="s">
        <v>2260</v>
      </c>
      <c r="F518" s="5" t="s">
        <v>2261</v>
      </c>
      <c r="G518" s="5" t="s">
        <v>2262</v>
      </c>
      <c r="H518" s="5" t="s">
        <v>12</v>
      </c>
      <c r="I518" s="5" t="s">
        <v>40</v>
      </c>
      <c r="J518" s="5" t="s">
        <v>41</v>
      </c>
      <c r="K518" s="5"/>
    </row>
    <row r="519" spans="1:11">
      <c r="A519" s="5" t="s">
        <v>2230</v>
      </c>
      <c r="B519" s="5" t="s">
        <v>2263</v>
      </c>
      <c r="C519" s="5" t="s">
        <v>35</v>
      </c>
      <c r="D519" s="5" t="s">
        <v>2264</v>
      </c>
      <c r="E519" s="5" t="s">
        <v>2265</v>
      </c>
      <c r="F519" s="5" t="s">
        <v>2266</v>
      </c>
      <c r="G519" s="5" t="s">
        <v>2267</v>
      </c>
      <c r="H519" s="5" t="s">
        <v>12</v>
      </c>
      <c r="I519" s="5" t="s">
        <v>40</v>
      </c>
      <c r="J519" s="5" t="s">
        <v>41</v>
      </c>
      <c r="K519" s="5"/>
    </row>
    <row r="520" spans="1:11">
      <c r="A520" s="5" t="s">
        <v>2230</v>
      </c>
      <c r="B520" s="5" t="s">
        <v>2268</v>
      </c>
      <c r="C520" s="5" t="s">
        <v>35</v>
      </c>
      <c r="D520" s="5" t="s">
        <v>2269</v>
      </c>
      <c r="E520" s="5" t="s">
        <v>2270</v>
      </c>
      <c r="F520" s="5" t="s">
        <v>2271</v>
      </c>
      <c r="G520" s="5" t="s">
        <v>2272</v>
      </c>
      <c r="H520" s="5" t="s">
        <v>12</v>
      </c>
      <c r="I520" s="5" t="s">
        <v>40</v>
      </c>
      <c r="J520" s="5" t="s">
        <v>41</v>
      </c>
      <c r="K520" s="5"/>
    </row>
    <row r="521" spans="1:11">
      <c r="A521" s="5" t="s">
        <v>2230</v>
      </c>
      <c r="B521" s="5" t="s">
        <v>2273</v>
      </c>
      <c r="C521" s="5" t="s">
        <v>35</v>
      </c>
      <c r="D521" s="5" t="s">
        <v>2274</v>
      </c>
      <c r="E521" s="5" t="s">
        <v>2275</v>
      </c>
      <c r="F521" s="5" t="s">
        <v>2276</v>
      </c>
      <c r="G521" s="5" t="s">
        <v>2277</v>
      </c>
      <c r="H521" s="5" t="s">
        <v>12</v>
      </c>
      <c r="I521" s="5" t="s">
        <v>40</v>
      </c>
      <c r="J521" s="5" t="s">
        <v>41</v>
      </c>
      <c r="K521" s="5"/>
    </row>
    <row r="522" spans="1:11">
      <c r="A522" s="5" t="s">
        <v>2230</v>
      </c>
      <c r="B522" s="5" t="s">
        <v>2278</v>
      </c>
      <c r="C522" s="5" t="s">
        <v>35</v>
      </c>
      <c r="D522" s="5" t="s">
        <v>2279</v>
      </c>
      <c r="E522" s="5" t="s">
        <v>2275</v>
      </c>
      <c r="F522" s="5" t="s">
        <v>2276</v>
      </c>
      <c r="G522" s="5" t="s">
        <v>2280</v>
      </c>
      <c r="H522" s="5" t="s">
        <v>12</v>
      </c>
      <c r="I522" s="5" t="s">
        <v>40</v>
      </c>
      <c r="J522" s="5" t="s">
        <v>41</v>
      </c>
      <c r="K522" s="5"/>
    </row>
    <row r="523" spans="1:11">
      <c r="A523" s="5" t="s">
        <v>2230</v>
      </c>
      <c r="B523" s="5" t="s">
        <v>2281</v>
      </c>
      <c r="C523" s="5" t="s">
        <v>35</v>
      </c>
      <c r="D523" s="5" t="s">
        <v>2282</v>
      </c>
      <c r="E523" s="5" t="s">
        <v>2283</v>
      </c>
      <c r="F523" s="5" t="s">
        <v>2276</v>
      </c>
      <c r="G523" s="5" t="s">
        <v>2284</v>
      </c>
      <c r="H523" s="5" t="s">
        <v>12</v>
      </c>
      <c r="I523" s="5" t="s">
        <v>40</v>
      </c>
      <c r="J523" s="5" t="s">
        <v>41</v>
      </c>
      <c r="K523" s="5"/>
    </row>
    <row r="524" spans="1:11">
      <c r="A524" s="5" t="s">
        <v>2230</v>
      </c>
      <c r="B524" s="5" t="s">
        <v>2285</v>
      </c>
      <c r="C524" s="5" t="s">
        <v>35</v>
      </c>
      <c r="D524" s="5" t="s">
        <v>2286</v>
      </c>
      <c r="E524" s="5" t="s">
        <v>2275</v>
      </c>
      <c r="F524" s="5" t="s">
        <v>2276</v>
      </c>
      <c r="G524" s="5" t="s">
        <v>2287</v>
      </c>
      <c r="H524" s="5" t="s">
        <v>12</v>
      </c>
      <c r="I524" s="5" t="s">
        <v>40</v>
      </c>
      <c r="J524" s="5" t="s">
        <v>41</v>
      </c>
      <c r="K524" s="5"/>
    </row>
    <row r="525" spans="1:11">
      <c r="A525" s="5" t="s">
        <v>2230</v>
      </c>
      <c r="B525" s="5" t="s">
        <v>2288</v>
      </c>
      <c r="C525" s="5" t="s">
        <v>35</v>
      </c>
      <c r="D525" s="5" t="s">
        <v>2289</v>
      </c>
      <c r="E525" s="5" t="s">
        <v>2290</v>
      </c>
      <c r="F525" s="5" t="s">
        <v>2291</v>
      </c>
      <c r="G525" s="5" t="s">
        <v>2292</v>
      </c>
      <c r="H525" s="5" t="s">
        <v>12</v>
      </c>
      <c r="I525" s="5" t="s">
        <v>40</v>
      </c>
      <c r="J525" s="5" t="s">
        <v>41</v>
      </c>
      <c r="K525" s="5"/>
    </row>
    <row r="526" spans="1:11">
      <c r="A526" s="5" t="s">
        <v>2230</v>
      </c>
      <c r="B526" s="5" t="s">
        <v>2293</v>
      </c>
      <c r="C526" s="5" t="s">
        <v>35</v>
      </c>
      <c r="D526" s="5" t="s">
        <v>2294</v>
      </c>
      <c r="E526" s="5" t="s">
        <v>2295</v>
      </c>
      <c r="F526" s="5" t="s">
        <v>2296</v>
      </c>
      <c r="G526" s="5" t="s">
        <v>2297</v>
      </c>
      <c r="H526" s="5" t="s">
        <v>12</v>
      </c>
      <c r="I526" s="5" t="s">
        <v>40</v>
      </c>
      <c r="J526" s="5" t="s">
        <v>41</v>
      </c>
      <c r="K526" s="5"/>
    </row>
    <row r="527" spans="1:11">
      <c r="A527" s="5" t="s">
        <v>2230</v>
      </c>
      <c r="B527" s="5" t="s">
        <v>2298</v>
      </c>
      <c r="C527" s="5" t="s">
        <v>35</v>
      </c>
      <c r="D527" s="5" t="s">
        <v>2299</v>
      </c>
      <c r="E527" s="5" t="s">
        <v>2300</v>
      </c>
      <c r="F527" s="5" t="s">
        <v>2301</v>
      </c>
      <c r="G527" s="5" t="s">
        <v>2302</v>
      </c>
      <c r="H527" s="5" t="s">
        <v>12</v>
      </c>
      <c r="I527" s="5" t="s">
        <v>40</v>
      </c>
      <c r="J527" s="5" t="s">
        <v>41</v>
      </c>
      <c r="K527" s="5"/>
    </row>
    <row r="528" spans="1:11">
      <c r="A528" s="5" t="s">
        <v>2230</v>
      </c>
      <c r="B528" s="5" t="s">
        <v>2303</v>
      </c>
      <c r="C528" s="5" t="s">
        <v>35</v>
      </c>
      <c r="D528" s="5" t="s">
        <v>2304</v>
      </c>
      <c r="E528" s="5" t="s">
        <v>2305</v>
      </c>
      <c r="F528" s="5" t="s">
        <v>2296</v>
      </c>
      <c r="G528" s="5" t="s">
        <v>2306</v>
      </c>
      <c r="H528" s="5" t="s">
        <v>12</v>
      </c>
      <c r="I528" s="5" t="s">
        <v>40</v>
      </c>
      <c r="J528" s="5" t="s">
        <v>41</v>
      </c>
      <c r="K528" s="5"/>
    </row>
    <row r="529" spans="1:11">
      <c r="A529" s="5" t="s">
        <v>2230</v>
      </c>
      <c r="B529" s="5" t="s">
        <v>2307</v>
      </c>
      <c r="C529" s="5" t="s">
        <v>35</v>
      </c>
      <c r="D529" s="5" t="s">
        <v>2308</v>
      </c>
      <c r="E529" s="5" t="s">
        <v>2309</v>
      </c>
      <c r="F529" s="5" t="s">
        <v>2310</v>
      </c>
      <c r="G529" s="5" t="s">
        <v>2311</v>
      </c>
      <c r="H529" s="5" t="s">
        <v>12</v>
      </c>
      <c r="I529" s="5" t="s">
        <v>40</v>
      </c>
      <c r="J529" s="5" t="s">
        <v>41</v>
      </c>
      <c r="K529" s="5"/>
    </row>
    <row r="530" spans="1:11">
      <c r="A530" s="5" t="s">
        <v>2230</v>
      </c>
      <c r="B530" s="5" t="s">
        <v>2312</v>
      </c>
      <c r="C530" s="5" t="s">
        <v>35</v>
      </c>
      <c r="D530" s="5" t="s">
        <v>2313</v>
      </c>
      <c r="E530" s="5" t="s">
        <v>2314</v>
      </c>
      <c r="F530" s="5" t="s">
        <v>2315</v>
      </c>
      <c r="G530" s="5" t="s">
        <v>2316</v>
      </c>
      <c r="H530" s="5" t="s">
        <v>12</v>
      </c>
      <c r="I530" s="5" t="s">
        <v>40</v>
      </c>
      <c r="J530" s="5" t="s">
        <v>41</v>
      </c>
      <c r="K530" s="5"/>
    </row>
    <row r="531" spans="1:11">
      <c r="A531" s="5" t="s">
        <v>2230</v>
      </c>
      <c r="B531" s="5" t="s">
        <v>2317</v>
      </c>
      <c r="C531" s="5" t="s">
        <v>35</v>
      </c>
      <c r="D531" s="5" t="s">
        <v>2318</v>
      </c>
      <c r="E531" s="5" t="s">
        <v>2319</v>
      </c>
      <c r="F531" s="5" t="s">
        <v>2320</v>
      </c>
      <c r="G531" s="5" t="s">
        <v>2321</v>
      </c>
      <c r="H531" s="5" t="s">
        <v>12</v>
      </c>
      <c r="I531" s="5" t="s">
        <v>40</v>
      </c>
      <c r="J531" s="5" t="s">
        <v>41</v>
      </c>
      <c r="K531" s="5"/>
    </row>
    <row r="532" spans="1:11">
      <c r="A532" s="5" t="s">
        <v>2230</v>
      </c>
      <c r="B532" s="5" t="s">
        <v>2322</v>
      </c>
      <c r="C532" s="5" t="s">
        <v>35</v>
      </c>
      <c r="D532" s="5" t="s">
        <v>2323</v>
      </c>
      <c r="E532" s="5" t="s">
        <v>2324</v>
      </c>
      <c r="F532" s="5" t="s">
        <v>2320</v>
      </c>
      <c r="G532" s="5" t="s">
        <v>2325</v>
      </c>
      <c r="H532" s="5" t="s">
        <v>12</v>
      </c>
      <c r="I532" s="5" t="s">
        <v>40</v>
      </c>
      <c r="J532" s="5" t="s">
        <v>41</v>
      </c>
      <c r="K532" s="5"/>
    </row>
    <row r="533" spans="1:11">
      <c r="A533" s="5" t="s">
        <v>2230</v>
      </c>
      <c r="B533" s="5" t="s">
        <v>2326</v>
      </c>
      <c r="C533" s="5" t="s">
        <v>35</v>
      </c>
      <c r="D533" s="5" t="s">
        <v>2327</v>
      </c>
      <c r="E533" s="5" t="s">
        <v>2328</v>
      </c>
      <c r="F533" s="5" t="s">
        <v>2329</v>
      </c>
      <c r="G533" s="5" t="s">
        <v>2330</v>
      </c>
      <c r="H533" s="5" t="s">
        <v>12</v>
      </c>
      <c r="I533" s="5" t="s">
        <v>40</v>
      </c>
      <c r="J533" s="5" t="s">
        <v>41</v>
      </c>
      <c r="K533" s="5"/>
    </row>
    <row r="534" spans="1:11">
      <c r="A534" s="5" t="s">
        <v>2230</v>
      </c>
      <c r="B534" s="5" t="s">
        <v>2331</v>
      </c>
      <c r="C534" s="5" t="s">
        <v>35</v>
      </c>
      <c r="D534" s="5" t="s">
        <v>2332</v>
      </c>
      <c r="E534" s="5" t="s">
        <v>2333</v>
      </c>
      <c r="F534" s="5" t="s">
        <v>2329</v>
      </c>
      <c r="G534" s="5" t="s">
        <v>2334</v>
      </c>
      <c r="H534" s="5" t="s">
        <v>12</v>
      </c>
      <c r="I534" s="5" t="s">
        <v>40</v>
      </c>
      <c r="J534" s="5" t="s">
        <v>41</v>
      </c>
      <c r="K534" s="5"/>
    </row>
    <row r="535" spans="1:11">
      <c r="A535" s="5" t="s">
        <v>2230</v>
      </c>
      <c r="B535" s="5" t="s">
        <v>2335</v>
      </c>
      <c r="C535" s="5" t="s">
        <v>35</v>
      </c>
      <c r="D535" s="5" t="s">
        <v>2336</v>
      </c>
      <c r="E535" s="5" t="s">
        <v>2337</v>
      </c>
      <c r="F535" s="5" t="s">
        <v>2338</v>
      </c>
      <c r="G535" s="5" t="s">
        <v>2339</v>
      </c>
      <c r="H535" s="5" t="s">
        <v>12</v>
      </c>
      <c r="I535" s="5" t="s">
        <v>40</v>
      </c>
      <c r="J535" s="5" t="s">
        <v>41</v>
      </c>
      <c r="K535" s="5"/>
    </row>
    <row r="536" spans="1:11">
      <c r="A536" s="5" t="s">
        <v>2230</v>
      </c>
      <c r="B536" s="5" t="s">
        <v>2340</v>
      </c>
      <c r="C536" s="5" t="s">
        <v>35</v>
      </c>
      <c r="D536" s="5" t="s">
        <v>2341</v>
      </c>
      <c r="E536" s="5" t="s">
        <v>2342</v>
      </c>
      <c r="F536" s="5" t="s">
        <v>2329</v>
      </c>
      <c r="G536" s="5" t="s">
        <v>2343</v>
      </c>
      <c r="H536" s="5" t="s">
        <v>12</v>
      </c>
      <c r="I536" s="5" t="s">
        <v>40</v>
      </c>
      <c r="J536" s="5" t="s">
        <v>41</v>
      </c>
      <c r="K536" s="5"/>
    </row>
    <row r="537" spans="1:11">
      <c r="A537" s="5" t="s">
        <v>2230</v>
      </c>
      <c r="B537" s="5" t="s">
        <v>2344</v>
      </c>
      <c r="C537" s="5" t="s">
        <v>35</v>
      </c>
      <c r="D537" s="5" t="s">
        <v>2345</v>
      </c>
      <c r="E537" s="5" t="s">
        <v>2342</v>
      </c>
      <c r="F537" s="5" t="s">
        <v>2329</v>
      </c>
      <c r="G537" s="5" t="s">
        <v>2346</v>
      </c>
      <c r="H537" s="5" t="s">
        <v>12</v>
      </c>
      <c r="I537" s="5" t="s">
        <v>40</v>
      </c>
      <c r="J537" s="5" t="s">
        <v>41</v>
      </c>
      <c r="K537" s="5"/>
    </row>
    <row r="538" spans="1:11">
      <c r="A538" s="5" t="s">
        <v>2230</v>
      </c>
      <c r="B538" s="5" t="s">
        <v>2347</v>
      </c>
      <c r="C538" s="5" t="s">
        <v>35</v>
      </c>
      <c r="D538" s="5" t="s">
        <v>2348</v>
      </c>
      <c r="E538" s="5" t="s">
        <v>2349</v>
      </c>
      <c r="F538" s="5" t="s">
        <v>1895</v>
      </c>
      <c r="G538" s="5" t="s">
        <v>2350</v>
      </c>
      <c r="H538" s="5" t="s">
        <v>12</v>
      </c>
      <c r="I538" s="5" t="s">
        <v>40</v>
      </c>
      <c r="J538" s="5" t="s">
        <v>41</v>
      </c>
      <c r="K538" s="5"/>
    </row>
    <row r="539" spans="1:11">
      <c r="A539" s="5" t="s">
        <v>2230</v>
      </c>
      <c r="B539" s="5" t="s">
        <v>2351</v>
      </c>
      <c r="C539" s="5" t="s">
        <v>35</v>
      </c>
      <c r="D539" s="5" t="s">
        <v>2352</v>
      </c>
      <c r="E539" s="5" t="s">
        <v>2349</v>
      </c>
      <c r="F539" s="5" t="s">
        <v>1895</v>
      </c>
      <c r="G539" s="5" t="s">
        <v>2353</v>
      </c>
      <c r="H539" s="5" t="s">
        <v>12</v>
      </c>
      <c r="I539" s="5" t="s">
        <v>40</v>
      </c>
      <c r="J539" s="5" t="s">
        <v>41</v>
      </c>
      <c r="K539" s="5"/>
    </row>
    <row r="540" spans="1:11">
      <c r="A540" s="5" t="s">
        <v>2230</v>
      </c>
      <c r="B540" s="5" t="s">
        <v>2354</v>
      </c>
      <c r="C540" s="5" t="s">
        <v>35</v>
      </c>
      <c r="D540" s="5" t="s">
        <v>2355</v>
      </c>
      <c r="E540" s="5" t="s">
        <v>2356</v>
      </c>
      <c r="F540" s="5" t="s">
        <v>1895</v>
      </c>
      <c r="G540" s="5" t="s">
        <v>2357</v>
      </c>
      <c r="H540" s="5" t="s">
        <v>12</v>
      </c>
      <c r="I540" s="5" t="s">
        <v>40</v>
      </c>
      <c r="J540" s="5" t="s">
        <v>41</v>
      </c>
      <c r="K540" s="5"/>
    </row>
    <row r="541" spans="1:11">
      <c r="A541" s="5" t="s">
        <v>2230</v>
      </c>
      <c r="B541" s="5" t="s">
        <v>2358</v>
      </c>
      <c r="C541" s="5" t="s">
        <v>35</v>
      </c>
      <c r="D541" s="5" t="s">
        <v>2359</v>
      </c>
      <c r="E541" s="5" t="s">
        <v>2360</v>
      </c>
      <c r="F541" s="5" t="s">
        <v>1895</v>
      </c>
      <c r="G541" s="5" t="s">
        <v>2361</v>
      </c>
      <c r="H541" s="5" t="s">
        <v>12</v>
      </c>
      <c r="I541" s="5" t="s">
        <v>40</v>
      </c>
      <c r="J541" s="5" t="s">
        <v>41</v>
      </c>
      <c r="K541" s="5"/>
    </row>
    <row r="542" spans="1:11">
      <c r="A542" s="5" t="s">
        <v>2230</v>
      </c>
      <c r="B542" s="5" t="s">
        <v>2362</v>
      </c>
      <c r="C542" s="5" t="s">
        <v>35</v>
      </c>
      <c r="D542" s="5" t="s">
        <v>2363</v>
      </c>
      <c r="E542" s="5" t="s">
        <v>2360</v>
      </c>
      <c r="F542" s="5" t="s">
        <v>1895</v>
      </c>
      <c r="G542" s="5" t="s">
        <v>2364</v>
      </c>
      <c r="H542" s="5" t="s">
        <v>12</v>
      </c>
      <c r="I542" s="5" t="s">
        <v>40</v>
      </c>
      <c r="J542" s="5" t="s">
        <v>41</v>
      </c>
      <c r="K542" s="5"/>
    </row>
    <row r="543" spans="1:11">
      <c r="A543" s="5" t="s">
        <v>2230</v>
      </c>
      <c r="B543" s="5" t="s">
        <v>2365</v>
      </c>
      <c r="C543" s="5" t="s">
        <v>35</v>
      </c>
      <c r="D543" s="5" t="s">
        <v>2366</v>
      </c>
      <c r="E543" s="5" t="s">
        <v>2360</v>
      </c>
      <c r="F543" s="5" t="s">
        <v>1895</v>
      </c>
      <c r="G543" s="5" t="s">
        <v>2367</v>
      </c>
      <c r="H543" s="5" t="s">
        <v>12</v>
      </c>
      <c r="I543" s="5" t="s">
        <v>40</v>
      </c>
      <c r="J543" s="5" t="s">
        <v>41</v>
      </c>
      <c r="K543" s="5"/>
    </row>
    <row r="544" spans="1:11">
      <c r="A544" s="5" t="s">
        <v>2230</v>
      </c>
      <c r="B544" s="5" t="s">
        <v>2368</v>
      </c>
      <c r="C544" s="5" t="s">
        <v>35</v>
      </c>
      <c r="D544" s="5" t="s">
        <v>2369</v>
      </c>
      <c r="E544" s="5" t="s">
        <v>2360</v>
      </c>
      <c r="F544" s="5" t="s">
        <v>1895</v>
      </c>
      <c r="G544" s="5" t="s">
        <v>2370</v>
      </c>
      <c r="H544" s="5" t="s">
        <v>12</v>
      </c>
      <c r="I544" s="5" t="s">
        <v>40</v>
      </c>
      <c r="J544" s="5" t="s">
        <v>41</v>
      </c>
      <c r="K544" s="5"/>
    </row>
    <row r="545" spans="1:11">
      <c r="A545" s="5" t="s">
        <v>2230</v>
      </c>
      <c r="B545" s="5" t="s">
        <v>2371</v>
      </c>
      <c r="C545" s="5" t="s">
        <v>35</v>
      </c>
      <c r="D545" s="5" t="s">
        <v>2372</v>
      </c>
      <c r="E545" s="5" t="s">
        <v>2373</v>
      </c>
      <c r="F545" s="5" t="s">
        <v>2374</v>
      </c>
      <c r="G545" s="5" t="s">
        <v>2375</v>
      </c>
      <c r="H545" s="5" t="s">
        <v>12</v>
      </c>
      <c r="I545" s="5" t="s">
        <v>40</v>
      </c>
      <c r="J545" s="5" t="s">
        <v>41</v>
      </c>
      <c r="K545" s="5"/>
    </row>
    <row r="546" spans="1:11">
      <c r="A546" s="5" t="s">
        <v>2230</v>
      </c>
      <c r="B546" s="5" t="s">
        <v>2376</v>
      </c>
      <c r="C546" s="5" t="s">
        <v>35</v>
      </c>
      <c r="D546" s="5" t="s">
        <v>2377</v>
      </c>
      <c r="E546" s="5" t="s">
        <v>2378</v>
      </c>
      <c r="F546" s="5" t="s">
        <v>2379</v>
      </c>
      <c r="G546" s="5" t="s">
        <v>2380</v>
      </c>
      <c r="H546" s="5" t="s">
        <v>12</v>
      </c>
      <c r="I546" s="5" t="s">
        <v>40</v>
      </c>
      <c r="J546" s="5" t="s">
        <v>41</v>
      </c>
      <c r="K546" s="5"/>
    </row>
    <row r="547" spans="1:11">
      <c r="A547" s="5" t="s">
        <v>2230</v>
      </c>
      <c r="B547" s="5" t="s">
        <v>2381</v>
      </c>
      <c r="C547" s="5" t="s">
        <v>35</v>
      </c>
      <c r="D547" s="5" t="s">
        <v>2382</v>
      </c>
      <c r="E547" s="5" t="s">
        <v>2383</v>
      </c>
      <c r="F547" s="5" t="s">
        <v>2384</v>
      </c>
      <c r="G547" s="5" t="s">
        <v>2385</v>
      </c>
      <c r="H547" s="5" t="s">
        <v>12</v>
      </c>
      <c r="I547" s="5" t="s">
        <v>40</v>
      </c>
      <c r="J547" s="5" t="s">
        <v>41</v>
      </c>
      <c r="K547" s="5"/>
    </row>
    <row r="548" spans="1:11">
      <c r="A548" s="5" t="s">
        <v>2230</v>
      </c>
      <c r="B548" s="5" t="s">
        <v>2386</v>
      </c>
      <c r="C548" s="5" t="s">
        <v>35</v>
      </c>
      <c r="D548" s="5" t="s">
        <v>2387</v>
      </c>
      <c r="E548" s="5" t="s">
        <v>2388</v>
      </c>
      <c r="F548" s="5" t="s">
        <v>2389</v>
      </c>
      <c r="G548" s="5" t="s">
        <v>2390</v>
      </c>
      <c r="H548" s="5" t="s">
        <v>12</v>
      </c>
      <c r="I548" s="5" t="s">
        <v>40</v>
      </c>
      <c r="J548" s="5" t="s">
        <v>41</v>
      </c>
      <c r="K548" s="5"/>
    </row>
    <row r="549" spans="1:11">
      <c r="A549" s="5" t="s">
        <v>2230</v>
      </c>
      <c r="B549" s="5" t="s">
        <v>2391</v>
      </c>
      <c r="C549" s="5" t="s">
        <v>35</v>
      </c>
      <c r="D549" s="5" t="s">
        <v>2392</v>
      </c>
      <c r="E549" s="5" t="s">
        <v>2393</v>
      </c>
      <c r="F549" s="5" t="s">
        <v>2394</v>
      </c>
      <c r="G549" s="5" t="s">
        <v>2395</v>
      </c>
      <c r="H549" s="5" t="s">
        <v>12</v>
      </c>
      <c r="I549" s="5" t="s">
        <v>40</v>
      </c>
      <c r="J549" s="5" t="s">
        <v>41</v>
      </c>
      <c r="K549" s="5"/>
    </row>
    <row r="550" spans="1:11">
      <c r="A550" s="5" t="s">
        <v>2230</v>
      </c>
      <c r="B550" s="5" t="s">
        <v>2396</v>
      </c>
      <c r="C550" s="5" t="s">
        <v>35</v>
      </c>
      <c r="D550" s="5" t="s">
        <v>2397</v>
      </c>
      <c r="E550" s="5" t="s">
        <v>2398</v>
      </c>
      <c r="F550" s="5" t="s">
        <v>2394</v>
      </c>
      <c r="G550" s="5" t="s">
        <v>2399</v>
      </c>
      <c r="H550" s="5" t="s">
        <v>12</v>
      </c>
      <c r="I550" s="5" t="s">
        <v>40</v>
      </c>
      <c r="J550" s="5" t="s">
        <v>41</v>
      </c>
      <c r="K550" s="5"/>
    </row>
    <row r="551" spans="1:11">
      <c r="A551" s="5" t="s">
        <v>2230</v>
      </c>
      <c r="B551" s="5" t="s">
        <v>2400</v>
      </c>
      <c r="C551" s="5" t="s">
        <v>35</v>
      </c>
      <c r="D551" s="5" t="s">
        <v>2401</v>
      </c>
      <c r="E551" s="5" t="s">
        <v>2402</v>
      </c>
      <c r="F551" s="5" t="s">
        <v>2394</v>
      </c>
      <c r="G551" s="5" t="s">
        <v>2403</v>
      </c>
      <c r="H551" s="5" t="s">
        <v>12</v>
      </c>
      <c r="I551" s="5" t="s">
        <v>40</v>
      </c>
      <c r="J551" s="5" t="s">
        <v>41</v>
      </c>
      <c r="K551" s="5"/>
    </row>
    <row r="552" spans="1:11">
      <c r="A552" s="5" t="s">
        <v>2230</v>
      </c>
      <c r="B552" s="5" t="s">
        <v>2404</v>
      </c>
      <c r="C552" s="5" t="s">
        <v>35</v>
      </c>
      <c r="D552" s="5" t="s">
        <v>2405</v>
      </c>
      <c r="E552" s="5" t="s">
        <v>2406</v>
      </c>
      <c r="F552" s="5" t="s">
        <v>2394</v>
      </c>
      <c r="G552" s="5" t="s">
        <v>2407</v>
      </c>
      <c r="H552" s="5" t="s">
        <v>12</v>
      </c>
      <c r="I552" s="5" t="s">
        <v>40</v>
      </c>
      <c r="J552" s="5" t="s">
        <v>41</v>
      </c>
      <c r="K552" s="5"/>
    </row>
    <row r="553" spans="1:11">
      <c r="A553" s="5" t="s">
        <v>2230</v>
      </c>
      <c r="B553" s="5" t="s">
        <v>2408</v>
      </c>
      <c r="C553" s="5" t="s">
        <v>35</v>
      </c>
      <c r="D553" s="5" t="s">
        <v>2409</v>
      </c>
      <c r="E553" s="5" t="s">
        <v>2410</v>
      </c>
      <c r="F553" s="5" t="s">
        <v>2411</v>
      </c>
      <c r="G553" s="5" t="s">
        <v>2412</v>
      </c>
      <c r="H553" s="5" t="s">
        <v>12</v>
      </c>
      <c r="I553" s="5" t="s">
        <v>40</v>
      </c>
      <c r="J553" s="5" t="s">
        <v>41</v>
      </c>
      <c r="K553" s="5"/>
    </row>
    <row r="554" spans="1:11">
      <c r="A554" s="5" t="s">
        <v>2230</v>
      </c>
      <c r="B554" s="5" t="s">
        <v>2413</v>
      </c>
      <c r="C554" s="5" t="s">
        <v>35</v>
      </c>
      <c r="D554" s="5" t="s">
        <v>2414</v>
      </c>
      <c r="E554" s="5" t="s">
        <v>2415</v>
      </c>
      <c r="F554" s="5" t="s">
        <v>2411</v>
      </c>
      <c r="G554" s="5" t="s">
        <v>2416</v>
      </c>
      <c r="H554" s="5" t="s">
        <v>12</v>
      </c>
      <c r="I554" s="5" t="s">
        <v>40</v>
      </c>
      <c r="J554" s="5" t="s">
        <v>41</v>
      </c>
      <c r="K554" s="5"/>
    </row>
    <row r="555" spans="1:11">
      <c r="A555" s="5" t="s">
        <v>2230</v>
      </c>
      <c r="B555" s="5" t="s">
        <v>2417</v>
      </c>
      <c r="C555" s="5" t="s">
        <v>35</v>
      </c>
      <c r="D555" s="5" t="s">
        <v>2418</v>
      </c>
      <c r="E555" s="5" t="s">
        <v>2419</v>
      </c>
      <c r="F555" s="5" t="s">
        <v>2420</v>
      </c>
      <c r="G555" s="5" t="s">
        <v>2421</v>
      </c>
      <c r="H555" s="5" t="s">
        <v>12</v>
      </c>
      <c r="I555" s="5" t="s">
        <v>40</v>
      </c>
      <c r="J555" s="5" t="s">
        <v>41</v>
      </c>
      <c r="K555" s="5"/>
    </row>
    <row r="556" spans="1:11">
      <c r="A556" s="5" t="s">
        <v>2230</v>
      </c>
      <c r="B556" s="5" t="s">
        <v>2422</v>
      </c>
      <c r="C556" s="5" t="s">
        <v>35</v>
      </c>
      <c r="D556" s="5" t="s">
        <v>2423</v>
      </c>
      <c r="E556" s="5" t="s">
        <v>2424</v>
      </c>
      <c r="F556" s="5" t="s">
        <v>2394</v>
      </c>
      <c r="G556" s="5" t="s">
        <v>2425</v>
      </c>
      <c r="H556" s="5" t="s">
        <v>12</v>
      </c>
      <c r="I556" s="5" t="s">
        <v>40</v>
      </c>
      <c r="J556" s="5" t="s">
        <v>41</v>
      </c>
      <c r="K556" s="5"/>
    </row>
    <row r="557" spans="1:11">
      <c r="A557" s="5" t="s">
        <v>2230</v>
      </c>
      <c r="B557" s="5" t="s">
        <v>2426</v>
      </c>
      <c r="C557" s="5" t="s">
        <v>35</v>
      </c>
      <c r="D557" s="5" t="s">
        <v>2427</v>
      </c>
      <c r="E557" s="5" t="s">
        <v>2428</v>
      </c>
      <c r="F557" s="5" t="s">
        <v>2394</v>
      </c>
      <c r="G557" s="5" t="s">
        <v>2429</v>
      </c>
      <c r="H557" s="5" t="s">
        <v>12</v>
      </c>
      <c r="I557" s="5" t="s">
        <v>40</v>
      </c>
      <c r="J557" s="5" t="s">
        <v>41</v>
      </c>
      <c r="K557" s="5"/>
    </row>
    <row r="558" spans="1:11">
      <c r="A558" s="5" t="s">
        <v>2230</v>
      </c>
      <c r="B558" s="5" t="s">
        <v>2430</v>
      </c>
      <c r="C558" s="5" t="s">
        <v>35</v>
      </c>
      <c r="D558" s="5" t="s">
        <v>2431</v>
      </c>
      <c r="E558" s="5" t="s">
        <v>2432</v>
      </c>
      <c r="F558" s="5" t="s">
        <v>2394</v>
      </c>
      <c r="G558" s="5" t="s">
        <v>2433</v>
      </c>
      <c r="H558" s="5" t="s">
        <v>12</v>
      </c>
      <c r="I558" s="5" t="s">
        <v>40</v>
      </c>
      <c r="J558" s="5" t="s">
        <v>41</v>
      </c>
      <c r="K558" s="5"/>
    </row>
    <row r="559" spans="1:11">
      <c r="A559" s="5" t="s">
        <v>2230</v>
      </c>
      <c r="B559" s="5" t="s">
        <v>2434</v>
      </c>
      <c r="C559" s="5" t="s">
        <v>35</v>
      </c>
      <c r="D559" s="5" t="s">
        <v>2435</v>
      </c>
      <c r="E559" s="5" t="s">
        <v>2436</v>
      </c>
      <c r="F559" s="5" t="s">
        <v>2394</v>
      </c>
      <c r="G559" s="5" t="s">
        <v>2437</v>
      </c>
      <c r="H559" s="5" t="s">
        <v>12</v>
      </c>
      <c r="I559" s="5" t="s">
        <v>40</v>
      </c>
      <c r="J559" s="5" t="s">
        <v>41</v>
      </c>
      <c r="K559" s="5"/>
    </row>
    <row r="560" spans="1:11">
      <c r="A560" s="5" t="s">
        <v>2230</v>
      </c>
      <c r="B560" s="5" t="s">
        <v>2438</v>
      </c>
      <c r="C560" s="5" t="s">
        <v>35</v>
      </c>
      <c r="D560" s="5" t="s">
        <v>2439</v>
      </c>
      <c r="E560" s="5" t="s">
        <v>2440</v>
      </c>
      <c r="F560" s="5" t="s">
        <v>2394</v>
      </c>
      <c r="G560" s="5" t="s">
        <v>2441</v>
      </c>
      <c r="H560" s="5" t="s">
        <v>12</v>
      </c>
      <c r="I560" s="5" t="s">
        <v>40</v>
      </c>
      <c r="J560" s="5" t="s">
        <v>41</v>
      </c>
      <c r="K560" s="5"/>
    </row>
    <row r="561" spans="1:11">
      <c r="A561" s="5" t="s">
        <v>2230</v>
      </c>
      <c r="B561" s="5" t="s">
        <v>2442</v>
      </c>
      <c r="C561" s="5" t="s">
        <v>35</v>
      </c>
      <c r="D561" s="5" t="s">
        <v>2443</v>
      </c>
      <c r="E561" s="5" t="s">
        <v>2444</v>
      </c>
      <c r="F561" s="5" t="s">
        <v>2394</v>
      </c>
      <c r="G561" s="5" t="s">
        <v>2445</v>
      </c>
      <c r="H561" s="5" t="s">
        <v>12</v>
      </c>
      <c r="I561" s="5" t="s">
        <v>40</v>
      </c>
      <c r="J561" s="5" t="s">
        <v>41</v>
      </c>
      <c r="K561" s="5"/>
    </row>
    <row r="562" spans="1:11">
      <c r="A562" s="5" t="s">
        <v>2230</v>
      </c>
      <c r="B562" s="5" t="s">
        <v>2446</v>
      </c>
      <c r="C562" s="5" t="s">
        <v>35</v>
      </c>
      <c r="D562" s="5" t="s">
        <v>2447</v>
      </c>
      <c r="E562" s="5" t="s">
        <v>2448</v>
      </c>
      <c r="F562" s="5" t="s">
        <v>2394</v>
      </c>
      <c r="G562" s="5" t="s">
        <v>2449</v>
      </c>
      <c r="H562" s="5" t="s">
        <v>12</v>
      </c>
      <c r="I562" s="5" t="s">
        <v>40</v>
      </c>
      <c r="J562" s="5" t="s">
        <v>41</v>
      </c>
      <c r="K562" s="5"/>
    </row>
    <row r="563" spans="1:11">
      <c r="A563" s="5" t="s">
        <v>2230</v>
      </c>
      <c r="B563" s="5" t="s">
        <v>2450</v>
      </c>
      <c r="C563" s="5" t="s">
        <v>35</v>
      </c>
      <c r="D563" s="5" t="s">
        <v>2451</v>
      </c>
      <c r="E563" s="5" t="s">
        <v>2452</v>
      </c>
      <c r="F563" s="5" t="s">
        <v>2420</v>
      </c>
      <c r="G563" s="5" t="s">
        <v>2453</v>
      </c>
      <c r="H563" s="5" t="s">
        <v>12</v>
      </c>
      <c r="I563" s="5" t="s">
        <v>40</v>
      </c>
      <c r="J563" s="5" t="s">
        <v>41</v>
      </c>
      <c r="K563" s="5"/>
    </row>
    <row r="564" spans="1:11">
      <c r="A564" s="5" t="s">
        <v>2230</v>
      </c>
      <c r="B564" s="5" t="s">
        <v>2454</v>
      </c>
      <c r="C564" s="5" t="s">
        <v>35</v>
      </c>
      <c r="D564" s="5" t="s">
        <v>2455</v>
      </c>
      <c r="E564" s="5" t="s">
        <v>2456</v>
      </c>
      <c r="F564" s="5" t="s">
        <v>2394</v>
      </c>
      <c r="G564" s="5" t="s">
        <v>2457</v>
      </c>
      <c r="H564" s="5" t="s">
        <v>12</v>
      </c>
      <c r="I564" s="5" t="s">
        <v>40</v>
      </c>
      <c r="J564" s="5" t="s">
        <v>41</v>
      </c>
      <c r="K564" s="5"/>
    </row>
    <row r="565" spans="1:11">
      <c r="A565" s="5" t="s">
        <v>2230</v>
      </c>
      <c r="B565" s="5" t="s">
        <v>2458</v>
      </c>
      <c r="C565" s="5" t="s">
        <v>35</v>
      </c>
      <c r="D565" s="5" t="s">
        <v>2459</v>
      </c>
      <c r="E565" s="5" t="s">
        <v>2460</v>
      </c>
      <c r="F565" s="5" t="s">
        <v>2461</v>
      </c>
      <c r="G565" s="5" t="s">
        <v>2462</v>
      </c>
      <c r="H565" s="5" t="s">
        <v>12</v>
      </c>
      <c r="I565" s="5" t="s">
        <v>40</v>
      </c>
      <c r="J565" s="5" t="s">
        <v>41</v>
      </c>
      <c r="K565" s="5"/>
    </row>
    <row r="566" spans="1:11">
      <c r="A566" s="5" t="s">
        <v>2230</v>
      </c>
      <c r="B566" s="5" t="s">
        <v>2463</v>
      </c>
      <c r="C566" s="5" t="s">
        <v>35</v>
      </c>
      <c r="D566" s="5" t="s">
        <v>2464</v>
      </c>
      <c r="E566" s="5" t="s">
        <v>2465</v>
      </c>
      <c r="F566" s="5" t="s">
        <v>2466</v>
      </c>
      <c r="G566" s="5" t="s">
        <v>2467</v>
      </c>
      <c r="H566" s="5" t="s">
        <v>12</v>
      </c>
      <c r="I566" s="5" t="s">
        <v>40</v>
      </c>
      <c r="J566" s="5" t="s">
        <v>41</v>
      </c>
      <c r="K566" s="5"/>
    </row>
    <row r="567" spans="1:11">
      <c r="A567" s="5" t="s">
        <v>2230</v>
      </c>
      <c r="B567" s="5" t="s">
        <v>2468</v>
      </c>
      <c r="C567" s="5" t="s">
        <v>35</v>
      </c>
      <c r="D567" s="5" t="s">
        <v>2469</v>
      </c>
      <c r="E567" s="5" t="s">
        <v>2470</v>
      </c>
      <c r="F567" s="5" t="s">
        <v>2466</v>
      </c>
      <c r="G567" s="5" t="s">
        <v>2471</v>
      </c>
      <c r="H567" s="5" t="s">
        <v>12</v>
      </c>
      <c r="I567" s="5" t="s">
        <v>40</v>
      </c>
      <c r="J567" s="5" t="s">
        <v>41</v>
      </c>
      <c r="K567" s="5"/>
    </row>
    <row r="568" spans="1:11">
      <c r="A568" s="5" t="s">
        <v>2230</v>
      </c>
      <c r="B568" s="5" t="s">
        <v>2472</v>
      </c>
      <c r="C568" s="5" t="s">
        <v>35</v>
      </c>
      <c r="D568" s="5" t="s">
        <v>2473</v>
      </c>
      <c r="E568" s="5" t="s">
        <v>2474</v>
      </c>
      <c r="F568" s="5" t="s">
        <v>2466</v>
      </c>
      <c r="G568" s="5" t="s">
        <v>2475</v>
      </c>
      <c r="H568" s="5" t="s">
        <v>12</v>
      </c>
      <c r="I568" s="5" t="s">
        <v>40</v>
      </c>
      <c r="J568" s="5" t="s">
        <v>41</v>
      </c>
      <c r="K568" s="5"/>
    </row>
    <row r="569" spans="1:11">
      <c r="A569" s="5" t="s">
        <v>2230</v>
      </c>
      <c r="B569" s="5" t="s">
        <v>2476</v>
      </c>
      <c r="C569" s="5" t="s">
        <v>35</v>
      </c>
      <c r="D569" s="5" t="s">
        <v>2477</v>
      </c>
      <c r="E569" s="5" t="s">
        <v>2478</v>
      </c>
      <c r="F569" s="5" t="s">
        <v>2466</v>
      </c>
      <c r="G569" s="5" t="s">
        <v>2479</v>
      </c>
      <c r="H569" s="5" t="s">
        <v>12</v>
      </c>
      <c r="I569" s="5" t="s">
        <v>40</v>
      </c>
      <c r="J569" s="5" t="s">
        <v>41</v>
      </c>
      <c r="K569" s="5"/>
    </row>
    <row r="570" spans="1:11">
      <c r="A570" s="5" t="s">
        <v>2230</v>
      </c>
      <c r="B570" s="5" t="s">
        <v>2480</v>
      </c>
      <c r="C570" s="5" t="s">
        <v>35</v>
      </c>
      <c r="D570" s="5" t="s">
        <v>2481</v>
      </c>
      <c r="E570" s="5" t="s">
        <v>2482</v>
      </c>
      <c r="F570" s="5" t="s">
        <v>2483</v>
      </c>
      <c r="G570" s="5" t="s">
        <v>2484</v>
      </c>
      <c r="H570" s="5" t="s">
        <v>12</v>
      </c>
      <c r="I570" s="5" t="s">
        <v>40</v>
      </c>
      <c r="J570" s="5" t="s">
        <v>41</v>
      </c>
      <c r="K570" s="5"/>
    </row>
    <row r="571" spans="1:11">
      <c r="A571" s="5" t="s">
        <v>2230</v>
      </c>
      <c r="B571" s="5" t="s">
        <v>2485</v>
      </c>
      <c r="C571" s="5" t="s">
        <v>35</v>
      </c>
      <c r="D571" s="5" t="s">
        <v>2486</v>
      </c>
      <c r="E571" s="5" t="s">
        <v>2487</v>
      </c>
      <c r="F571" s="5" t="s">
        <v>2461</v>
      </c>
      <c r="G571" s="5" t="s">
        <v>2488</v>
      </c>
      <c r="H571" s="5" t="s">
        <v>12</v>
      </c>
      <c r="I571" s="5" t="s">
        <v>40</v>
      </c>
      <c r="J571" s="5" t="s">
        <v>41</v>
      </c>
      <c r="K571" s="5"/>
    </row>
    <row r="572" spans="1:11">
      <c r="A572" s="5" t="s">
        <v>2230</v>
      </c>
      <c r="B572" s="5" t="s">
        <v>2489</v>
      </c>
      <c r="C572" s="5" t="s">
        <v>35</v>
      </c>
      <c r="D572" s="5" t="s">
        <v>2490</v>
      </c>
      <c r="E572" s="5" t="s">
        <v>2491</v>
      </c>
      <c r="F572" s="5" t="s">
        <v>2492</v>
      </c>
      <c r="G572" s="5" t="s">
        <v>2493</v>
      </c>
      <c r="H572" s="5" t="s">
        <v>12</v>
      </c>
      <c r="I572" s="5" t="s">
        <v>40</v>
      </c>
      <c r="J572" s="5" t="s">
        <v>41</v>
      </c>
      <c r="K572" s="5"/>
    </row>
    <row r="573" spans="1:11">
      <c r="A573" s="5" t="s">
        <v>2230</v>
      </c>
      <c r="B573" s="5" t="s">
        <v>2494</v>
      </c>
      <c r="C573" s="5" t="s">
        <v>35</v>
      </c>
      <c r="D573" s="5" t="s">
        <v>2495</v>
      </c>
      <c r="E573" s="5" t="s">
        <v>2496</v>
      </c>
      <c r="F573" s="5" t="s">
        <v>2497</v>
      </c>
      <c r="G573" s="5" t="s">
        <v>2498</v>
      </c>
      <c r="H573" s="5" t="s">
        <v>12</v>
      </c>
      <c r="I573" s="5" t="s">
        <v>40</v>
      </c>
      <c r="J573" s="5" t="s">
        <v>41</v>
      </c>
      <c r="K573" s="5"/>
    </row>
    <row r="574" spans="1:11">
      <c r="A574" s="5" t="s">
        <v>2230</v>
      </c>
      <c r="B574" s="5" t="s">
        <v>2499</v>
      </c>
      <c r="C574" s="5" t="s">
        <v>35</v>
      </c>
      <c r="D574" s="5" t="s">
        <v>2500</v>
      </c>
      <c r="E574" s="5" t="s">
        <v>2501</v>
      </c>
      <c r="F574" s="5" t="s">
        <v>2502</v>
      </c>
      <c r="G574" s="5" t="s">
        <v>2503</v>
      </c>
      <c r="H574" s="5" t="s">
        <v>12</v>
      </c>
      <c r="I574" s="5" t="s">
        <v>40</v>
      </c>
      <c r="J574" s="5" t="s">
        <v>41</v>
      </c>
      <c r="K574" s="5"/>
    </row>
    <row r="575" spans="1:11">
      <c r="A575" s="5" t="s">
        <v>2230</v>
      </c>
      <c r="B575" s="5" t="s">
        <v>2504</v>
      </c>
      <c r="C575" s="5" t="s">
        <v>35</v>
      </c>
      <c r="D575" s="5" t="s">
        <v>2505</v>
      </c>
      <c r="E575" s="5" t="s">
        <v>2506</v>
      </c>
      <c r="F575" s="5" t="s">
        <v>2507</v>
      </c>
      <c r="G575" s="5" t="s">
        <v>2508</v>
      </c>
      <c r="H575" s="5" t="s">
        <v>12</v>
      </c>
      <c r="I575" s="5" t="s">
        <v>40</v>
      </c>
      <c r="J575" s="5" t="s">
        <v>41</v>
      </c>
      <c r="K575" s="5"/>
    </row>
    <row r="576" spans="1:11">
      <c r="A576" s="5" t="s">
        <v>2230</v>
      </c>
      <c r="B576" s="5" t="s">
        <v>2509</v>
      </c>
      <c r="C576" s="5" t="s">
        <v>35</v>
      </c>
      <c r="D576" s="5" t="s">
        <v>2510</v>
      </c>
      <c r="E576" s="5" t="s">
        <v>2511</v>
      </c>
      <c r="F576" s="5" t="s">
        <v>2502</v>
      </c>
      <c r="G576" s="5" t="s">
        <v>2512</v>
      </c>
      <c r="H576" s="5" t="s">
        <v>12</v>
      </c>
      <c r="I576" s="5" t="s">
        <v>40</v>
      </c>
      <c r="J576" s="5" t="s">
        <v>41</v>
      </c>
      <c r="K576" s="5"/>
    </row>
    <row r="577" spans="1:11">
      <c r="A577" s="5" t="s">
        <v>2230</v>
      </c>
      <c r="B577" s="5" t="s">
        <v>2513</v>
      </c>
      <c r="C577" s="5" t="s">
        <v>35</v>
      </c>
      <c r="D577" s="5" t="s">
        <v>2514</v>
      </c>
      <c r="E577" s="5" t="s">
        <v>2515</v>
      </c>
      <c r="F577" s="5" t="s">
        <v>2502</v>
      </c>
      <c r="G577" s="5" t="s">
        <v>2516</v>
      </c>
      <c r="H577" s="5" t="s">
        <v>12</v>
      </c>
      <c r="I577" s="5" t="s">
        <v>40</v>
      </c>
      <c r="J577" s="5" t="s">
        <v>41</v>
      </c>
      <c r="K577" s="5"/>
    </row>
    <row r="578" spans="1:11">
      <c r="A578" s="5" t="s">
        <v>2230</v>
      </c>
      <c r="B578" s="5" t="s">
        <v>2517</v>
      </c>
      <c r="C578" s="5" t="s">
        <v>35</v>
      </c>
      <c r="D578" s="5" t="s">
        <v>2518</v>
      </c>
      <c r="E578" s="5" t="s">
        <v>2519</v>
      </c>
      <c r="F578" s="5" t="s">
        <v>2461</v>
      </c>
      <c r="G578" s="5" t="s">
        <v>2520</v>
      </c>
      <c r="H578" s="5" t="s">
        <v>12</v>
      </c>
      <c r="I578" s="5" t="s">
        <v>40</v>
      </c>
      <c r="J578" s="5" t="s">
        <v>41</v>
      </c>
      <c r="K578" s="5"/>
    </row>
    <row r="579" spans="1:11">
      <c r="A579" s="5" t="s">
        <v>2230</v>
      </c>
      <c r="B579" s="5" t="s">
        <v>2521</v>
      </c>
      <c r="C579" s="5" t="s">
        <v>35</v>
      </c>
      <c r="D579" s="5" t="s">
        <v>2522</v>
      </c>
      <c r="E579" s="5" t="s">
        <v>2523</v>
      </c>
      <c r="F579" s="5" t="s">
        <v>2524</v>
      </c>
      <c r="G579" s="5" t="s">
        <v>2525</v>
      </c>
      <c r="H579" s="5" t="s">
        <v>12</v>
      </c>
      <c r="I579" s="5" t="s">
        <v>40</v>
      </c>
      <c r="J579" s="5" t="s">
        <v>41</v>
      </c>
      <c r="K579" s="5"/>
    </row>
    <row r="580" spans="1:11">
      <c r="A580" s="5" t="s">
        <v>2230</v>
      </c>
      <c r="B580" s="5" t="s">
        <v>2526</v>
      </c>
      <c r="C580" s="5" t="s">
        <v>35</v>
      </c>
      <c r="D580" s="5" t="s">
        <v>2527</v>
      </c>
      <c r="E580" s="5" t="s">
        <v>2501</v>
      </c>
      <c r="F580" s="5" t="s">
        <v>2528</v>
      </c>
      <c r="G580" s="5" t="s">
        <v>2529</v>
      </c>
      <c r="H580" s="5" t="s">
        <v>12</v>
      </c>
      <c r="I580" s="5" t="s">
        <v>40</v>
      </c>
      <c r="J580" s="5" t="s">
        <v>41</v>
      </c>
      <c r="K580" s="5"/>
    </row>
    <row r="581" spans="1:11">
      <c r="A581" s="5" t="s">
        <v>2230</v>
      </c>
      <c r="B581" s="5" t="s">
        <v>2530</v>
      </c>
      <c r="C581" s="5" t="s">
        <v>35</v>
      </c>
      <c r="D581" s="5" t="s">
        <v>2531</v>
      </c>
      <c r="E581" s="5" t="s">
        <v>2532</v>
      </c>
      <c r="F581" s="5" t="s">
        <v>2528</v>
      </c>
      <c r="G581" s="5" t="s">
        <v>2533</v>
      </c>
      <c r="H581" s="5" t="s">
        <v>12</v>
      </c>
      <c r="I581" s="5" t="s">
        <v>40</v>
      </c>
      <c r="J581" s="5" t="s">
        <v>41</v>
      </c>
      <c r="K581" s="5"/>
    </row>
    <row r="582" spans="1:11">
      <c r="A582" s="5" t="s">
        <v>2230</v>
      </c>
      <c r="B582" s="5" t="s">
        <v>2534</v>
      </c>
      <c r="C582" s="5" t="s">
        <v>35</v>
      </c>
      <c r="D582" s="5" t="s">
        <v>2535</v>
      </c>
      <c r="E582" s="5" t="s">
        <v>2536</v>
      </c>
      <c r="F582" s="5" t="s">
        <v>2528</v>
      </c>
      <c r="G582" s="5" t="s">
        <v>2537</v>
      </c>
      <c r="H582" s="5" t="s">
        <v>12</v>
      </c>
      <c r="I582" s="5" t="s">
        <v>40</v>
      </c>
      <c r="J582" s="5" t="s">
        <v>41</v>
      </c>
      <c r="K582" s="5"/>
    </row>
    <row r="583" spans="1:11">
      <c r="A583" s="5" t="s">
        <v>2230</v>
      </c>
      <c r="B583" s="5" t="s">
        <v>2538</v>
      </c>
      <c r="C583" s="5" t="s">
        <v>35</v>
      </c>
      <c r="D583" s="5" t="s">
        <v>2539</v>
      </c>
      <c r="E583" s="5" t="s">
        <v>2540</v>
      </c>
      <c r="F583" s="5" t="s">
        <v>2541</v>
      </c>
      <c r="G583" s="5" t="s">
        <v>2542</v>
      </c>
      <c r="H583" s="5" t="s">
        <v>12</v>
      </c>
      <c r="I583" s="5" t="s">
        <v>40</v>
      </c>
      <c r="J583" s="5" t="s">
        <v>41</v>
      </c>
      <c r="K583" s="5"/>
    </row>
    <row r="584" spans="1:11">
      <c r="A584" s="5" t="s">
        <v>2230</v>
      </c>
      <c r="B584" s="5" t="s">
        <v>2543</v>
      </c>
      <c r="C584" s="5" t="s">
        <v>35</v>
      </c>
      <c r="D584" s="5" t="s">
        <v>2544</v>
      </c>
      <c r="E584" s="5" t="s">
        <v>2545</v>
      </c>
      <c r="F584" s="5" t="s">
        <v>2546</v>
      </c>
      <c r="G584" s="5" t="s">
        <v>2547</v>
      </c>
      <c r="H584" s="5" t="s">
        <v>12</v>
      </c>
      <c r="I584" s="5" t="s">
        <v>40</v>
      </c>
      <c r="J584" s="5" t="s">
        <v>41</v>
      </c>
      <c r="K584" s="5"/>
    </row>
    <row r="585" spans="1:11">
      <c r="A585" s="5" t="s">
        <v>2230</v>
      </c>
      <c r="B585" s="5" t="s">
        <v>2548</v>
      </c>
      <c r="C585" s="5" t="s">
        <v>35</v>
      </c>
      <c r="D585" s="5" t="s">
        <v>2549</v>
      </c>
      <c r="E585" s="5" t="s">
        <v>2550</v>
      </c>
      <c r="F585" s="5" t="s">
        <v>2546</v>
      </c>
      <c r="G585" s="5" t="s">
        <v>2551</v>
      </c>
      <c r="H585" s="5" t="s">
        <v>12</v>
      </c>
      <c r="I585" s="5" t="s">
        <v>40</v>
      </c>
      <c r="J585" s="5" t="s">
        <v>41</v>
      </c>
      <c r="K585" s="5"/>
    </row>
    <row r="586" spans="1:11">
      <c r="A586" s="5" t="s">
        <v>2230</v>
      </c>
      <c r="B586" s="5" t="s">
        <v>2552</v>
      </c>
      <c r="C586" s="5" t="s">
        <v>35</v>
      </c>
      <c r="D586" s="5" t="s">
        <v>2553</v>
      </c>
      <c r="E586" s="5" t="s">
        <v>2554</v>
      </c>
      <c r="F586" s="5" t="s">
        <v>2546</v>
      </c>
      <c r="G586" s="5" t="s">
        <v>2555</v>
      </c>
      <c r="H586" s="5" t="s">
        <v>12</v>
      </c>
      <c r="I586" s="5" t="s">
        <v>40</v>
      </c>
      <c r="J586" s="5" t="s">
        <v>41</v>
      </c>
      <c r="K586" s="5"/>
    </row>
    <row r="587" spans="1:11">
      <c r="A587" s="5" t="s">
        <v>2230</v>
      </c>
      <c r="B587" s="5" t="s">
        <v>2556</v>
      </c>
      <c r="C587" s="5" t="s">
        <v>35</v>
      </c>
      <c r="D587" s="5" t="s">
        <v>2557</v>
      </c>
      <c r="E587" s="5" t="s">
        <v>2558</v>
      </c>
      <c r="F587" s="5" t="s">
        <v>2096</v>
      </c>
      <c r="G587" s="5" t="s">
        <v>2559</v>
      </c>
      <c r="H587" s="5" t="s">
        <v>12</v>
      </c>
      <c r="I587" s="5" t="s">
        <v>40</v>
      </c>
      <c r="J587" s="5" t="s">
        <v>41</v>
      </c>
      <c r="K587" s="5"/>
    </row>
    <row r="588" spans="1:11">
      <c r="A588" s="5" t="s">
        <v>2230</v>
      </c>
      <c r="B588" s="5" t="s">
        <v>2560</v>
      </c>
      <c r="C588" s="5" t="s">
        <v>35</v>
      </c>
      <c r="D588" s="5" t="s">
        <v>2561</v>
      </c>
      <c r="E588" s="5" t="s">
        <v>2562</v>
      </c>
      <c r="F588" s="5" t="s">
        <v>2096</v>
      </c>
      <c r="G588" s="5" t="s">
        <v>2563</v>
      </c>
      <c r="H588" s="5" t="s">
        <v>12</v>
      </c>
      <c r="I588" s="5" t="s">
        <v>40</v>
      </c>
      <c r="J588" s="5" t="s">
        <v>41</v>
      </c>
      <c r="K588" s="5"/>
    </row>
    <row r="589" spans="1:11">
      <c r="A589" s="5" t="s">
        <v>2564</v>
      </c>
      <c r="B589" s="5" t="s">
        <v>2565</v>
      </c>
      <c r="C589" s="5" t="s">
        <v>35</v>
      </c>
      <c r="D589" s="5" t="s">
        <v>2566</v>
      </c>
      <c r="E589" s="5" t="s">
        <v>2567</v>
      </c>
      <c r="F589" s="5" t="s">
        <v>2568</v>
      </c>
      <c r="G589" s="5" t="s">
        <v>2569</v>
      </c>
      <c r="H589" s="5" t="s">
        <v>12</v>
      </c>
      <c r="I589" s="5" t="s">
        <v>40</v>
      </c>
      <c r="J589" s="5" t="s">
        <v>41</v>
      </c>
      <c r="K589" s="5"/>
    </row>
    <row r="590" spans="1:11">
      <c r="A590" s="5" t="s">
        <v>2564</v>
      </c>
      <c r="B590" s="5" t="s">
        <v>2570</v>
      </c>
      <c r="C590" s="5" t="s">
        <v>35</v>
      </c>
      <c r="D590" s="5" t="s">
        <v>2571</v>
      </c>
      <c r="E590" s="5" t="s">
        <v>2572</v>
      </c>
      <c r="F590" s="5" t="s">
        <v>2573</v>
      </c>
      <c r="G590" s="5" t="s">
        <v>2574</v>
      </c>
      <c r="H590" s="5" t="s">
        <v>12</v>
      </c>
      <c r="I590" s="5" t="s">
        <v>40</v>
      </c>
      <c r="J590" s="5" t="s">
        <v>41</v>
      </c>
      <c r="K590" s="5"/>
    </row>
    <row r="591" spans="1:11">
      <c r="A591" s="5" t="s">
        <v>2564</v>
      </c>
      <c r="B591" s="5" t="s">
        <v>2575</v>
      </c>
      <c r="C591" s="5" t="s">
        <v>35</v>
      </c>
      <c r="D591" s="5" t="s">
        <v>2576</v>
      </c>
      <c r="E591" s="5" t="s">
        <v>2577</v>
      </c>
      <c r="F591" s="5" t="s">
        <v>2568</v>
      </c>
      <c r="G591" s="5" t="s">
        <v>2578</v>
      </c>
      <c r="H591" s="5" t="s">
        <v>12</v>
      </c>
      <c r="I591" s="5" t="s">
        <v>40</v>
      </c>
      <c r="J591" s="5" t="s">
        <v>41</v>
      </c>
      <c r="K591" s="5"/>
    </row>
    <row r="592" spans="1:11">
      <c r="A592" s="5" t="s">
        <v>2564</v>
      </c>
      <c r="B592" s="5" t="s">
        <v>2579</v>
      </c>
      <c r="C592" s="5" t="s">
        <v>35</v>
      </c>
      <c r="D592" s="5" t="s">
        <v>2580</v>
      </c>
      <c r="E592" s="5" t="s">
        <v>2581</v>
      </c>
      <c r="F592" s="5" t="s">
        <v>2582</v>
      </c>
      <c r="G592" s="5" t="s">
        <v>2583</v>
      </c>
      <c r="H592" s="5" t="s">
        <v>12</v>
      </c>
      <c r="I592" s="5" t="s">
        <v>40</v>
      </c>
      <c r="J592" s="5" t="s">
        <v>41</v>
      </c>
      <c r="K592" s="5"/>
    </row>
    <row r="593" spans="1:11">
      <c r="A593" s="5" t="s">
        <v>2564</v>
      </c>
      <c r="B593" s="5" t="s">
        <v>2584</v>
      </c>
      <c r="C593" s="5" t="s">
        <v>35</v>
      </c>
      <c r="D593" s="5" t="s">
        <v>2585</v>
      </c>
      <c r="E593" s="5" t="s">
        <v>2586</v>
      </c>
      <c r="F593" s="5" t="s">
        <v>2587</v>
      </c>
      <c r="G593" s="5" t="s">
        <v>2588</v>
      </c>
      <c r="H593" s="5" t="s">
        <v>12</v>
      </c>
      <c r="I593" s="5" t="s">
        <v>40</v>
      </c>
      <c r="J593" s="5" t="s">
        <v>41</v>
      </c>
      <c r="K593" s="5"/>
    </row>
    <row r="594" spans="1:11">
      <c r="A594" s="5" t="s">
        <v>2564</v>
      </c>
      <c r="B594" s="5" t="s">
        <v>2589</v>
      </c>
      <c r="C594" s="5" t="s">
        <v>35</v>
      </c>
      <c r="D594" s="5" t="s">
        <v>2590</v>
      </c>
      <c r="E594" s="5" t="s">
        <v>2591</v>
      </c>
      <c r="F594" s="5" t="s">
        <v>2592</v>
      </c>
      <c r="G594" s="5" t="s">
        <v>2593</v>
      </c>
      <c r="H594" s="5" t="s">
        <v>12</v>
      </c>
      <c r="I594" s="5" t="s">
        <v>40</v>
      </c>
      <c r="J594" s="5" t="s">
        <v>41</v>
      </c>
      <c r="K594" s="5"/>
    </row>
    <row r="595" spans="1:11">
      <c r="A595" s="5" t="s">
        <v>2564</v>
      </c>
      <c r="B595" s="5" t="s">
        <v>2594</v>
      </c>
      <c r="C595" s="5" t="s">
        <v>35</v>
      </c>
      <c r="D595" s="5" t="s">
        <v>2595</v>
      </c>
      <c r="E595" s="5" t="s">
        <v>2596</v>
      </c>
      <c r="F595" s="5" t="s">
        <v>2011</v>
      </c>
      <c r="G595" s="5" t="s">
        <v>2597</v>
      </c>
      <c r="H595" s="5" t="s">
        <v>12</v>
      </c>
      <c r="I595" s="5" t="s">
        <v>40</v>
      </c>
      <c r="J595" s="5" t="s">
        <v>41</v>
      </c>
      <c r="K595" s="5"/>
    </row>
    <row r="596" spans="1:11">
      <c r="A596" s="5" t="s">
        <v>2564</v>
      </c>
      <c r="B596" s="5" t="s">
        <v>2598</v>
      </c>
      <c r="C596" s="5" t="s">
        <v>35</v>
      </c>
      <c r="D596" s="5" t="s">
        <v>2599</v>
      </c>
      <c r="E596" s="5" t="s">
        <v>2600</v>
      </c>
      <c r="F596" s="5" t="s">
        <v>2601</v>
      </c>
      <c r="G596" s="5" t="s">
        <v>2602</v>
      </c>
      <c r="H596" s="5" t="s">
        <v>12</v>
      </c>
      <c r="I596" s="5" t="s">
        <v>40</v>
      </c>
      <c r="J596" s="5" t="s">
        <v>41</v>
      </c>
      <c r="K596" s="5"/>
    </row>
    <row r="597" spans="1:11">
      <c r="A597" s="5" t="s">
        <v>2564</v>
      </c>
      <c r="B597" s="5" t="s">
        <v>2603</v>
      </c>
      <c r="C597" s="5" t="s">
        <v>35</v>
      </c>
      <c r="D597" s="5" t="s">
        <v>2604</v>
      </c>
      <c r="E597" s="5" t="s">
        <v>2605</v>
      </c>
      <c r="F597" s="5" t="s">
        <v>2606</v>
      </c>
      <c r="G597" s="5" t="s">
        <v>2607</v>
      </c>
      <c r="H597" s="5" t="s">
        <v>12</v>
      </c>
      <c r="I597" s="5" t="s">
        <v>40</v>
      </c>
      <c r="J597" s="5" t="s">
        <v>41</v>
      </c>
      <c r="K597" s="5"/>
    </row>
    <row r="598" spans="1:11">
      <c r="A598" s="5" t="s">
        <v>2564</v>
      </c>
      <c r="B598" s="5" t="s">
        <v>2608</v>
      </c>
      <c r="C598" s="5" t="s">
        <v>35</v>
      </c>
      <c r="D598" s="5" t="s">
        <v>2609</v>
      </c>
      <c r="E598" s="5" t="s">
        <v>2610</v>
      </c>
      <c r="F598" s="5" t="s">
        <v>2601</v>
      </c>
      <c r="G598" s="5" t="s">
        <v>2611</v>
      </c>
      <c r="H598" s="5" t="s">
        <v>12</v>
      </c>
      <c r="I598" s="5" t="s">
        <v>40</v>
      </c>
      <c r="J598" s="5" t="s">
        <v>41</v>
      </c>
      <c r="K598" s="5"/>
    </row>
    <row r="599" spans="1:11">
      <c r="A599" s="5" t="s">
        <v>2564</v>
      </c>
      <c r="B599" s="5" t="s">
        <v>2612</v>
      </c>
      <c r="C599" s="5" t="s">
        <v>35</v>
      </c>
      <c r="D599" s="5" t="s">
        <v>2613</v>
      </c>
      <c r="E599" s="5" t="s">
        <v>2614</v>
      </c>
      <c r="F599" s="5" t="s">
        <v>2601</v>
      </c>
      <c r="G599" s="5" t="s">
        <v>2615</v>
      </c>
      <c r="H599" s="5" t="s">
        <v>12</v>
      </c>
      <c r="I599" s="5" t="s">
        <v>40</v>
      </c>
      <c r="J599" s="5" t="s">
        <v>41</v>
      </c>
      <c r="K599" s="5"/>
    </row>
    <row r="600" spans="1:11">
      <c r="A600" s="5" t="s">
        <v>2564</v>
      </c>
      <c r="B600" s="5" t="s">
        <v>2616</v>
      </c>
      <c r="C600" s="5" t="s">
        <v>35</v>
      </c>
      <c r="D600" s="5" t="s">
        <v>2617</v>
      </c>
      <c r="E600" s="5" t="s">
        <v>2618</v>
      </c>
      <c r="F600" s="5" t="s">
        <v>2619</v>
      </c>
      <c r="G600" s="5" t="s">
        <v>2620</v>
      </c>
      <c r="H600" s="5" t="s">
        <v>12</v>
      </c>
      <c r="I600" s="5" t="s">
        <v>40</v>
      </c>
      <c r="J600" s="5" t="s">
        <v>41</v>
      </c>
      <c r="K600" s="5"/>
    </row>
    <row r="601" spans="1:11">
      <c r="A601" s="5" t="s">
        <v>2621</v>
      </c>
      <c r="B601" s="5" t="s">
        <v>2622</v>
      </c>
      <c r="C601" s="5" t="s">
        <v>35</v>
      </c>
      <c r="D601" s="5" t="s">
        <v>2623</v>
      </c>
      <c r="E601" s="5" t="s">
        <v>2624</v>
      </c>
      <c r="F601" s="5" t="s">
        <v>2625</v>
      </c>
      <c r="G601" s="5" t="s">
        <v>2626</v>
      </c>
      <c r="H601" s="5" t="s">
        <v>12</v>
      </c>
      <c r="I601" s="5" t="s">
        <v>40</v>
      </c>
      <c r="J601" s="5" t="s">
        <v>41</v>
      </c>
      <c r="K601" s="5"/>
    </row>
    <row r="602" spans="1:11">
      <c r="A602" s="5" t="s">
        <v>2621</v>
      </c>
      <c r="B602" s="5" t="s">
        <v>2627</v>
      </c>
      <c r="C602" s="5" t="s">
        <v>35</v>
      </c>
      <c r="D602" s="5" t="s">
        <v>2628</v>
      </c>
      <c r="E602" s="5" t="s">
        <v>2629</v>
      </c>
      <c r="F602" s="5" t="s">
        <v>2630</v>
      </c>
      <c r="G602" s="5" t="s">
        <v>2631</v>
      </c>
      <c r="H602" s="5" t="s">
        <v>12</v>
      </c>
      <c r="I602" s="5" t="s">
        <v>40</v>
      </c>
      <c r="J602" s="5" t="s">
        <v>41</v>
      </c>
      <c r="K602" s="5"/>
    </row>
    <row r="603" spans="1:11">
      <c r="A603" s="5" t="s">
        <v>2632</v>
      </c>
      <c r="B603" s="5" t="s">
        <v>2633</v>
      </c>
      <c r="C603" s="5" t="s">
        <v>35</v>
      </c>
      <c r="D603" s="5" t="s">
        <v>2634</v>
      </c>
      <c r="E603" s="5" t="s">
        <v>2635</v>
      </c>
      <c r="F603" s="5" t="s">
        <v>2636</v>
      </c>
      <c r="G603" s="5" t="s">
        <v>2637</v>
      </c>
      <c r="H603" s="5" t="s">
        <v>12</v>
      </c>
      <c r="I603" s="5" t="s">
        <v>40</v>
      </c>
      <c r="J603" s="5" t="s">
        <v>41</v>
      </c>
      <c r="K603" s="5"/>
    </row>
    <row r="604" spans="1:11">
      <c r="A604" s="5" t="s">
        <v>2632</v>
      </c>
      <c r="B604" s="5" t="s">
        <v>2638</v>
      </c>
      <c r="C604" s="5" t="s">
        <v>35</v>
      </c>
      <c r="D604" s="5" t="s">
        <v>2639</v>
      </c>
      <c r="E604" s="5" t="s">
        <v>2635</v>
      </c>
      <c r="F604" s="5" t="s">
        <v>2636</v>
      </c>
      <c r="G604" s="5" t="s">
        <v>2640</v>
      </c>
      <c r="H604" s="5" t="s">
        <v>12</v>
      </c>
      <c r="I604" s="5" t="s">
        <v>40</v>
      </c>
      <c r="J604" s="5" t="s">
        <v>41</v>
      </c>
      <c r="K604" s="5"/>
    </row>
    <row r="605" spans="1:11">
      <c r="A605" s="5" t="s">
        <v>2632</v>
      </c>
      <c r="B605" s="5" t="s">
        <v>2641</v>
      </c>
      <c r="C605" s="5" t="s">
        <v>35</v>
      </c>
      <c r="D605" s="5" t="s">
        <v>2642</v>
      </c>
      <c r="E605" s="5" t="s">
        <v>2635</v>
      </c>
      <c r="F605" s="5" t="s">
        <v>2636</v>
      </c>
      <c r="G605" s="5" t="s">
        <v>2643</v>
      </c>
      <c r="H605" s="5" t="s">
        <v>12</v>
      </c>
      <c r="I605" s="5" t="s">
        <v>40</v>
      </c>
      <c r="J605" s="5" t="s">
        <v>41</v>
      </c>
      <c r="K605" s="5"/>
    </row>
    <row r="606" spans="1:11">
      <c r="A606" s="5" t="s">
        <v>2632</v>
      </c>
      <c r="B606" s="5" t="s">
        <v>2644</v>
      </c>
      <c r="C606" s="5" t="s">
        <v>35</v>
      </c>
      <c r="D606" s="5" t="s">
        <v>2645</v>
      </c>
      <c r="E606" s="5" t="s">
        <v>2635</v>
      </c>
      <c r="F606" s="5" t="s">
        <v>2636</v>
      </c>
      <c r="G606" s="5" t="s">
        <v>2646</v>
      </c>
      <c r="H606" s="5" t="s">
        <v>12</v>
      </c>
      <c r="I606" s="5" t="s">
        <v>40</v>
      </c>
      <c r="J606" s="5" t="s">
        <v>41</v>
      </c>
      <c r="K606" s="5"/>
    </row>
    <row r="607" spans="1:11">
      <c r="A607" s="5" t="s">
        <v>2632</v>
      </c>
      <c r="B607" s="5" t="s">
        <v>2647</v>
      </c>
      <c r="C607" s="5" t="s">
        <v>35</v>
      </c>
      <c r="D607" s="5" t="s">
        <v>2648</v>
      </c>
      <c r="E607" s="5" t="s">
        <v>2635</v>
      </c>
      <c r="F607" s="5" t="s">
        <v>2636</v>
      </c>
      <c r="G607" s="5" t="s">
        <v>2649</v>
      </c>
      <c r="H607" s="5" t="s">
        <v>12</v>
      </c>
      <c r="I607" s="5" t="s">
        <v>40</v>
      </c>
      <c r="J607" s="5" t="s">
        <v>41</v>
      </c>
      <c r="K607" s="5"/>
    </row>
    <row r="608" spans="1:11">
      <c r="A608" s="5" t="s">
        <v>2632</v>
      </c>
      <c r="B608" s="5" t="s">
        <v>2650</v>
      </c>
      <c r="C608" s="5" t="s">
        <v>35</v>
      </c>
      <c r="D608" s="5" t="s">
        <v>2651</v>
      </c>
      <c r="E608" s="5" t="s">
        <v>2635</v>
      </c>
      <c r="F608" s="5" t="s">
        <v>2636</v>
      </c>
      <c r="G608" s="5" t="s">
        <v>2652</v>
      </c>
      <c r="H608" s="5" t="s">
        <v>12</v>
      </c>
      <c r="I608" s="5" t="s">
        <v>40</v>
      </c>
      <c r="J608" s="5" t="s">
        <v>41</v>
      </c>
      <c r="K608" s="5"/>
    </row>
    <row r="609" spans="1:11">
      <c r="A609" s="5" t="s">
        <v>2632</v>
      </c>
      <c r="B609" s="5" t="s">
        <v>2653</v>
      </c>
      <c r="C609" s="5" t="s">
        <v>35</v>
      </c>
      <c r="D609" s="5" t="s">
        <v>2654</v>
      </c>
      <c r="E609" s="5" t="s">
        <v>2635</v>
      </c>
      <c r="F609" s="5" t="s">
        <v>2636</v>
      </c>
      <c r="G609" s="5" t="s">
        <v>2655</v>
      </c>
      <c r="H609" s="5" t="s">
        <v>12</v>
      </c>
      <c r="I609" s="5" t="s">
        <v>40</v>
      </c>
      <c r="J609" s="5" t="s">
        <v>41</v>
      </c>
      <c r="K609" s="5"/>
    </row>
    <row r="610" spans="1:11">
      <c r="A610" s="5" t="s">
        <v>2632</v>
      </c>
      <c r="B610" s="5" t="s">
        <v>2656</v>
      </c>
      <c r="C610" s="5" t="s">
        <v>35</v>
      </c>
      <c r="D610" s="5" t="s">
        <v>2657</v>
      </c>
      <c r="E610" s="5" t="s">
        <v>2635</v>
      </c>
      <c r="F610" s="5" t="s">
        <v>2636</v>
      </c>
      <c r="G610" s="5" t="s">
        <v>2658</v>
      </c>
      <c r="H610" s="5" t="s">
        <v>12</v>
      </c>
      <c r="I610" s="5" t="s">
        <v>40</v>
      </c>
      <c r="J610" s="5" t="s">
        <v>41</v>
      </c>
      <c r="K610" s="5"/>
    </row>
    <row r="611" spans="1:11">
      <c r="A611" s="5" t="s">
        <v>2632</v>
      </c>
      <c r="B611" s="5" t="s">
        <v>2659</v>
      </c>
      <c r="C611" s="5" t="s">
        <v>35</v>
      </c>
      <c r="D611" s="5" t="s">
        <v>2660</v>
      </c>
      <c r="E611" s="5" t="s">
        <v>2635</v>
      </c>
      <c r="F611" s="5" t="s">
        <v>2636</v>
      </c>
      <c r="G611" s="5" t="s">
        <v>2661</v>
      </c>
      <c r="H611" s="5" t="s">
        <v>12</v>
      </c>
      <c r="I611" s="5" t="s">
        <v>40</v>
      </c>
      <c r="J611" s="5" t="s">
        <v>41</v>
      </c>
      <c r="K611" s="5"/>
    </row>
    <row r="612" spans="1:11">
      <c r="A612" s="5" t="s">
        <v>2632</v>
      </c>
      <c r="B612" s="5" t="s">
        <v>2662</v>
      </c>
      <c r="C612" s="5" t="s">
        <v>35</v>
      </c>
      <c r="D612" s="5" t="s">
        <v>2663</v>
      </c>
      <c r="E612" s="5" t="s">
        <v>2635</v>
      </c>
      <c r="F612" s="5" t="s">
        <v>2636</v>
      </c>
      <c r="G612" s="5" t="s">
        <v>2664</v>
      </c>
      <c r="H612" s="5" t="s">
        <v>12</v>
      </c>
      <c r="I612" s="5" t="s">
        <v>40</v>
      </c>
      <c r="J612" s="5" t="s">
        <v>41</v>
      </c>
      <c r="K612" s="5"/>
    </row>
    <row r="613" spans="1:11">
      <c r="A613" s="5" t="s">
        <v>2632</v>
      </c>
      <c r="B613" s="5" t="s">
        <v>2665</v>
      </c>
      <c r="C613" s="5" t="s">
        <v>35</v>
      </c>
      <c r="D613" s="5" t="s">
        <v>2666</v>
      </c>
      <c r="E613" s="5" t="s">
        <v>2667</v>
      </c>
      <c r="F613" s="5" t="s">
        <v>1895</v>
      </c>
      <c r="G613" s="5" t="s">
        <v>2668</v>
      </c>
      <c r="H613" s="5" t="s">
        <v>12</v>
      </c>
      <c r="I613" s="5" t="s">
        <v>40</v>
      </c>
      <c r="J613" s="5" t="s">
        <v>41</v>
      </c>
      <c r="K613" s="5"/>
    </row>
    <row r="614" spans="1:11">
      <c r="A614" s="5" t="s">
        <v>2632</v>
      </c>
      <c r="B614" s="5" t="s">
        <v>2669</v>
      </c>
      <c r="C614" s="5" t="s">
        <v>35</v>
      </c>
      <c r="D614" s="5" t="s">
        <v>2670</v>
      </c>
      <c r="E614" s="5" t="s">
        <v>2671</v>
      </c>
      <c r="F614" s="5" t="s">
        <v>1864</v>
      </c>
      <c r="G614" s="5" t="s">
        <v>2672</v>
      </c>
      <c r="H614" s="5" t="s">
        <v>12</v>
      </c>
      <c r="I614" s="5" t="s">
        <v>40</v>
      </c>
      <c r="J614" s="5" t="s">
        <v>41</v>
      </c>
      <c r="K614" s="5"/>
    </row>
    <row r="615" spans="1:11">
      <c r="A615" s="5" t="s">
        <v>2632</v>
      </c>
      <c r="B615" s="5" t="s">
        <v>2673</v>
      </c>
      <c r="C615" s="5" t="s">
        <v>35</v>
      </c>
      <c r="D615" s="5" t="s">
        <v>2674</v>
      </c>
      <c r="E615" s="5" t="s">
        <v>2671</v>
      </c>
      <c r="F615" s="5" t="s">
        <v>1864</v>
      </c>
      <c r="G615" s="5" t="s">
        <v>2675</v>
      </c>
      <c r="H615" s="5" t="s">
        <v>12</v>
      </c>
      <c r="I615" s="5" t="s">
        <v>40</v>
      </c>
      <c r="J615" s="5" t="s">
        <v>41</v>
      </c>
      <c r="K615" s="5"/>
    </row>
    <row r="616" spans="1:11">
      <c r="A616" s="5" t="s">
        <v>2632</v>
      </c>
      <c r="B616" s="5" t="s">
        <v>2676</v>
      </c>
      <c r="C616" s="5" t="s">
        <v>35</v>
      </c>
      <c r="D616" s="5" t="s">
        <v>2677</v>
      </c>
      <c r="E616" s="5" t="s">
        <v>2635</v>
      </c>
      <c r="F616" s="5" t="s">
        <v>2636</v>
      </c>
      <c r="G616" s="5" t="s">
        <v>2678</v>
      </c>
      <c r="H616" s="5" t="s">
        <v>12</v>
      </c>
      <c r="I616" s="5" t="s">
        <v>40</v>
      </c>
      <c r="J616" s="5" t="s">
        <v>41</v>
      </c>
      <c r="K616" s="5"/>
    </row>
    <row r="617" spans="1:11">
      <c r="A617" s="5" t="s">
        <v>2632</v>
      </c>
      <c r="B617" s="5" t="s">
        <v>2679</v>
      </c>
      <c r="C617" s="5" t="s">
        <v>35</v>
      </c>
      <c r="D617" s="5" t="s">
        <v>2680</v>
      </c>
      <c r="E617" s="5" t="s">
        <v>2635</v>
      </c>
      <c r="F617" s="5" t="s">
        <v>2636</v>
      </c>
      <c r="G617" s="5" t="s">
        <v>2681</v>
      </c>
      <c r="H617" s="5" t="s">
        <v>12</v>
      </c>
      <c r="I617" s="5" t="s">
        <v>40</v>
      </c>
      <c r="J617" s="5" t="s">
        <v>41</v>
      </c>
      <c r="K617" s="5"/>
    </row>
    <row r="618" spans="1:11">
      <c r="A618" s="5" t="s">
        <v>2632</v>
      </c>
      <c r="B618" s="5" t="s">
        <v>2682</v>
      </c>
      <c r="C618" s="5" t="s">
        <v>35</v>
      </c>
      <c r="D618" s="5" t="s">
        <v>2683</v>
      </c>
      <c r="E618" s="5" t="s">
        <v>2635</v>
      </c>
      <c r="F618" s="5" t="s">
        <v>2636</v>
      </c>
      <c r="G618" s="5" t="s">
        <v>2684</v>
      </c>
      <c r="H618" s="5" t="s">
        <v>12</v>
      </c>
      <c r="I618" s="5" t="s">
        <v>40</v>
      </c>
      <c r="J618" s="5" t="s">
        <v>41</v>
      </c>
      <c r="K618" s="5"/>
    </row>
    <row r="619" spans="1:11">
      <c r="A619" s="5" t="s">
        <v>2632</v>
      </c>
      <c r="B619" s="5" t="s">
        <v>2685</v>
      </c>
      <c r="C619" s="5" t="s">
        <v>35</v>
      </c>
      <c r="D619" s="5" t="s">
        <v>2686</v>
      </c>
      <c r="E619" s="5" t="s">
        <v>2635</v>
      </c>
      <c r="F619" s="5" t="s">
        <v>2636</v>
      </c>
      <c r="G619" s="5" t="s">
        <v>2687</v>
      </c>
      <c r="H619" s="5" t="s">
        <v>12</v>
      </c>
      <c r="I619" s="5" t="s">
        <v>40</v>
      </c>
      <c r="J619" s="5" t="s">
        <v>41</v>
      </c>
      <c r="K619" s="5"/>
    </row>
    <row r="620" spans="1:11">
      <c r="A620" s="5" t="s">
        <v>2632</v>
      </c>
      <c r="B620" s="5" t="s">
        <v>2688</v>
      </c>
      <c r="C620" s="5" t="s">
        <v>35</v>
      </c>
      <c r="D620" s="5" t="s">
        <v>2689</v>
      </c>
      <c r="E620" s="5" t="s">
        <v>2635</v>
      </c>
      <c r="F620" s="5" t="s">
        <v>2636</v>
      </c>
      <c r="G620" s="5" t="s">
        <v>2690</v>
      </c>
      <c r="H620" s="5" t="s">
        <v>12</v>
      </c>
      <c r="I620" s="5" t="s">
        <v>40</v>
      </c>
      <c r="J620" s="5" t="s">
        <v>41</v>
      </c>
      <c r="K620" s="5"/>
    </row>
    <row r="621" spans="1:11">
      <c r="A621" s="5" t="s">
        <v>2632</v>
      </c>
      <c r="B621" s="5" t="s">
        <v>2691</v>
      </c>
      <c r="C621" s="5" t="s">
        <v>35</v>
      </c>
      <c r="D621" s="5" t="s">
        <v>2692</v>
      </c>
      <c r="E621" s="5" t="s">
        <v>2635</v>
      </c>
      <c r="F621" s="5" t="s">
        <v>2636</v>
      </c>
      <c r="G621" s="5" t="s">
        <v>2693</v>
      </c>
      <c r="H621" s="5" t="s">
        <v>12</v>
      </c>
      <c r="I621" s="5" t="s">
        <v>40</v>
      </c>
      <c r="J621" s="5" t="s">
        <v>41</v>
      </c>
      <c r="K621" s="5"/>
    </row>
    <row r="622" spans="1:11">
      <c r="A622" s="5" t="s">
        <v>2632</v>
      </c>
      <c r="B622" s="5" t="s">
        <v>2694</v>
      </c>
      <c r="C622" s="5" t="s">
        <v>35</v>
      </c>
      <c r="D622" s="5" t="s">
        <v>2695</v>
      </c>
      <c r="E622" s="5" t="s">
        <v>2635</v>
      </c>
      <c r="F622" s="5" t="s">
        <v>2636</v>
      </c>
      <c r="G622" s="5" t="s">
        <v>2696</v>
      </c>
      <c r="H622" s="5" t="s">
        <v>12</v>
      </c>
      <c r="I622" s="5" t="s">
        <v>40</v>
      </c>
      <c r="J622" s="5" t="s">
        <v>41</v>
      </c>
      <c r="K622" s="5"/>
    </row>
    <row r="623" spans="1:11">
      <c r="A623" s="5" t="s">
        <v>2632</v>
      </c>
      <c r="B623" s="5" t="s">
        <v>2697</v>
      </c>
      <c r="C623" s="5" t="s">
        <v>35</v>
      </c>
      <c r="D623" s="5" t="s">
        <v>2698</v>
      </c>
      <c r="E623" s="5" t="s">
        <v>2635</v>
      </c>
      <c r="F623" s="5" t="s">
        <v>2636</v>
      </c>
      <c r="G623" s="5" t="s">
        <v>2699</v>
      </c>
      <c r="H623" s="5" t="s">
        <v>12</v>
      </c>
      <c r="I623" s="5" t="s">
        <v>40</v>
      </c>
      <c r="J623" s="5" t="s">
        <v>41</v>
      </c>
      <c r="K623" s="5"/>
    </row>
    <row r="624" spans="1:11">
      <c r="A624" s="5" t="s">
        <v>2632</v>
      </c>
      <c r="B624" s="5" t="s">
        <v>2700</v>
      </c>
      <c r="C624" s="5" t="s">
        <v>35</v>
      </c>
      <c r="D624" s="5" t="s">
        <v>2701</v>
      </c>
      <c r="E624" s="5" t="s">
        <v>2635</v>
      </c>
      <c r="F624" s="5" t="s">
        <v>2636</v>
      </c>
      <c r="G624" s="5" t="s">
        <v>2702</v>
      </c>
      <c r="H624" s="5" t="s">
        <v>12</v>
      </c>
      <c r="I624" s="5" t="s">
        <v>40</v>
      </c>
      <c r="J624" s="5" t="s">
        <v>41</v>
      </c>
      <c r="K624" s="5"/>
    </row>
    <row r="625" spans="1:11">
      <c r="A625" s="5" t="s">
        <v>2632</v>
      </c>
      <c r="B625" s="5" t="s">
        <v>2703</v>
      </c>
      <c r="C625" s="5" t="s">
        <v>35</v>
      </c>
      <c r="D625" s="5" t="s">
        <v>2704</v>
      </c>
      <c r="E625" s="5" t="s">
        <v>2635</v>
      </c>
      <c r="F625" s="5" t="s">
        <v>2636</v>
      </c>
      <c r="G625" s="5" t="s">
        <v>2705</v>
      </c>
      <c r="H625" s="5" t="s">
        <v>12</v>
      </c>
      <c r="I625" s="5" t="s">
        <v>40</v>
      </c>
      <c r="J625" s="5" t="s">
        <v>41</v>
      </c>
      <c r="K625" s="5"/>
    </row>
    <row r="626" spans="1:11">
      <c r="A626" s="5" t="s">
        <v>2632</v>
      </c>
      <c r="B626" s="5" t="s">
        <v>2706</v>
      </c>
      <c r="C626" s="5" t="s">
        <v>35</v>
      </c>
      <c r="D626" s="5" t="s">
        <v>2707</v>
      </c>
      <c r="E626" s="5" t="s">
        <v>2671</v>
      </c>
      <c r="F626" s="5" t="s">
        <v>1864</v>
      </c>
      <c r="G626" s="5" t="s">
        <v>2708</v>
      </c>
      <c r="H626" s="5" t="s">
        <v>12</v>
      </c>
      <c r="I626" s="5" t="s">
        <v>40</v>
      </c>
      <c r="J626" s="5" t="s">
        <v>41</v>
      </c>
      <c r="K626" s="5"/>
    </row>
    <row r="627" spans="1:11">
      <c r="A627" s="5" t="s">
        <v>2632</v>
      </c>
      <c r="B627" s="5" t="s">
        <v>2709</v>
      </c>
      <c r="C627" s="5" t="s">
        <v>35</v>
      </c>
      <c r="D627" s="5" t="s">
        <v>2710</v>
      </c>
      <c r="E627" s="5" t="s">
        <v>2671</v>
      </c>
      <c r="F627" s="5" t="s">
        <v>1864</v>
      </c>
      <c r="G627" s="5" t="s">
        <v>2711</v>
      </c>
      <c r="H627" s="5" t="s">
        <v>12</v>
      </c>
      <c r="I627" s="5" t="s">
        <v>40</v>
      </c>
      <c r="J627" s="5" t="s">
        <v>41</v>
      </c>
      <c r="K627" s="5"/>
    </row>
    <row r="628" spans="1:11">
      <c r="A628" s="5" t="s">
        <v>2632</v>
      </c>
      <c r="B628" s="5" t="s">
        <v>2712</v>
      </c>
      <c r="C628" s="5" t="s">
        <v>35</v>
      </c>
      <c r="D628" s="5" t="s">
        <v>2713</v>
      </c>
      <c r="E628" s="5" t="s">
        <v>2714</v>
      </c>
      <c r="F628" s="5" t="s">
        <v>1864</v>
      </c>
      <c r="G628" s="5" t="s">
        <v>2715</v>
      </c>
      <c r="H628" s="5" t="s">
        <v>12</v>
      </c>
      <c r="I628" s="5" t="s">
        <v>40</v>
      </c>
      <c r="J628" s="5" t="s">
        <v>41</v>
      </c>
      <c r="K628" s="5"/>
    </row>
    <row r="629" spans="1:11">
      <c r="A629" s="5" t="s">
        <v>2632</v>
      </c>
      <c r="B629" s="5" t="s">
        <v>2716</v>
      </c>
      <c r="C629" s="5" t="s">
        <v>35</v>
      </c>
      <c r="D629" s="5" t="s">
        <v>2717</v>
      </c>
      <c r="E629" s="5" t="s">
        <v>2714</v>
      </c>
      <c r="F629" s="5" t="s">
        <v>1864</v>
      </c>
      <c r="G629" s="5" t="s">
        <v>2718</v>
      </c>
      <c r="H629" s="5" t="s">
        <v>12</v>
      </c>
      <c r="I629" s="5" t="s">
        <v>40</v>
      </c>
      <c r="J629" s="5" t="s">
        <v>41</v>
      </c>
      <c r="K629" s="5"/>
    </row>
    <row r="630" spans="1:11">
      <c r="A630" s="5" t="s">
        <v>2632</v>
      </c>
      <c r="B630" s="5" t="s">
        <v>2719</v>
      </c>
      <c r="C630" s="5" t="s">
        <v>35</v>
      </c>
      <c r="D630" s="5" t="s">
        <v>2720</v>
      </c>
      <c r="E630" s="5" t="s">
        <v>2721</v>
      </c>
      <c r="F630" s="5" t="s">
        <v>2722</v>
      </c>
      <c r="G630" s="5" t="s">
        <v>2723</v>
      </c>
      <c r="H630" s="5" t="s">
        <v>12</v>
      </c>
      <c r="I630" s="5" t="s">
        <v>40</v>
      </c>
      <c r="J630" s="5" t="s">
        <v>41</v>
      </c>
      <c r="K630" s="5"/>
    </row>
    <row r="631" spans="1:11">
      <c r="A631" s="5" t="s">
        <v>2632</v>
      </c>
      <c r="B631" s="5" t="s">
        <v>2724</v>
      </c>
      <c r="C631" s="5" t="s">
        <v>35</v>
      </c>
      <c r="D631" s="5" t="s">
        <v>2725</v>
      </c>
      <c r="E631" s="5" t="s">
        <v>2714</v>
      </c>
      <c r="F631" s="5" t="s">
        <v>1864</v>
      </c>
      <c r="G631" s="5" t="s">
        <v>2726</v>
      </c>
      <c r="H631" s="5" t="s">
        <v>12</v>
      </c>
      <c r="I631" s="5" t="s">
        <v>40</v>
      </c>
      <c r="J631" s="5" t="s">
        <v>41</v>
      </c>
      <c r="K631" s="5"/>
    </row>
    <row r="632" spans="1:11">
      <c r="A632" s="5" t="s">
        <v>2632</v>
      </c>
      <c r="B632" s="5" t="s">
        <v>2727</v>
      </c>
      <c r="C632" s="5" t="s">
        <v>35</v>
      </c>
      <c r="D632" s="5" t="s">
        <v>2728</v>
      </c>
      <c r="E632" s="5" t="s">
        <v>2729</v>
      </c>
      <c r="F632" s="5" t="s">
        <v>2730</v>
      </c>
      <c r="G632" s="5" t="s">
        <v>2731</v>
      </c>
      <c r="H632" s="5" t="s">
        <v>12</v>
      </c>
      <c r="I632" s="5" t="s">
        <v>40</v>
      </c>
      <c r="J632" s="5" t="s">
        <v>41</v>
      </c>
      <c r="K632" s="5"/>
    </row>
    <row r="633" spans="1:11">
      <c r="A633" s="5" t="s">
        <v>2632</v>
      </c>
      <c r="B633" s="5" t="s">
        <v>2732</v>
      </c>
      <c r="C633" s="5" t="s">
        <v>35</v>
      </c>
      <c r="D633" s="5" t="s">
        <v>2733</v>
      </c>
      <c r="E633" s="5" t="s">
        <v>2734</v>
      </c>
      <c r="F633" s="5" t="s">
        <v>2735</v>
      </c>
      <c r="G633" s="5" t="s">
        <v>2736</v>
      </c>
      <c r="H633" s="5" t="s">
        <v>12</v>
      </c>
      <c r="I633" s="5" t="s">
        <v>40</v>
      </c>
      <c r="J633" s="5" t="s">
        <v>41</v>
      </c>
      <c r="K633" s="5"/>
    </row>
    <row r="634" spans="1:11">
      <c r="A634" s="5" t="s">
        <v>2632</v>
      </c>
      <c r="B634" s="5" t="s">
        <v>2737</v>
      </c>
      <c r="C634" s="5" t="s">
        <v>35</v>
      </c>
      <c r="D634" s="5" t="s">
        <v>2738</v>
      </c>
      <c r="E634" s="5" t="s">
        <v>2739</v>
      </c>
      <c r="F634" s="5" t="s">
        <v>2740</v>
      </c>
      <c r="G634" s="5" t="s">
        <v>2741</v>
      </c>
      <c r="H634" s="5" t="s">
        <v>12</v>
      </c>
      <c r="I634" s="5" t="s">
        <v>40</v>
      </c>
      <c r="J634" s="5" t="s">
        <v>41</v>
      </c>
      <c r="K634" s="5"/>
    </row>
    <row r="635" spans="1:11">
      <c r="A635" s="5" t="s">
        <v>2632</v>
      </c>
      <c r="B635" s="5" t="s">
        <v>2742</v>
      </c>
      <c r="C635" s="5" t="s">
        <v>35</v>
      </c>
      <c r="D635" s="5" t="s">
        <v>2743</v>
      </c>
      <c r="E635" s="5" t="s">
        <v>2744</v>
      </c>
      <c r="F635" s="5" t="s">
        <v>2745</v>
      </c>
      <c r="G635" s="5" t="s">
        <v>2746</v>
      </c>
      <c r="H635" s="5" t="s">
        <v>12</v>
      </c>
      <c r="I635" s="5" t="s">
        <v>40</v>
      </c>
      <c r="J635" s="5" t="s">
        <v>41</v>
      </c>
      <c r="K635" s="5"/>
    </row>
    <row r="636" spans="1:11">
      <c r="A636" s="5" t="s">
        <v>2632</v>
      </c>
      <c r="B636" s="5" t="s">
        <v>2747</v>
      </c>
      <c r="C636" s="5" t="s">
        <v>35</v>
      </c>
      <c r="D636" s="5" t="s">
        <v>2748</v>
      </c>
      <c r="E636" s="5" t="s">
        <v>2749</v>
      </c>
      <c r="F636" s="5" t="s">
        <v>2750</v>
      </c>
      <c r="G636" s="5" t="s">
        <v>2751</v>
      </c>
      <c r="H636" s="5" t="s">
        <v>12</v>
      </c>
      <c r="I636" s="5" t="s">
        <v>40</v>
      </c>
      <c r="J636" s="5" t="s">
        <v>41</v>
      </c>
      <c r="K636" s="5"/>
    </row>
    <row r="637" spans="1:11">
      <c r="A637" s="5" t="s">
        <v>2632</v>
      </c>
      <c r="B637" s="5" t="s">
        <v>2752</v>
      </c>
      <c r="C637" s="5" t="s">
        <v>35</v>
      </c>
      <c r="D637" s="5" t="s">
        <v>2753</v>
      </c>
      <c r="E637" s="5" t="s">
        <v>2754</v>
      </c>
      <c r="F637" s="5" t="s">
        <v>2755</v>
      </c>
      <c r="G637" s="5" t="s">
        <v>2756</v>
      </c>
      <c r="H637" s="5" t="s">
        <v>12</v>
      </c>
      <c r="I637" s="5" t="s">
        <v>40</v>
      </c>
      <c r="J637" s="5" t="s">
        <v>41</v>
      </c>
      <c r="K637" s="5"/>
    </row>
    <row r="638" spans="1:11">
      <c r="A638" s="5" t="s">
        <v>2632</v>
      </c>
      <c r="B638" s="5" t="s">
        <v>2757</v>
      </c>
      <c r="C638" s="5" t="s">
        <v>35</v>
      </c>
      <c r="D638" s="5" t="s">
        <v>2758</v>
      </c>
      <c r="E638" s="5" t="s">
        <v>2744</v>
      </c>
      <c r="F638" s="5" t="s">
        <v>2745</v>
      </c>
      <c r="G638" s="5" t="s">
        <v>2759</v>
      </c>
      <c r="H638" s="5" t="s">
        <v>12</v>
      </c>
      <c r="I638" s="5" t="s">
        <v>40</v>
      </c>
      <c r="J638" s="5" t="s">
        <v>41</v>
      </c>
      <c r="K638" s="5"/>
    </row>
    <row r="639" spans="1:11">
      <c r="A639" s="5" t="s">
        <v>2632</v>
      </c>
      <c r="B639" s="5" t="s">
        <v>2760</v>
      </c>
      <c r="C639" s="5" t="s">
        <v>35</v>
      </c>
      <c r="D639" s="5" t="s">
        <v>2761</v>
      </c>
      <c r="E639" s="5" t="s">
        <v>2749</v>
      </c>
      <c r="F639" s="5" t="s">
        <v>2750</v>
      </c>
      <c r="G639" s="5" t="s">
        <v>2762</v>
      </c>
      <c r="H639" s="5" t="s">
        <v>12</v>
      </c>
      <c r="I639" s="5" t="s">
        <v>40</v>
      </c>
      <c r="J639" s="5" t="s">
        <v>41</v>
      </c>
      <c r="K639" s="5"/>
    </row>
    <row r="640" spans="1:11">
      <c r="A640" s="5" t="s">
        <v>2632</v>
      </c>
      <c r="B640" s="5" t="s">
        <v>2763</v>
      </c>
      <c r="C640" s="5" t="s">
        <v>35</v>
      </c>
      <c r="D640" s="5" t="s">
        <v>2764</v>
      </c>
      <c r="E640" s="5" t="s">
        <v>2754</v>
      </c>
      <c r="F640" s="5" t="s">
        <v>2765</v>
      </c>
      <c r="G640" s="5" t="s">
        <v>2766</v>
      </c>
      <c r="H640" s="5" t="s">
        <v>12</v>
      </c>
      <c r="I640" s="5" t="s">
        <v>40</v>
      </c>
      <c r="J640" s="5" t="s">
        <v>41</v>
      </c>
      <c r="K640" s="5"/>
    </row>
    <row r="641" spans="1:11">
      <c r="A641" s="5" t="s">
        <v>2632</v>
      </c>
      <c r="B641" s="5" t="s">
        <v>2767</v>
      </c>
      <c r="C641" s="5" t="s">
        <v>35</v>
      </c>
      <c r="D641" s="5" t="s">
        <v>2768</v>
      </c>
      <c r="E641" s="5" t="s">
        <v>2744</v>
      </c>
      <c r="F641" s="5" t="s">
        <v>2745</v>
      </c>
      <c r="G641" s="5" t="s">
        <v>2769</v>
      </c>
      <c r="H641" s="5" t="s">
        <v>12</v>
      </c>
      <c r="I641" s="5" t="s">
        <v>40</v>
      </c>
      <c r="J641" s="5" t="s">
        <v>41</v>
      </c>
      <c r="K641" s="5"/>
    </row>
    <row r="642" spans="1:11">
      <c r="A642" s="5" t="s">
        <v>2632</v>
      </c>
      <c r="B642" s="5" t="s">
        <v>2770</v>
      </c>
      <c r="C642" s="5" t="s">
        <v>35</v>
      </c>
      <c r="D642" s="5" t="s">
        <v>2771</v>
      </c>
      <c r="E642" s="5" t="s">
        <v>2749</v>
      </c>
      <c r="F642" s="5" t="s">
        <v>2750</v>
      </c>
      <c r="G642" s="5" t="s">
        <v>2772</v>
      </c>
      <c r="H642" s="5" t="s">
        <v>12</v>
      </c>
      <c r="I642" s="5" t="s">
        <v>40</v>
      </c>
      <c r="J642" s="5" t="s">
        <v>41</v>
      </c>
      <c r="K642" s="5"/>
    </row>
    <row r="643" spans="1:11">
      <c r="A643" s="5" t="s">
        <v>2632</v>
      </c>
      <c r="B643" s="5" t="s">
        <v>2773</v>
      </c>
      <c r="C643" s="5" t="s">
        <v>35</v>
      </c>
      <c r="D643" s="5" t="s">
        <v>2774</v>
      </c>
      <c r="E643" s="5" t="s">
        <v>2754</v>
      </c>
      <c r="F643" s="5" t="s">
        <v>2775</v>
      </c>
      <c r="G643" s="5" t="s">
        <v>2776</v>
      </c>
      <c r="H643" s="5" t="s">
        <v>12</v>
      </c>
      <c r="I643" s="5" t="s">
        <v>40</v>
      </c>
      <c r="J643" s="5" t="s">
        <v>41</v>
      </c>
      <c r="K643" s="5"/>
    </row>
    <row r="644" spans="1:11">
      <c r="A644" s="5" t="s">
        <v>2632</v>
      </c>
      <c r="B644" s="5" t="s">
        <v>2777</v>
      </c>
      <c r="C644" s="5" t="s">
        <v>35</v>
      </c>
      <c r="D644" s="5" t="s">
        <v>2778</v>
      </c>
      <c r="E644" s="5" t="s">
        <v>2744</v>
      </c>
      <c r="F644" s="5" t="s">
        <v>2745</v>
      </c>
      <c r="G644" s="5" t="s">
        <v>2779</v>
      </c>
      <c r="H644" s="5" t="s">
        <v>12</v>
      </c>
      <c r="I644" s="5" t="s">
        <v>40</v>
      </c>
      <c r="J644" s="5" t="s">
        <v>41</v>
      </c>
      <c r="K644" s="5"/>
    </row>
    <row r="645" spans="1:11">
      <c r="A645" s="5" t="s">
        <v>2632</v>
      </c>
      <c r="B645" s="5" t="s">
        <v>2780</v>
      </c>
      <c r="C645" s="5" t="s">
        <v>35</v>
      </c>
      <c r="D645" s="5" t="s">
        <v>2781</v>
      </c>
      <c r="E645" s="5" t="s">
        <v>2749</v>
      </c>
      <c r="F645" s="5" t="s">
        <v>2750</v>
      </c>
      <c r="G645" s="5" t="s">
        <v>2782</v>
      </c>
      <c r="H645" s="5" t="s">
        <v>12</v>
      </c>
      <c r="I645" s="5" t="s">
        <v>40</v>
      </c>
      <c r="J645" s="5" t="s">
        <v>41</v>
      </c>
      <c r="K645" s="5"/>
    </row>
    <row r="646" spans="1:11">
      <c r="A646" s="5" t="s">
        <v>2632</v>
      </c>
      <c r="B646" s="5" t="s">
        <v>2783</v>
      </c>
      <c r="C646" s="5" t="s">
        <v>35</v>
      </c>
      <c r="D646" s="5" t="s">
        <v>2784</v>
      </c>
      <c r="E646" s="5" t="s">
        <v>2739</v>
      </c>
      <c r="F646" s="5" t="s">
        <v>2740</v>
      </c>
      <c r="G646" s="5" t="s">
        <v>2785</v>
      </c>
      <c r="H646" s="5" t="s">
        <v>12</v>
      </c>
      <c r="I646" s="5" t="s">
        <v>40</v>
      </c>
      <c r="J646" s="5" t="s">
        <v>41</v>
      </c>
      <c r="K646" s="5"/>
    </row>
    <row r="647" spans="1:11">
      <c r="A647" s="5" t="s">
        <v>2632</v>
      </c>
      <c r="B647" s="5" t="s">
        <v>2786</v>
      </c>
      <c r="C647" s="5" t="s">
        <v>35</v>
      </c>
      <c r="D647" s="5" t="s">
        <v>2787</v>
      </c>
      <c r="E647" s="5" t="s">
        <v>2788</v>
      </c>
      <c r="F647" s="5" t="s">
        <v>2789</v>
      </c>
      <c r="G647" s="5" t="s">
        <v>2790</v>
      </c>
      <c r="H647" s="5" t="s">
        <v>12</v>
      </c>
      <c r="I647" s="5" t="s">
        <v>40</v>
      </c>
      <c r="J647" s="5" t="s">
        <v>41</v>
      </c>
      <c r="K647" s="5"/>
    </row>
    <row r="648" spans="1:11">
      <c r="A648" s="5" t="s">
        <v>2632</v>
      </c>
      <c r="B648" s="5" t="s">
        <v>2791</v>
      </c>
      <c r="C648" s="5" t="s">
        <v>35</v>
      </c>
      <c r="D648" s="5" t="s">
        <v>2792</v>
      </c>
      <c r="E648" s="5" t="s">
        <v>2793</v>
      </c>
      <c r="F648" s="5" t="s">
        <v>2789</v>
      </c>
      <c r="G648" s="5" t="s">
        <v>2794</v>
      </c>
      <c r="H648" s="5" t="s">
        <v>12</v>
      </c>
      <c r="I648" s="5" t="s">
        <v>40</v>
      </c>
      <c r="J648" s="5" t="s">
        <v>41</v>
      </c>
      <c r="K648" s="5"/>
    </row>
    <row r="649" spans="1:11">
      <c r="A649" s="5" t="s">
        <v>2632</v>
      </c>
      <c r="B649" s="5" t="s">
        <v>2795</v>
      </c>
      <c r="C649" s="5" t="s">
        <v>35</v>
      </c>
      <c r="D649" s="5" t="s">
        <v>2796</v>
      </c>
      <c r="E649" s="5" t="s">
        <v>2797</v>
      </c>
      <c r="F649" s="5" t="s">
        <v>2750</v>
      </c>
      <c r="G649" s="5" t="s">
        <v>2798</v>
      </c>
      <c r="H649" s="5" t="s">
        <v>12</v>
      </c>
      <c r="I649" s="5" t="s">
        <v>40</v>
      </c>
      <c r="J649" s="5" t="s">
        <v>41</v>
      </c>
      <c r="K649" s="5"/>
    </row>
    <row r="650" spans="1:11">
      <c r="A650" s="5" t="s">
        <v>2632</v>
      </c>
      <c r="B650" s="5" t="s">
        <v>2799</v>
      </c>
      <c r="C650" s="5" t="s">
        <v>35</v>
      </c>
      <c r="D650" s="5" t="s">
        <v>2800</v>
      </c>
      <c r="E650" s="5" t="s">
        <v>2739</v>
      </c>
      <c r="F650" s="5" t="s">
        <v>2801</v>
      </c>
      <c r="G650" s="5" t="s">
        <v>2802</v>
      </c>
      <c r="H650" s="5" t="s">
        <v>12</v>
      </c>
      <c r="I650" s="5" t="s">
        <v>40</v>
      </c>
      <c r="J650" s="5" t="s">
        <v>41</v>
      </c>
      <c r="K650" s="5"/>
    </row>
    <row r="651" spans="1:11">
      <c r="A651" s="5" t="s">
        <v>2632</v>
      </c>
      <c r="B651" s="5" t="s">
        <v>2803</v>
      </c>
      <c r="C651" s="5" t="s">
        <v>35</v>
      </c>
      <c r="D651" s="5" t="s">
        <v>2804</v>
      </c>
      <c r="E651" s="5" t="s">
        <v>2805</v>
      </c>
      <c r="F651" s="5" t="s">
        <v>2806</v>
      </c>
      <c r="G651" s="5" t="s">
        <v>2807</v>
      </c>
      <c r="H651" s="5" t="s">
        <v>12</v>
      </c>
      <c r="I651" s="5" t="s">
        <v>40</v>
      </c>
      <c r="J651" s="5" t="s">
        <v>41</v>
      </c>
      <c r="K651" s="5"/>
    </row>
    <row r="652" spans="1:11">
      <c r="A652" s="5" t="s">
        <v>2632</v>
      </c>
      <c r="B652" s="5" t="s">
        <v>2808</v>
      </c>
      <c r="C652" s="5" t="s">
        <v>35</v>
      </c>
      <c r="D652" s="5" t="s">
        <v>2809</v>
      </c>
      <c r="E652" s="5" t="s">
        <v>2793</v>
      </c>
      <c r="F652" s="5" t="s">
        <v>2789</v>
      </c>
      <c r="G652" s="5" t="s">
        <v>2810</v>
      </c>
      <c r="H652" s="5" t="s">
        <v>12</v>
      </c>
      <c r="I652" s="5" t="s">
        <v>40</v>
      </c>
      <c r="J652" s="5" t="s">
        <v>41</v>
      </c>
      <c r="K652" s="5"/>
    </row>
    <row r="653" spans="1:11">
      <c r="A653" s="5" t="s">
        <v>2632</v>
      </c>
      <c r="B653" s="5" t="s">
        <v>2811</v>
      </c>
      <c r="C653" s="5" t="s">
        <v>35</v>
      </c>
      <c r="D653" s="5" t="s">
        <v>2812</v>
      </c>
      <c r="E653" s="5" t="s">
        <v>2813</v>
      </c>
      <c r="F653" s="5" t="s">
        <v>2814</v>
      </c>
      <c r="G653" s="5" t="s">
        <v>2815</v>
      </c>
      <c r="H653" s="5" t="s">
        <v>12</v>
      </c>
      <c r="I653" s="5" t="s">
        <v>40</v>
      </c>
      <c r="J653" s="5" t="s">
        <v>41</v>
      </c>
      <c r="K653" s="5"/>
    </row>
    <row r="654" spans="1:11">
      <c r="A654" s="5" t="s">
        <v>2632</v>
      </c>
      <c r="B654" s="5" t="s">
        <v>2816</v>
      </c>
      <c r="C654" s="5" t="s">
        <v>35</v>
      </c>
      <c r="D654" s="5" t="s">
        <v>2817</v>
      </c>
      <c r="E654" s="5" t="s">
        <v>2754</v>
      </c>
      <c r="F654" s="5" t="s">
        <v>2818</v>
      </c>
      <c r="G654" s="5" t="s">
        <v>2819</v>
      </c>
      <c r="H654" s="5" t="s">
        <v>12</v>
      </c>
      <c r="I654" s="5" t="s">
        <v>40</v>
      </c>
      <c r="J654" s="5" t="s">
        <v>41</v>
      </c>
      <c r="K654" s="5"/>
    </row>
    <row r="655" spans="1:11">
      <c r="A655" s="5" t="s">
        <v>2632</v>
      </c>
      <c r="B655" s="5" t="s">
        <v>2820</v>
      </c>
      <c r="C655" s="5" t="s">
        <v>35</v>
      </c>
      <c r="D655" s="5" t="s">
        <v>2821</v>
      </c>
      <c r="E655" s="5" t="s">
        <v>2744</v>
      </c>
      <c r="F655" s="5" t="s">
        <v>2745</v>
      </c>
      <c r="G655" s="5" t="s">
        <v>2822</v>
      </c>
      <c r="H655" s="5" t="s">
        <v>12</v>
      </c>
      <c r="I655" s="5" t="s">
        <v>40</v>
      </c>
      <c r="J655" s="5" t="s">
        <v>41</v>
      </c>
      <c r="K655" s="5"/>
    </row>
    <row r="656" spans="1:11">
      <c r="A656" s="5" t="s">
        <v>2632</v>
      </c>
      <c r="B656" s="5" t="s">
        <v>2823</v>
      </c>
      <c r="C656" s="5" t="s">
        <v>35</v>
      </c>
      <c r="D656" s="5" t="s">
        <v>2824</v>
      </c>
      <c r="E656" s="5" t="s">
        <v>2749</v>
      </c>
      <c r="F656" s="5" t="s">
        <v>2750</v>
      </c>
      <c r="G656" s="5" t="s">
        <v>2825</v>
      </c>
      <c r="H656" s="5" t="s">
        <v>12</v>
      </c>
      <c r="I656" s="5" t="s">
        <v>40</v>
      </c>
      <c r="J656" s="5" t="s">
        <v>41</v>
      </c>
      <c r="K656" s="5"/>
    </row>
    <row r="657" spans="1:11">
      <c r="A657" s="5" t="s">
        <v>2632</v>
      </c>
      <c r="B657" s="5" t="s">
        <v>2826</v>
      </c>
      <c r="C657" s="5" t="s">
        <v>35</v>
      </c>
      <c r="D657" s="5" t="s">
        <v>2827</v>
      </c>
      <c r="E657" s="5" t="s">
        <v>2754</v>
      </c>
      <c r="F657" s="5" t="s">
        <v>2818</v>
      </c>
      <c r="G657" s="5" t="s">
        <v>2828</v>
      </c>
      <c r="H657" s="5" t="s">
        <v>12</v>
      </c>
      <c r="I657" s="5" t="s">
        <v>40</v>
      </c>
      <c r="J657" s="5" t="s">
        <v>41</v>
      </c>
      <c r="K657" s="5"/>
    </row>
    <row r="658" spans="1:11">
      <c r="A658" s="5" t="s">
        <v>2632</v>
      </c>
      <c r="B658" s="5" t="s">
        <v>2829</v>
      </c>
      <c r="C658" s="5" t="s">
        <v>35</v>
      </c>
      <c r="D658" s="5" t="s">
        <v>2830</v>
      </c>
      <c r="E658" s="5" t="s">
        <v>2744</v>
      </c>
      <c r="F658" s="5" t="s">
        <v>2745</v>
      </c>
      <c r="G658" s="5" t="s">
        <v>2831</v>
      </c>
      <c r="H658" s="5" t="s">
        <v>12</v>
      </c>
      <c r="I658" s="5" t="s">
        <v>40</v>
      </c>
      <c r="J658" s="5" t="s">
        <v>41</v>
      </c>
      <c r="K658" s="5"/>
    </row>
    <row r="659" spans="1:11">
      <c r="A659" s="5" t="s">
        <v>2632</v>
      </c>
      <c r="B659" s="5" t="s">
        <v>2832</v>
      </c>
      <c r="C659" s="5" t="s">
        <v>35</v>
      </c>
      <c r="D659" s="5" t="s">
        <v>2833</v>
      </c>
      <c r="E659" s="5" t="s">
        <v>2749</v>
      </c>
      <c r="F659" s="5" t="s">
        <v>2750</v>
      </c>
      <c r="G659" s="5" t="s">
        <v>2834</v>
      </c>
      <c r="H659" s="5" t="s">
        <v>12</v>
      </c>
      <c r="I659" s="5" t="s">
        <v>40</v>
      </c>
      <c r="J659" s="5" t="s">
        <v>41</v>
      </c>
      <c r="K659" s="5"/>
    </row>
    <row r="660" spans="1:11">
      <c r="A660" s="5" t="s">
        <v>2632</v>
      </c>
      <c r="B660" s="5" t="s">
        <v>2835</v>
      </c>
      <c r="C660" s="5" t="s">
        <v>35</v>
      </c>
      <c r="D660" s="5" t="s">
        <v>2836</v>
      </c>
      <c r="E660" s="5" t="s">
        <v>2739</v>
      </c>
      <c r="F660" s="5" t="s">
        <v>2765</v>
      </c>
      <c r="G660" s="5" t="s">
        <v>2837</v>
      </c>
      <c r="H660" s="5" t="s">
        <v>12</v>
      </c>
      <c r="I660" s="5" t="s">
        <v>40</v>
      </c>
      <c r="J660" s="5" t="s">
        <v>41</v>
      </c>
      <c r="K660" s="5"/>
    </row>
    <row r="661" spans="1:11">
      <c r="A661" s="5" t="s">
        <v>2632</v>
      </c>
      <c r="B661" s="5" t="s">
        <v>2838</v>
      </c>
      <c r="C661" s="5" t="s">
        <v>35</v>
      </c>
      <c r="D661" s="5" t="s">
        <v>2839</v>
      </c>
      <c r="E661" s="5" t="s">
        <v>2793</v>
      </c>
      <c r="F661" s="5" t="s">
        <v>2789</v>
      </c>
      <c r="G661" s="5" t="s">
        <v>2840</v>
      </c>
      <c r="H661" s="5" t="s">
        <v>12</v>
      </c>
      <c r="I661" s="5" t="s">
        <v>40</v>
      </c>
      <c r="J661" s="5" t="s">
        <v>41</v>
      </c>
      <c r="K661" s="5"/>
    </row>
    <row r="662" spans="1:11">
      <c r="A662" s="5" t="s">
        <v>2632</v>
      </c>
      <c r="B662" s="5" t="s">
        <v>2841</v>
      </c>
      <c r="C662" s="5" t="s">
        <v>35</v>
      </c>
      <c r="D662" s="5" t="s">
        <v>2842</v>
      </c>
      <c r="E662" s="5" t="s">
        <v>2797</v>
      </c>
      <c r="F662" s="5" t="s">
        <v>2750</v>
      </c>
      <c r="G662" s="5" t="s">
        <v>2843</v>
      </c>
      <c r="H662" s="5" t="s">
        <v>12</v>
      </c>
      <c r="I662" s="5" t="s">
        <v>40</v>
      </c>
      <c r="J662" s="5" t="s">
        <v>41</v>
      </c>
      <c r="K662" s="5"/>
    </row>
    <row r="663" spans="1:11">
      <c r="A663" s="5" t="s">
        <v>2632</v>
      </c>
      <c r="B663" s="5" t="s">
        <v>2844</v>
      </c>
      <c r="C663" s="5" t="s">
        <v>35</v>
      </c>
      <c r="D663" s="5" t="s">
        <v>2845</v>
      </c>
      <c r="E663" s="5" t="s">
        <v>2788</v>
      </c>
      <c r="F663" s="5" t="s">
        <v>2789</v>
      </c>
      <c r="G663" s="5" t="s">
        <v>2846</v>
      </c>
      <c r="H663" s="5" t="s">
        <v>12</v>
      </c>
      <c r="I663" s="5" t="s">
        <v>40</v>
      </c>
      <c r="J663" s="5" t="s">
        <v>41</v>
      </c>
      <c r="K663" s="5"/>
    </row>
    <row r="664" spans="1:11">
      <c r="A664" s="5" t="s">
        <v>2632</v>
      </c>
      <c r="B664" s="5" t="s">
        <v>2847</v>
      </c>
      <c r="C664" s="5" t="s">
        <v>35</v>
      </c>
      <c r="D664" s="5" t="s">
        <v>2848</v>
      </c>
      <c r="E664" s="5" t="s">
        <v>2739</v>
      </c>
      <c r="F664" s="5" t="s">
        <v>2740</v>
      </c>
      <c r="G664" s="5" t="s">
        <v>2849</v>
      </c>
      <c r="H664" s="5" t="s">
        <v>12</v>
      </c>
      <c r="I664" s="5" t="s">
        <v>40</v>
      </c>
      <c r="J664" s="5" t="s">
        <v>41</v>
      </c>
      <c r="K664" s="5"/>
    </row>
    <row r="665" spans="1:11">
      <c r="A665" s="5" t="s">
        <v>2632</v>
      </c>
      <c r="B665" s="5" t="s">
        <v>2850</v>
      </c>
      <c r="C665" s="5" t="s">
        <v>35</v>
      </c>
      <c r="D665" s="5" t="s">
        <v>2851</v>
      </c>
      <c r="E665" s="5" t="s">
        <v>2793</v>
      </c>
      <c r="F665" s="5" t="s">
        <v>2789</v>
      </c>
      <c r="G665" s="5" t="s">
        <v>2852</v>
      </c>
      <c r="H665" s="5" t="s">
        <v>12</v>
      </c>
      <c r="I665" s="5" t="s">
        <v>40</v>
      </c>
      <c r="J665" s="5" t="s">
        <v>41</v>
      </c>
      <c r="K665" s="5"/>
    </row>
    <row r="666" spans="1:11">
      <c r="A666" s="5" t="s">
        <v>2632</v>
      </c>
      <c r="B666" s="5" t="s">
        <v>2853</v>
      </c>
      <c r="C666" s="5" t="s">
        <v>35</v>
      </c>
      <c r="D666" s="5" t="s">
        <v>2854</v>
      </c>
      <c r="E666" s="5" t="s">
        <v>2813</v>
      </c>
      <c r="F666" s="5" t="s">
        <v>2814</v>
      </c>
      <c r="G666" s="5" t="s">
        <v>2855</v>
      </c>
      <c r="H666" s="5" t="s">
        <v>12</v>
      </c>
      <c r="I666" s="5" t="s">
        <v>40</v>
      </c>
      <c r="J666" s="5" t="s">
        <v>41</v>
      </c>
      <c r="K666" s="5"/>
    </row>
    <row r="667" spans="1:11">
      <c r="A667" s="5" t="s">
        <v>2632</v>
      </c>
      <c r="B667" s="5" t="s">
        <v>2856</v>
      </c>
      <c r="C667" s="5" t="s">
        <v>35</v>
      </c>
      <c r="D667" s="5" t="s">
        <v>2857</v>
      </c>
      <c r="E667" s="5" t="s">
        <v>2788</v>
      </c>
      <c r="F667" s="5" t="s">
        <v>2789</v>
      </c>
      <c r="G667" s="5" t="s">
        <v>2858</v>
      </c>
      <c r="H667" s="5" t="s">
        <v>12</v>
      </c>
      <c r="I667" s="5" t="s">
        <v>40</v>
      </c>
      <c r="J667" s="5" t="s">
        <v>41</v>
      </c>
      <c r="K667" s="5"/>
    </row>
    <row r="668" spans="1:11">
      <c r="A668" s="5" t="s">
        <v>2632</v>
      </c>
      <c r="B668" s="5" t="s">
        <v>2859</v>
      </c>
      <c r="C668" s="5" t="s">
        <v>35</v>
      </c>
      <c r="D668" s="5" t="s">
        <v>2860</v>
      </c>
      <c r="E668" s="5" t="s">
        <v>2739</v>
      </c>
      <c r="F668" s="5" t="s">
        <v>2861</v>
      </c>
      <c r="G668" s="5" t="s">
        <v>2862</v>
      </c>
      <c r="H668" s="5" t="s">
        <v>12</v>
      </c>
      <c r="I668" s="5" t="s">
        <v>40</v>
      </c>
      <c r="J668" s="5" t="s">
        <v>41</v>
      </c>
      <c r="K668" s="5"/>
    </row>
    <row r="669" spans="1:11">
      <c r="A669" s="5" t="s">
        <v>2632</v>
      </c>
      <c r="B669" s="5" t="s">
        <v>2863</v>
      </c>
      <c r="C669" s="5" t="s">
        <v>35</v>
      </c>
      <c r="D669" s="5" t="s">
        <v>2864</v>
      </c>
      <c r="E669" s="5" t="s">
        <v>2865</v>
      </c>
      <c r="F669" s="5" t="s">
        <v>2866</v>
      </c>
      <c r="G669" s="5" t="s">
        <v>2867</v>
      </c>
      <c r="H669" s="5" t="s">
        <v>12</v>
      </c>
      <c r="I669" s="5" t="s">
        <v>40</v>
      </c>
      <c r="J669" s="5" t="s">
        <v>41</v>
      </c>
      <c r="K669" s="5"/>
    </row>
    <row r="670" spans="1:11">
      <c r="A670" s="5" t="s">
        <v>2632</v>
      </c>
      <c r="B670" s="5" t="s">
        <v>2868</v>
      </c>
      <c r="C670" s="5" t="s">
        <v>35</v>
      </c>
      <c r="D670" s="5" t="s">
        <v>2869</v>
      </c>
      <c r="E670" s="5" t="s">
        <v>2870</v>
      </c>
      <c r="F670" s="5" t="s">
        <v>2871</v>
      </c>
      <c r="G670" s="5" t="s">
        <v>2872</v>
      </c>
      <c r="H670" s="5" t="s">
        <v>12</v>
      </c>
      <c r="I670" s="5" t="s">
        <v>40</v>
      </c>
      <c r="J670" s="5" t="s">
        <v>41</v>
      </c>
      <c r="K670" s="5"/>
    </row>
    <row r="671" spans="1:11">
      <c r="A671" s="5" t="s">
        <v>2632</v>
      </c>
      <c r="B671" s="5" t="s">
        <v>2873</v>
      </c>
      <c r="C671" s="5" t="s">
        <v>35</v>
      </c>
      <c r="D671" s="5" t="s">
        <v>2874</v>
      </c>
      <c r="E671" s="5" t="s">
        <v>2875</v>
      </c>
      <c r="F671" s="5" t="s">
        <v>2876</v>
      </c>
      <c r="G671" s="5" t="s">
        <v>2877</v>
      </c>
      <c r="H671" s="5" t="s">
        <v>12</v>
      </c>
      <c r="I671" s="5" t="s">
        <v>40</v>
      </c>
      <c r="J671" s="5" t="s">
        <v>41</v>
      </c>
      <c r="K671" s="5"/>
    </row>
    <row r="672" spans="1:11">
      <c r="A672" s="5" t="s">
        <v>2632</v>
      </c>
      <c r="B672" s="5" t="s">
        <v>2878</v>
      </c>
      <c r="C672" s="5" t="s">
        <v>35</v>
      </c>
      <c r="D672" s="5" t="s">
        <v>2879</v>
      </c>
      <c r="E672" s="5" t="s">
        <v>2880</v>
      </c>
      <c r="F672" s="5" t="s">
        <v>2765</v>
      </c>
      <c r="G672" s="5" t="s">
        <v>2881</v>
      </c>
      <c r="H672" s="5" t="s">
        <v>12</v>
      </c>
      <c r="I672" s="5" t="s">
        <v>40</v>
      </c>
      <c r="J672" s="5" t="s">
        <v>41</v>
      </c>
      <c r="K672" s="5"/>
    </row>
    <row r="673" spans="1:11">
      <c r="A673" s="5" t="s">
        <v>2632</v>
      </c>
      <c r="B673" s="5" t="s">
        <v>2882</v>
      </c>
      <c r="C673" s="5" t="s">
        <v>35</v>
      </c>
      <c r="D673" s="5" t="s">
        <v>2883</v>
      </c>
      <c r="E673" s="5" t="s">
        <v>2739</v>
      </c>
      <c r="F673" s="5" t="s">
        <v>2861</v>
      </c>
      <c r="G673" s="5" t="s">
        <v>2884</v>
      </c>
      <c r="H673" s="5" t="s">
        <v>12</v>
      </c>
      <c r="I673" s="5" t="s">
        <v>40</v>
      </c>
      <c r="J673" s="5" t="s">
        <v>41</v>
      </c>
      <c r="K673" s="5"/>
    </row>
    <row r="674" spans="1:11">
      <c r="A674" s="5" t="s">
        <v>2632</v>
      </c>
      <c r="B674" s="5" t="s">
        <v>2885</v>
      </c>
      <c r="C674" s="5" t="s">
        <v>35</v>
      </c>
      <c r="D674" s="5" t="s">
        <v>2886</v>
      </c>
      <c r="E674" s="5" t="s">
        <v>2865</v>
      </c>
      <c r="F674" s="5" t="s">
        <v>2866</v>
      </c>
      <c r="G674" s="5" t="s">
        <v>2887</v>
      </c>
      <c r="H674" s="5" t="s">
        <v>12</v>
      </c>
      <c r="I674" s="5" t="s">
        <v>40</v>
      </c>
      <c r="J674" s="5" t="s">
        <v>41</v>
      </c>
      <c r="K674" s="5"/>
    </row>
    <row r="675" spans="1:11">
      <c r="A675" s="5" t="s">
        <v>2632</v>
      </c>
      <c r="B675" s="5" t="s">
        <v>2888</v>
      </c>
      <c r="C675" s="5" t="s">
        <v>35</v>
      </c>
      <c r="D675" s="5" t="s">
        <v>2889</v>
      </c>
      <c r="E675" s="5" t="s">
        <v>2870</v>
      </c>
      <c r="F675" s="5" t="s">
        <v>2871</v>
      </c>
      <c r="G675" s="5" t="s">
        <v>2890</v>
      </c>
      <c r="H675" s="5" t="s">
        <v>12</v>
      </c>
      <c r="I675" s="5" t="s">
        <v>40</v>
      </c>
      <c r="J675" s="5" t="s">
        <v>41</v>
      </c>
      <c r="K675" s="5"/>
    </row>
    <row r="676" spans="1:11">
      <c r="A676" s="5" t="s">
        <v>2632</v>
      </c>
      <c r="B676" s="5" t="s">
        <v>2891</v>
      </c>
      <c r="C676" s="5" t="s">
        <v>35</v>
      </c>
      <c r="D676" s="5" t="s">
        <v>2892</v>
      </c>
      <c r="E676" s="5" t="s">
        <v>2875</v>
      </c>
      <c r="F676" s="5" t="s">
        <v>2876</v>
      </c>
      <c r="G676" s="5" t="s">
        <v>2893</v>
      </c>
      <c r="H676" s="5" t="s">
        <v>12</v>
      </c>
      <c r="I676" s="5" t="s">
        <v>40</v>
      </c>
      <c r="J676" s="5" t="s">
        <v>41</v>
      </c>
      <c r="K676" s="5"/>
    </row>
    <row r="677" spans="1:11">
      <c r="A677" s="5" t="s">
        <v>2632</v>
      </c>
      <c r="B677" s="5" t="s">
        <v>2894</v>
      </c>
      <c r="C677" s="5" t="s">
        <v>35</v>
      </c>
      <c r="D677" s="5" t="s">
        <v>2895</v>
      </c>
      <c r="E677" s="5" t="s">
        <v>2880</v>
      </c>
      <c r="F677" s="5" t="s">
        <v>2765</v>
      </c>
      <c r="G677" s="5" t="s">
        <v>2896</v>
      </c>
      <c r="H677" s="5" t="s">
        <v>12</v>
      </c>
      <c r="I677" s="5" t="s">
        <v>40</v>
      </c>
      <c r="J677" s="5" t="s">
        <v>41</v>
      </c>
      <c r="K677" s="5"/>
    </row>
    <row r="678" spans="1:11">
      <c r="A678" s="5" t="s">
        <v>2632</v>
      </c>
      <c r="B678" s="5" t="s">
        <v>2897</v>
      </c>
      <c r="C678" s="5" t="s">
        <v>35</v>
      </c>
      <c r="D678" s="5" t="s">
        <v>2898</v>
      </c>
      <c r="E678" s="5" t="s">
        <v>2899</v>
      </c>
      <c r="F678" s="5" t="s">
        <v>2765</v>
      </c>
      <c r="G678" s="5" t="s">
        <v>2900</v>
      </c>
      <c r="H678" s="5" t="s">
        <v>12</v>
      </c>
      <c r="I678" s="5" t="s">
        <v>40</v>
      </c>
      <c r="J678" s="5" t="s">
        <v>41</v>
      </c>
      <c r="K678" s="5"/>
    </row>
    <row r="679" spans="1:11">
      <c r="A679" s="5" t="s">
        <v>2632</v>
      </c>
      <c r="B679" s="5" t="s">
        <v>2901</v>
      </c>
      <c r="C679" s="5" t="s">
        <v>35</v>
      </c>
      <c r="D679" s="5" t="s">
        <v>2902</v>
      </c>
      <c r="E679" s="5" t="s">
        <v>2899</v>
      </c>
      <c r="F679" s="5" t="s">
        <v>2765</v>
      </c>
      <c r="G679" s="5" t="s">
        <v>2903</v>
      </c>
      <c r="H679" s="5" t="s">
        <v>12</v>
      </c>
      <c r="I679" s="5" t="s">
        <v>40</v>
      </c>
      <c r="J679" s="5" t="s">
        <v>41</v>
      </c>
      <c r="K679" s="5"/>
    </row>
    <row r="680" spans="1:11">
      <c r="A680" s="5" t="s">
        <v>2632</v>
      </c>
      <c r="B680" s="5" t="s">
        <v>2904</v>
      </c>
      <c r="C680" s="5" t="s">
        <v>35</v>
      </c>
      <c r="D680" s="5" t="s">
        <v>2905</v>
      </c>
      <c r="E680" s="5" t="s">
        <v>2739</v>
      </c>
      <c r="F680" s="5" t="s">
        <v>2861</v>
      </c>
      <c r="G680" s="5" t="s">
        <v>2906</v>
      </c>
      <c r="H680" s="5" t="s">
        <v>12</v>
      </c>
      <c r="I680" s="5" t="s">
        <v>40</v>
      </c>
      <c r="J680" s="5" t="s">
        <v>41</v>
      </c>
      <c r="K680" s="5"/>
    </row>
    <row r="681" spans="1:11">
      <c r="A681" s="5" t="s">
        <v>2632</v>
      </c>
      <c r="B681" s="5" t="s">
        <v>2907</v>
      </c>
      <c r="C681" s="5" t="s">
        <v>35</v>
      </c>
      <c r="D681" s="5" t="s">
        <v>2908</v>
      </c>
      <c r="E681" s="5" t="s">
        <v>2865</v>
      </c>
      <c r="F681" s="5" t="s">
        <v>2866</v>
      </c>
      <c r="G681" s="5" t="s">
        <v>2909</v>
      </c>
      <c r="H681" s="5" t="s">
        <v>12</v>
      </c>
      <c r="I681" s="5" t="s">
        <v>40</v>
      </c>
      <c r="J681" s="5" t="s">
        <v>41</v>
      </c>
      <c r="K681" s="5"/>
    </row>
    <row r="682" spans="1:11">
      <c r="A682" s="5" t="s">
        <v>2632</v>
      </c>
      <c r="B682" s="5" t="s">
        <v>2910</v>
      </c>
      <c r="C682" s="5" t="s">
        <v>35</v>
      </c>
      <c r="D682" s="5" t="s">
        <v>2911</v>
      </c>
      <c r="E682" s="5" t="s">
        <v>2870</v>
      </c>
      <c r="F682" s="5" t="s">
        <v>2871</v>
      </c>
      <c r="G682" s="5" t="s">
        <v>2912</v>
      </c>
      <c r="H682" s="5" t="s">
        <v>12</v>
      </c>
      <c r="I682" s="5" t="s">
        <v>40</v>
      </c>
      <c r="J682" s="5" t="s">
        <v>41</v>
      </c>
      <c r="K682" s="5"/>
    </row>
    <row r="683" spans="1:11">
      <c r="A683" s="5" t="s">
        <v>2632</v>
      </c>
      <c r="B683" s="5" t="s">
        <v>2913</v>
      </c>
      <c r="C683" s="5" t="s">
        <v>35</v>
      </c>
      <c r="D683" s="5" t="s">
        <v>2914</v>
      </c>
      <c r="E683" s="5" t="s">
        <v>2875</v>
      </c>
      <c r="F683" s="5" t="s">
        <v>2876</v>
      </c>
      <c r="G683" s="5" t="s">
        <v>2915</v>
      </c>
      <c r="H683" s="5" t="s">
        <v>12</v>
      </c>
      <c r="I683" s="5" t="s">
        <v>40</v>
      </c>
      <c r="J683" s="5" t="s">
        <v>41</v>
      </c>
      <c r="K683" s="5"/>
    </row>
    <row r="684" spans="1:11">
      <c r="A684" s="5" t="s">
        <v>2632</v>
      </c>
      <c r="B684" s="5" t="s">
        <v>2916</v>
      </c>
      <c r="C684" s="5" t="s">
        <v>35</v>
      </c>
      <c r="D684" s="5" t="s">
        <v>2917</v>
      </c>
      <c r="E684" s="5" t="s">
        <v>2918</v>
      </c>
      <c r="F684" s="5" t="s">
        <v>2745</v>
      </c>
      <c r="G684" s="5" t="s">
        <v>2919</v>
      </c>
      <c r="H684" s="5" t="s">
        <v>12</v>
      </c>
      <c r="I684" s="5" t="s">
        <v>40</v>
      </c>
      <c r="J684" s="5" t="s">
        <v>41</v>
      </c>
      <c r="K684" s="5"/>
    </row>
    <row r="685" spans="1:11">
      <c r="A685" s="5" t="s">
        <v>2632</v>
      </c>
      <c r="B685" s="5" t="s">
        <v>2920</v>
      </c>
      <c r="C685" s="5" t="s">
        <v>35</v>
      </c>
      <c r="D685" s="5" t="s">
        <v>2921</v>
      </c>
      <c r="E685" s="5" t="s">
        <v>2739</v>
      </c>
      <c r="F685" s="5" t="s">
        <v>2861</v>
      </c>
      <c r="G685" s="5" t="s">
        <v>2922</v>
      </c>
      <c r="H685" s="5" t="s">
        <v>12</v>
      </c>
      <c r="I685" s="5" t="s">
        <v>40</v>
      </c>
      <c r="J685" s="5" t="s">
        <v>41</v>
      </c>
      <c r="K685" s="5"/>
    </row>
    <row r="686" spans="1:11">
      <c r="A686" s="5" t="s">
        <v>2632</v>
      </c>
      <c r="B686" s="5" t="s">
        <v>2923</v>
      </c>
      <c r="C686" s="5" t="s">
        <v>35</v>
      </c>
      <c r="D686" s="5" t="s">
        <v>2924</v>
      </c>
      <c r="E686" s="5" t="s">
        <v>2865</v>
      </c>
      <c r="F686" s="5" t="s">
        <v>2866</v>
      </c>
      <c r="G686" s="5" t="s">
        <v>2925</v>
      </c>
      <c r="H686" s="5" t="s">
        <v>12</v>
      </c>
      <c r="I686" s="5" t="s">
        <v>40</v>
      </c>
      <c r="J686" s="5" t="s">
        <v>41</v>
      </c>
      <c r="K686" s="5"/>
    </row>
    <row r="687" spans="1:11">
      <c r="A687" s="5" t="s">
        <v>2632</v>
      </c>
      <c r="B687" s="5" t="s">
        <v>2926</v>
      </c>
      <c r="C687" s="5" t="s">
        <v>35</v>
      </c>
      <c r="D687" s="5" t="s">
        <v>2927</v>
      </c>
      <c r="E687" s="5" t="s">
        <v>2870</v>
      </c>
      <c r="F687" s="5" t="s">
        <v>2871</v>
      </c>
      <c r="G687" s="5" t="s">
        <v>2928</v>
      </c>
      <c r="H687" s="5" t="s">
        <v>12</v>
      </c>
      <c r="I687" s="5" t="s">
        <v>40</v>
      </c>
      <c r="J687" s="5" t="s">
        <v>41</v>
      </c>
      <c r="K687" s="5"/>
    </row>
    <row r="688" spans="1:11">
      <c r="A688" s="5" t="s">
        <v>2632</v>
      </c>
      <c r="B688" s="5" t="s">
        <v>2929</v>
      </c>
      <c r="C688" s="5" t="s">
        <v>35</v>
      </c>
      <c r="D688" s="5" t="s">
        <v>2930</v>
      </c>
      <c r="E688" s="5" t="s">
        <v>2931</v>
      </c>
      <c r="F688" s="5" t="s">
        <v>2876</v>
      </c>
      <c r="G688" s="5" t="s">
        <v>2932</v>
      </c>
      <c r="H688" s="5" t="s">
        <v>12</v>
      </c>
      <c r="I688" s="5" t="s">
        <v>40</v>
      </c>
      <c r="J688" s="5" t="s">
        <v>41</v>
      </c>
      <c r="K688" s="5"/>
    </row>
    <row r="689" spans="1:11">
      <c r="A689" s="5" t="s">
        <v>2632</v>
      </c>
      <c r="B689" s="5" t="s">
        <v>2933</v>
      </c>
      <c r="C689" s="5" t="s">
        <v>35</v>
      </c>
      <c r="D689" s="5" t="s">
        <v>2934</v>
      </c>
      <c r="E689" s="5" t="s">
        <v>2918</v>
      </c>
      <c r="F689" s="5" t="s">
        <v>2745</v>
      </c>
      <c r="G689" s="5" t="s">
        <v>2935</v>
      </c>
      <c r="H689" s="5" t="s">
        <v>12</v>
      </c>
      <c r="I689" s="5" t="s">
        <v>40</v>
      </c>
      <c r="J689" s="5" t="s">
        <v>41</v>
      </c>
      <c r="K689" s="5"/>
    </row>
    <row r="690" spans="1:11">
      <c r="A690" s="5" t="s">
        <v>2632</v>
      </c>
      <c r="B690" s="5" t="s">
        <v>2936</v>
      </c>
      <c r="C690" s="5" t="s">
        <v>35</v>
      </c>
      <c r="D690" s="5" t="s">
        <v>2937</v>
      </c>
      <c r="E690" s="5" t="s">
        <v>2714</v>
      </c>
      <c r="F690" s="5" t="s">
        <v>1864</v>
      </c>
      <c r="G690" s="5" t="s">
        <v>2938</v>
      </c>
      <c r="H690" s="5" t="s">
        <v>12</v>
      </c>
      <c r="I690" s="5" t="s">
        <v>40</v>
      </c>
      <c r="J690" s="5" t="s">
        <v>41</v>
      </c>
      <c r="K690" s="5"/>
    </row>
    <row r="691" spans="1:11">
      <c r="A691" s="5" t="s">
        <v>2632</v>
      </c>
      <c r="B691" s="5" t="s">
        <v>2939</v>
      </c>
      <c r="C691" s="5" t="s">
        <v>35</v>
      </c>
      <c r="D691" s="5" t="s">
        <v>2940</v>
      </c>
      <c r="E691" s="5" t="s">
        <v>2714</v>
      </c>
      <c r="F691" s="5" t="s">
        <v>1864</v>
      </c>
      <c r="G691" s="5" t="s">
        <v>2941</v>
      </c>
      <c r="H691" s="5" t="s">
        <v>12</v>
      </c>
      <c r="I691" s="5" t="s">
        <v>40</v>
      </c>
      <c r="J691" s="5" t="s">
        <v>41</v>
      </c>
      <c r="K691" s="5"/>
    </row>
    <row r="692" spans="1:11">
      <c r="A692" s="5" t="s">
        <v>2632</v>
      </c>
      <c r="B692" s="5" t="s">
        <v>2942</v>
      </c>
      <c r="C692" s="5" t="s">
        <v>35</v>
      </c>
      <c r="D692" s="5" t="s">
        <v>2943</v>
      </c>
      <c r="E692" s="5" t="s">
        <v>2714</v>
      </c>
      <c r="F692" s="5" t="s">
        <v>1864</v>
      </c>
      <c r="G692" s="5" t="s">
        <v>2944</v>
      </c>
      <c r="H692" s="5" t="s">
        <v>12</v>
      </c>
      <c r="I692" s="5" t="s">
        <v>40</v>
      </c>
      <c r="J692" s="5" t="s">
        <v>41</v>
      </c>
      <c r="K692" s="5"/>
    </row>
    <row r="693" spans="1:11">
      <c r="A693" s="5" t="s">
        <v>2632</v>
      </c>
      <c r="B693" s="5" t="s">
        <v>2945</v>
      </c>
      <c r="C693" s="5" t="s">
        <v>35</v>
      </c>
      <c r="D693" s="5" t="s">
        <v>2946</v>
      </c>
      <c r="E693" s="5" t="s">
        <v>2714</v>
      </c>
      <c r="F693" s="5" t="s">
        <v>1864</v>
      </c>
      <c r="G693" s="5" t="s">
        <v>2947</v>
      </c>
      <c r="H693" s="5" t="s">
        <v>12</v>
      </c>
      <c r="I693" s="5" t="s">
        <v>40</v>
      </c>
      <c r="J693" s="5" t="s">
        <v>41</v>
      </c>
      <c r="K693" s="5"/>
    </row>
    <row r="694" spans="1:11">
      <c r="A694" s="5" t="s">
        <v>2632</v>
      </c>
      <c r="B694" s="5" t="s">
        <v>2948</v>
      </c>
      <c r="C694" s="5" t="s">
        <v>35</v>
      </c>
      <c r="D694" s="5" t="s">
        <v>2949</v>
      </c>
      <c r="E694" s="5" t="s">
        <v>2714</v>
      </c>
      <c r="F694" s="5" t="s">
        <v>1864</v>
      </c>
      <c r="G694" s="5" t="s">
        <v>2950</v>
      </c>
      <c r="H694" s="5" t="s">
        <v>12</v>
      </c>
      <c r="I694" s="5" t="s">
        <v>40</v>
      </c>
      <c r="J694" s="5" t="s">
        <v>41</v>
      </c>
      <c r="K694" s="5"/>
    </row>
    <row r="695" spans="1:11">
      <c r="A695" s="5" t="s">
        <v>2632</v>
      </c>
      <c r="B695" s="5" t="s">
        <v>2951</v>
      </c>
      <c r="C695" s="5" t="s">
        <v>35</v>
      </c>
      <c r="D695" s="5" t="s">
        <v>2952</v>
      </c>
      <c r="E695" s="5" t="s">
        <v>2714</v>
      </c>
      <c r="F695" s="5" t="s">
        <v>1864</v>
      </c>
      <c r="G695" s="5" t="s">
        <v>2953</v>
      </c>
      <c r="H695" s="5" t="s">
        <v>12</v>
      </c>
      <c r="I695" s="5" t="s">
        <v>40</v>
      </c>
      <c r="J695" s="5" t="s">
        <v>41</v>
      </c>
      <c r="K695" s="5"/>
    </row>
    <row r="696" spans="1:11">
      <c r="A696" s="5" t="s">
        <v>2632</v>
      </c>
      <c r="B696" s="5" t="s">
        <v>2954</v>
      </c>
      <c r="C696" s="5" t="s">
        <v>35</v>
      </c>
      <c r="D696" s="5" t="s">
        <v>2955</v>
      </c>
      <c r="E696" s="5" t="s">
        <v>2956</v>
      </c>
      <c r="F696" s="5" t="s">
        <v>2957</v>
      </c>
      <c r="G696" s="5" t="s">
        <v>2958</v>
      </c>
      <c r="H696" s="5" t="s">
        <v>12</v>
      </c>
      <c r="I696" s="5" t="s">
        <v>40</v>
      </c>
      <c r="J696" s="5" t="s">
        <v>41</v>
      </c>
      <c r="K696" s="5"/>
    </row>
    <row r="697" spans="1:11">
      <c r="A697" s="5" t="s">
        <v>2632</v>
      </c>
      <c r="B697" s="5" t="s">
        <v>2959</v>
      </c>
      <c r="C697" s="5" t="s">
        <v>35</v>
      </c>
      <c r="D697" s="5" t="s">
        <v>2960</v>
      </c>
      <c r="E697" s="5" t="s">
        <v>2961</v>
      </c>
      <c r="F697" s="5" t="s">
        <v>2546</v>
      </c>
      <c r="G697" s="5" t="s">
        <v>2962</v>
      </c>
      <c r="H697" s="5" t="s">
        <v>12</v>
      </c>
      <c r="I697" s="5" t="s">
        <v>40</v>
      </c>
      <c r="J697" s="5" t="s">
        <v>41</v>
      </c>
      <c r="K697" s="5"/>
    </row>
    <row r="698" spans="1:11">
      <c r="A698" s="5" t="s">
        <v>2632</v>
      </c>
      <c r="B698" s="5" t="s">
        <v>2963</v>
      </c>
      <c r="C698" s="5" t="s">
        <v>35</v>
      </c>
      <c r="D698" s="5" t="s">
        <v>2964</v>
      </c>
      <c r="E698" s="5" t="s">
        <v>2965</v>
      </c>
      <c r="F698" s="5" t="s">
        <v>2546</v>
      </c>
      <c r="G698" s="5" t="s">
        <v>2966</v>
      </c>
      <c r="H698" s="5" t="s">
        <v>12</v>
      </c>
      <c r="I698" s="5" t="s">
        <v>40</v>
      </c>
      <c r="J698" s="5" t="s">
        <v>41</v>
      </c>
      <c r="K698" s="5"/>
    </row>
    <row r="699" spans="1:11">
      <c r="A699" s="5" t="s">
        <v>2632</v>
      </c>
      <c r="B699" s="5" t="s">
        <v>2967</v>
      </c>
      <c r="C699" s="5" t="s">
        <v>35</v>
      </c>
      <c r="D699" s="5" t="s">
        <v>2968</v>
      </c>
      <c r="E699" s="5" t="s">
        <v>2969</v>
      </c>
      <c r="F699" s="5" t="s">
        <v>1693</v>
      </c>
      <c r="G699" s="5" t="s">
        <v>2970</v>
      </c>
      <c r="H699" s="5" t="s">
        <v>12</v>
      </c>
      <c r="I699" s="5" t="s">
        <v>40</v>
      </c>
      <c r="J699" s="5" t="s">
        <v>41</v>
      </c>
      <c r="K699" s="5"/>
    </row>
    <row r="700" spans="1:11">
      <c r="A700" s="5" t="s">
        <v>2971</v>
      </c>
      <c r="B700" s="5" t="s">
        <v>2972</v>
      </c>
      <c r="C700" s="5" t="s">
        <v>35</v>
      </c>
      <c r="D700" s="5" t="s">
        <v>2973</v>
      </c>
      <c r="E700" s="5" t="s">
        <v>2974</v>
      </c>
      <c r="F700" s="5" t="s">
        <v>2975</v>
      </c>
      <c r="G700" s="5" t="s">
        <v>2976</v>
      </c>
      <c r="H700" s="5" t="s">
        <v>12</v>
      </c>
      <c r="I700" s="5" t="s">
        <v>40</v>
      </c>
      <c r="J700" s="5" t="s">
        <v>41</v>
      </c>
      <c r="K700" s="5"/>
    </row>
    <row r="701" spans="1:11">
      <c r="A701" s="5" t="s">
        <v>2971</v>
      </c>
      <c r="B701" s="5" t="s">
        <v>2977</v>
      </c>
      <c r="C701" s="5" t="s">
        <v>35</v>
      </c>
      <c r="D701" s="5" t="s">
        <v>2978</v>
      </c>
      <c r="E701" s="5" t="s">
        <v>2974</v>
      </c>
      <c r="F701" s="5" t="s">
        <v>2975</v>
      </c>
      <c r="G701" s="5" t="s">
        <v>2979</v>
      </c>
      <c r="H701" s="5" t="s">
        <v>12</v>
      </c>
      <c r="I701" s="5" t="s">
        <v>40</v>
      </c>
      <c r="J701" s="5" t="s">
        <v>41</v>
      </c>
      <c r="K701" s="5"/>
    </row>
    <row r="702" spans="1:11">
      <c r="A702" s="5" t="s">
        <v>2971</v>
      </c>
      <c r="B702" s="5" t="s">
        <v>2980</v>
      </c>
      <c r="C702" s="5" t="s">
        <v>35</v>
      </c>
      <c r="D702" s="5" t="s">
        <v>2981</v>
      </c>
      <c r="E702" s="5" t="s">
        <v>2974</v>
      </c>
      <c r="F702" s="5" t="s">
        <v>2975</v>
      </c>
      <c r="G702" s="5" t="s">
        <v>2982</v>
      </c>
      <c r="H702" s="5" t="s">
        <v>12</v>
      </c>
      <c r="I702" s="5" t="s">
        <v>40</v>
      </c>
      <c r="J702" s="5" t="s">
        <v>41</v>
      </c>
      <c r="K702" s="5"/>
    </row>
    <row r="703" spans="1:11">
      <c r="A703" s="5" t="s">
        <v>2971</v>
      </c>
      <c r="B703" s="5" t="s">
        <v>2983</v>
      </c>
      <c r="C703" s="5" t="s">
        <v>35</v>
      </c>
      <c r="D703" s="5" t="s">
        <v>2984</v>
      </c>
      <c r="E703" s="5" t="s">
        <v>2974</v>
      </c>
      <c r="F703" s="5" t="s">
        <v>2975</v>
      </c>
      <c r="G703" s="5" t="s">
        <v>2985</v>
      </c>
      <c r="H703" s="5" t="s">
        <v>12</v>
      </c>
      <c r="I703" s="5" t="s">
        <v>40</v>
      </c>
      <c r="J703" s="5" t="s">
        <v>41</v>
      </c>
      <c r="K703" s="5"/>
    </row>
    <row r="704" spans="1:11">
      <c r="A704" s="5" t="s">
        <v>2971</v>
      </c>
      <c r="B704" s="5" t="s">
        <v>2986</v>
      </c>
      <c r="C704" s="5" t="s">
        <v>35</v>
      </c>
      <c r="D704" s="5" t="s">
        <v>2987</v>
      </c>
      <c r="E704" s="5" t="s">
        <v>2974</v>
      </c>
      <c r="F704" s="5" t="s">
        <v>2975</v>
      </c>
      <c r="G704" s="5" t="s">
        <v>2988</v>
      </c>
      <c r="H704" s="5" t="s">
        <v>12</v>
      </c>
      <c r="I704" s="5" t="s">
        <v>40</v>
      </c>
      <c r="J704" s="5" t="s">
        <v>41</v>
      </c>
      <c r="K704" s="5"/>
    </row>
    <row r="705" spans="1:11">
      <c r="A705" s="5" t="s">
        <v>2971</v>
      </c>
      <c r="B705" s="5" t="s">
        <v>2989</v>
      </c>
      <c r="C705" s="5" t="s">
        <v>35</v>
      </c>
      <c r="D705" s="5" t="s">
        <v>2990</v>
      </c>
      <c r="E705" s="5" t="s">
        <v>2974</v>
      </c>
      <c r="F705" s="5" t="s">
        <v>2975</v>
      </c>
      <c r="G705" s="5" t="s">
        <v>2991</v>
      </c>
      <c r="H705" s="5" t="s">
        <v>12</v>
      </c>
      <c r="I705" s="5" t="s">
        <v>40</v>
      </c>
      <c r="J705" s="5" t="s">
        <v>41</v>
      </c>
      <c r="K705" s="5"/>
    </row>
    <row r="706" spans="1:11">
      <c r="A706" s="5" t="s">
        <v>2971</v>
      </c>
      <c r="B706" s="5" t="s">
        <v>2992</v>
      </c>
      <c r="C706" s="5" t="s">
        <v>35</v>
      </c>
      <c r="D706" s="5" t="s">
        <v>2993</v>
      </c>
      <c r="E706" s="5" t="s">
        <v>2974</v>
      </c>
      <c r="F706" s="5" t="s">
        <v>2975</v>
      </c>
      <c r="G706" s="5" t="s">
        <v>2994</v>
      </c>
      <c r="H706" s="5" t="s">
        <v>12</v>
      </c>
      <c r="I706" s="5" t="s">
        <v>40</v>
      </c>
      <c r="J706" s="5" t="s">
        <v>41</v>
      </c>
      <c r="K706" s="5"/>
    </row>
    <row r="707" spans="1:11">
      <c r="A707" s="5" t="s">
        <v>2971</v>
      </c>
      <c r="B707" s="5" t="s">
        <v>2995</v>
      </c>
      <c r="C707" s="5" t="s">
        <v>35</v>
      </c>
      <c r="D707" s="5" t="s">
        <v>2996</v>
      </c>
      <c r="E707" s="5" t="s">
        <v>2974</v>
      </c>
      <c r="F707" s="5" t="s">
        <v>2975</v>
      </c>
      <c r="G707" s="5" t="s">
        <v>2997</v>
      </c>
      <c r="H707" s="5" t="s">
        <v>12</v>
      </c>
      <c r="I707" s="5" t="s">
        <v>40</v>
      </c>
      <c r="J707" s="5" t="s">
        <v>41</v>
      </c>
      <c r="K707" s="5"/>
    </row>
    <row r="708" spans="1:11">
      <c r="A708" s="5" t="s">
        <v>2971</v>
      </c>
      <c r="B708" s="5" t="s">
        <v>2998</v>
      </c>
      <c r="C708" s="5" t="s">
        <v>35</v>
      </c>
      <c r="D708" s="5" t="s">
        <v>2999</v>
      </c>
      <c r="E708" s="5" t="s">
        <v>2974</v>
      </c>
      <c r="F708" s="5" t="s">
        <v>2975</v>
      </c>
      <c r="G708" s="5" t="s">
        <v>3000</v>
      </c>
      <c r="H708" s="5" t="s">
        <v>12</v>
      </c>
      <c r="I708" s="5" t="s">
        <v>40</v>
      </c>
      <c r="J708" s="5" t="s">
        <v>41</v>
      </c>
      <c r="K708" s="5"/>
    </row>
    <row r="709" spans="1:11">
      <c r="A709" s="5" t="s">
        <v>2971</v>
      </c>
      <c r="B709" s="5" t="s">
        <v>3001</v>
      </c>
      <c r="C709" s="5" t="s">
        <v>35</v>
      </c>
      <c r="D709" s="5" t="s">
        <v>3002</v>
      </c>
      <c r="E709" s="5" t="s">
        <v>2974</v>
      </c>
      <c r="F709" s="5" t="s">
        <v>2975</v>
      </c>
      <c r="G709" s="5" t="s">
        <v>3003</v>
      </c>
      <c r="H709" s="5" t="s">
        <v>12</v>
      </c>
      <c r="I709" s="5" t="s">
        <v>40</v>
      </c>
      <c r="J709" s="5" t="s">
        <v>41</v>
      </c>
      <c r="K709" s="5"/>
    </row>
    <row r="710" spans="1:11">
      <c r="A710" s="5" t="s">
        <v>2971</v>
      </c>
      <c r="B710" s="5" t="s">
        <v>3004</v>
      </c>
      <c r="C710" s="5" t="s">
        <v>35</v>
      </c>
      <c r="D710" s="5" t="s">
        <v>3005</v>
      </c>
      <c r="E710" s="5" t="s">
        <v>2974</v>
      </c>
      <c r="F710" s="5" t="s">
        <v>2975</v>
      </c>
      <c r="G710" s="5" t="s">
        <v>3006</v>
      </c>
      <c r="H710" s="5" t="s">
        <v>12</v>
      </c>
      <c r="I710" s="5" t="s">
        <v>40</v>
      </c>
      <c r="J710" s="5" t="s">
        <v>41</v>
      </c>
      <c r="K710" s="5"/>
    </row>
    <row r="711" spans="1:11">
      <c r="A711" s="5" t="s">
        <v>2971</v>
      </c>
      <c r="B711" s="5" t="s">
        <v>3007</v>
      </c>
      <c r="C711" s="5" t="s">
        <v>35</v>
      </c>
      <c r="D711" s="5" t="s">
        <v>3008</v>
      </c>
      <c r="E711" s="5" t="s">
        <v>2974</v>
      </c>
      <c r="F711" s="5" t="s">
        <v>2975</v>
      </c>
      <c r="G711" s="5" t="s">
        <v>3009</v>
      </c>
      <c r="H711" s="5" t="s">
        <v>12</v>
      </c>
      <c r="I711" s="5" t="s">
        <v>40</v>
      </c>
      <c r="J711" s="5" t="s">
        <v>41</v>
      </c>
      <c r="K711" s="5"/>
    </row>
    <row r="712" spans="1:11">
      <c r="A712" s="5" t="s">
        <v>2971</v>
      </c>
      <c r="B712" s="5" t="s">
        <v>3010</v>
      </c>
      <c r="C712" s="5" t="s">
        <v>35</v>
      </c>
      <c r="D712" s="5" t="s">
        <v>3011</v>
      </c>
      <c r="E712" s="5" t="s">
        <v>2974</v>
      </c>
      <c r="F712" s="5" t="s">
        <v>2975</v>
      </c>
      <c r="G712" s="5" t="s">
        <v>3012</v>
      </c>
      <c r="H712" s="5" t="s">
        <v>12</v>
      </c>
      <c r="I712" s="5" t="s">
        <v>40</v>
      </c>
      <c r="J712" s="5" t="s">
        <v>41</v>
      </c>
      <c r="K712" s="5"/>
    </row>
    <row r="713" spans="1:11">
      <c r="A713" s="5" t="s">
        <v>2971</v>
      </c>
      <c r="B713" s="5" t="s">
        <v>3013</v>
      </c>
      <c r="C713" s="5" t="s">
        <v>35</v>
      </c>
      <c r="D713" s="5" t="s">
        <v>3014</v>
      </c>
      <c r="E713" s="5" t="s">
        <v>2974</v>
      </c>
      <c r="F713" s="5" t="s">
        <v>2975</v>
      </c>
      <c r="G713" s="5" t="s">
        <v>3015</v>
      </c>
      <c r="H713" s="5" t="s">
        <v>12</v>
      </c>
      <c r="I713" s="5" t="s">
        <v>40</v>
      </c>
      <c r="J713" s="5" t="s">
        <v>41</v>
      </c>
      <c r="K713" s="5"/>
    </row>
    <row r="714" spans="1:11">
      <c r="A714" s="5" t="s">
        <v>2971</v>
      </c>
      <c r="B714" s="5" t="s">
        <v>3016</v>
      </c>
      <c r="C714" s="5" t="s">
        <v>35</v>
      </c>
      <c r="D714" s="5" t="s">
        <v>3017</v>
      </c>
      <c r="E714" s="5" t="s">
        <v>2974</v>
      </c>
      <c r="F714" s="5" t="s">
        <v>2975</v>
      </c>
      <c r="G714" s="5" t="s">
        <v>3018</v>
      </c>
      <c r="H714" s="5" t="s">
        <v>12</v>
      </c>
      <c r="I714" s="5" t="s">
        <v>40</v>
      </c>
      <c r="J714" s="5" t="s">
        <v>41</v>
      </c>
      <c r="K714" s="5"/>
    </row>
    <row r="715" spans="1:11">
      <c r="A715" s="5" t="s">
        <v>2971</v>
      </c>
      <c r="B715" s="5" t="s">
        <v>3019</v>
      </c>
      <c r="C715" s="5" t="s">
        <v>35</v>
      </c>
      <c r="D715" s="5" t="s">
        <v>3020</v>
      </c>
      <c r="E715" s="5" t="s">
        <v>2974</v>
      </c>
      <c r="F715" s="5" t="s">
        <v>2975</v>
      </c>
      <c r="G715" s="5" t="s">
        <v>3021</v>
      </c>
      <c r="H715" s="5" t="s">
        <v>12</v>
      </c>
      <c r="I715" s="5" t="s">
        <v>40</v>
      </c>
      <c r="J715" s="5" t="s">
        <v>41</v>
      </c>
      <c r="K715" s="5"/>
    </row>
    <row r="716" spans="1:11">
      <c r="A716" s="5" t="s">
        <v>2971</v>
      </c>
      <c r="B716" s="5" t="s">
        <v>3022</v>
      </c>
      <c r="C716" s="5" t="s">
        <v>35</v>
      </c>
      <c r="D716" s="5" t="s">
        <v>3023</v>
      </c>
      <c r="E716" s="5" t="s">
        <v>2974</v>
      </c>
      <c r="F716" s="5" t="s">
        <v>2975</v>
      </c>
      <c r="G716" s="5" t="s">
        <v>3024</v>
      </c>
      <c r="H716" s="5" t="s">
        <v>12</v>
      </c>
      <c r="I716" s="5" t="s">
        <v>40</v>
      </c>
      <c r="J716" s="5" t="s">
        <v>41</v>
      </c>
      <c r="K716" s="5"/>
    </row>
    <row r="717" spans="1:11">
      <c r="A717" s="5" t="s">
        <v>2971</v>
      </c>
      <c r="B717" s="5" t="s">
        <v>3025</v>
      </c>
      <c r="C717" s="5" t="s">
        <v>35</v>
      </c>
      <c r="D717" s="5" t="s">
        <v>3026</v>
      </c>
      <c r="E717" s="5" t="s">
        <v>2974</v>
      </c>
      <c r="F717" s="5" t="s">
        <v>2975</v>
      </c>
      <c r="G717" s="5" t="s">
        <v>3027</v>
      </c>
      <c r="H717" s="5" t="s">
        <v>12</v>
      </c>
      <c r="I717" s="5" t="s">
        <v>40</v>
      </c>
      <c r="J717" s="5" t="s">
        <v>41</v>
      </c>
      <c r="K717" s="5"/>
    </row>
    <row r="718" spans="1:11">
      <c r="A718" s="5" t="s">
        <v>2971</v>
      </c>
      <c r="B718" s="5" t="s">
        <v>3028</v>
      </c>
      <c r="C718" s="5" t="s">
        <v>35</v>
      </c>
      <c r="D718" s="5" t="s">
        <v>3029</v>
      </c>
      <c r="E718" s="5" t="s">
        <v>2974</v>
      </c>
      <c r="F718" s="5" t="s">
        <v>2975</v>
      </c>
      <c r="G718" s="5" t="s">
        <v>3030</v>
      </c>
      <c r="H718" s="5" t="s">
        <v>12</v>
      </c>
      <c r="I718" s="5" t="s">
        <v>40</v>
      </c>
      <c r="J718" s="5" t="s">
        <v>41</v>
      </c>
      <c r="K718" s="5"/>
    </row>
    <row r="719" spans="1:11">
      <c r="A719" s="5" t="s">
        <v>2971</v>
      </c>
      <c r="B719" s="5" t="s">
        <v>3031</v>
      </c>
      <c r="C719" s="5" t="s">
        <v>35</v>
      </c>
      <c r="D719" s="5" t="s">
        <v>3032</v>
      </c>
      <c r="E719" s="5" t="s">
        <v>2974</v>
      </c>
      <c r="F719" s="5" t="s">
        <v>2975</v>
      </c>
      <c r="G719" s="5" t="s">
        <v>3033</v>
      </c>
      <c r="H719" s="5" t="s">
        <v>12</v>
      </c>
      <c r="I719" s="5" t="s">
        <v>40</v>
      </c>
      <c r="J719" s="5" t="s">
        <v>41</v>
      </c>
      <c r="K719" s="5"/>
    </row>
    <row r="720" spans="1:11">
      <c r="A720" s="5" t="s">
        <v>2971</v>
      </c>
      <c r="B720" s="5" t="s">
        <v>3034</v>
      </c>
      <c r="C720" s="5" t="s">
        <v>35</v>
      </c>
      <c r="D720" s="5" t="s">
        <v>3035</v>
      </c>
      <c r="E720" s="5" t="s">
        <v>2974</v>
      </c>
      <c r="F720" s="5" t="s">
        <v>2975</v>
      </c>
      <c r="G720" s="5" t="s">
        <v>3036</v>
      </c>
      <c r="H720" s="5" t="s">
        <v>12</v>
      </c>
      <c r="I720" s="5" t="s">
        <v>40</v>
      </c>
      <c r="J720" s="5" t="s">
        <v>41</v>
      </c>
      <c r="K720" s="5"/>
    </row>
    <row r="721" spans="1:11">
      <c r="A721" s="5" t="s">
        <v>2971</v>
      </c>
      <c r="B721" s="5" t="s">
        <v>3037</v>
      </c>
      <c r="C721" s="5" t="s">
        <v>35</v>
      </c>
      <c r="D721" s="5" t="s">
        <v>3038</v>
      </c>
      <c r="E721" s="5" t="s">
        <v>3039</v>
      </c>
      <c r="F721" s="5" t="s">
        <v>3040</v>
      </c>
      <c r="G721" s="5" t="s">
        <v>3041</v>
      </c>
      <c r="H721" s="5" t="s">
        <v>12</v>
      </c>
      <c r="I721" s="5" t="s">
        <v>40</v>
      </c>
      <c r="J721" s="5" t="s">
        <v>41</v>
      </c>
      <c r="K721" s="5"/>
    </row>
    <row r="722" spans="1:11">
      <c r="A722" s="5" t="s">
        <v>2971</v>
      </c>
      <c r="B722" s="5" t="s">
        <v>3042</v>
      </c>
      <c r="C722" s="5" t="s">
        <v>35</v>
      </c>
      <c r="D722" s="5" t="s">
        <v>3043</v>
      </c>
      <c r="E722" s="5" t="s">
        <v>3044</v>
      </c>
      <c r="F722" s="5" t="s">
        <v>2975</v>
      </c>
      <c r="G722" s="5" t="s">
        <v>3045</v>
      </c>
      <c r="H722" s="5" t="s">
        <v>12</v>
      </c>
      <c r="I722" s="5" t="s">
        <v>40</v>
      </c>
      <c r="J722" s="5" t="s">
        <v>41</v>
      </c>
      <c r="K722" s="5"/>
    </row>
    <row r="723" spans="1:11">
      <c r="A723" s="5" t="s">
        <v>2971</v>
      </c>
      <c r="B723" s="5" t="s">
        <v>3046</v>
      </c>
      <c r="C723" s="5" t="s">
        <v>35</v>
      </c>
      <c r="D723" s="5" t="s">
        <v>3047</v>
      </c>
      <c r="E723" s="5" t="s">
        <v>3048</v>
      </c>
      <c r="F723" s="5" t="s">
        <v>3049</v>
      </c>
      <c r="G723" s="5" t="s">
        <v>3050</v>
      </c>
      <c r="H723" s="5" t="s">
        <v>12</v>
      </c>
      <c r="I723" s="5" t="s">
        <v>40</v>
      </c>
      <c r="J723" s="5" t="s">
        <v>41</v>
      </c>
      <c r="K723" s="5"/>
    </row>
    <row r="724" spans="1:11">
      <c r="A724" s="5" t="s">
        <v>2971</v>
      </c>
      <c r="B724" s="5" t="s">
        <v>3051</v>
      </c>
      <c r="C724" s="5" t="s">
        <v>35</v>
      </c>
      <c r="D724" s="5" t="s">
        <v>3052</v>
      </c>
      <c r="E724" s="5" t="s">
        <v>3053</v>
      </c>
      <c r="F724" s="5" t="s">
        <v>3054</v>
      </c>
      <c r="G724" s="5" t="s">
        <v>3055</v>
      </c>
      <c r="H724" s="5" t="s">
        <v>12</v>
      </c>
      <c r="I724" s="5" t="s">
        <v>40</v>
      </c>
      <c r="J724" s="5" t="s">
        <v>41</v>
      </c>
      <c r="K724" s="5"/>
    </row>
    <row r="725" spans="1:11">
      <c r="A725" s="5" t="s">
        <v>2971</v>
      </c>
      <c r="B725" s="5" t="s">
        <v>3056</v>
      </c>
      <c r="C725" s="5" t="s">
        <v>35</v>
      </c>
      <c r="D725" s="5" t="s">
        <v>3057</v>
      </c>
      <c r="E725" s="5" t="s">
        <v>3058</v>
      </c>
      <c r="F725" s="5" t="s">
        <v>3054</v>
      </c>
      <c r="G725" s="5" t="s">
        <v>3059</v>
      </c>
      <c r="H725" s="5" t="s">
        <v>12</v>
      </c>
      <c r="I725" s="5" t="s">
        <v>40</v>
      </c>
      <c r="J725" s="5" t="s">
        <v>41</v>
      </c>
      <c r="K725" s="5"/>
    </row>
    <row r="726" spans="1:11">
      <c r="A726" s="5" t="s">
        <v>2971</v>
      </c>
      <c r="B726" s="5" t="s">
        <v>3060</v>
      </c>
      <c r="C726" s="5" t="s">
        <v>35</v>
      </c>
      <c r="D726" s="5" t="s">
        <v>3061</v>
      </c>
      <c r="E726" s="5" t="s">
        <v>3062</v>
      </c>
      <c r="F726" s="5" t="s">
        <v>3063</v>
      </c>
      <c r="G726" s="5" t="s">
        <v>3064</v>
      </c>
      <c r="H726" s="5" t="s">
        <v>12</v>
      </c>
      <c r="I726" s="5" t="s">
        <v>40</v>
      </c>
      <c r="J726" s="5" t="s">
        <v>41</v>
      </c>
      <c r="K726" s="5"/>
    </row>
    <row r="727" spans="1:11">
      <c r="A727" s="5" t="s">
        <v>2971</v>
      </c>
      <c r="B727" s="5" t="s">
        <v>3065</v>
      </c>
      <c r="C727" s="5" t="s">
        <v>35</v>
      </c>
      <c r="D727" s="5" t="s">
        <v>3066</v>
      </c>
      <c r="E727" s="5" t="s">
        <v>3067</v>
      </c>
      <c r="F727" s="5" t="s">
        <v>3068</v>
      </c>
      <c r="G727" s="5" t="s">
        <v>3069</v>
      </c>
      <c r="H727" s="5" t="s">
        <v>12</v>
      </c>
      <c r="I727" s="5" t="s">
        <v>40</v>
      </c>
      <c r="J727" s="5" t="s">
        <v>41</v>
      </c>
      <c r="K727" s="5"/>
    </row>
    <row r="728" spans="1:11">
      <c r="A728" s="5" t="s">
        <v>3070</v>
      </c>
      <c r="B728" s="5" t="s">
        <v>3071</v>
      </c>
      <c r="C728" s="5" t="s">
        <v>35</v>
      </c>
      <c r="D728" s="5" t="s">
        <v>3072</v>
      </c>
      <c r="E728" s="5" t="s">
        <v>3073</v>
      </c>
      <c r="F728" s="5" t="s">
        <v>3074</v>
      </c>
      <c r="G728" s="5" t="s">
        <v>3075</v>
      </c>
      <c r="H728" s="5" t="s">
        <v>12</v>
      </c>
      <c r="I728" s="5" t="s">
        <v>40</v>
      </c>
      <c r="J728" s="5" t="s">
        <v>41</v>
      </c>
      <c r="K728" s="5"/>
    </row>
    <row r="729" spans="1:11">
      <c r="A729" s="5" t="s">
        <v>3070</v>
      </c>
      <c r="B729" s="5" t="s">
        <v>3076</v>
      </c>
      <c r="C729" s="5" t="s">
        <v>35</v>
      </c>
      <c r="D729" s="5" t="s">
        <v>3077</v>
      </c>
      <c r="E729" s="5" t="s">
        <v>3078</v>
      </c>
      <c r="F729" s="5" t="s">
        <v>3074</v>
      </c>
      <c r="G729" s="5" t="s">
        <v>3079</v>
      </c>
      <c r="H729" s="5" t="s">
        <v>12</v>
      </c>
      <c r="I729" s="5" t="s">
        <v>40</v>
      </c>
      <c r="J729" s="5" t="s">
        <v>41</v>
      </c>
      <c r="K729" s="5"/>
    </row>
    <row r="730" spans="1:11">
      <c r="A730" s="5" t="s">
        <v>3070</v>
      </c>
      <c r="B730" s="5" t="s">
        <v>3080</v>
      </c>
      <c r="C730" s="5" t="s">
        <v>35</v>
      </c>
      <c r="D730" s="5" t="s">
        <v>3081</v>
      </c>
      <c r="E730" s="5" t="s">
        <v>3082</v>
      </c>
      <c r="F730" s="5" t="s">
        <v>3083</v>
      </c>
      <c r="G730" s="5" t="s">
        <v>3084</v>
      </c>
      <c r="H730" s="5" t="s">
        <v>12</v>
      </c>
      <c r="I730" s="5" t="s">
        <v>40</v>
      </c>
      <c r="J730" s="5" t="s">
        <v>41</v>
      </c>
      <c r="K730" s="5"/>
    </row>
    <row r="731" spans="1:11">
      <c r="A731" s="5" t="s">
        <v>3070</v>
      </c>
      <c r="B731" s="5" t="s">
        <v>3085</v>
      </c>
      <c r="C731" s="5" t="s">
        <v>35</v>
      </c>
      <c r="D731" s="5" t="s">
        <v>3086</v>
      </c>
      <c r="E731" s="5" t="s">
        <v>3087</v>
      </c>
      <c r="F731" s="5" t="s">
        <v>3083</v>
      </c>
      <c r="G731" s="5" t="s">
        <v>3088</v>
      </c>
      <c r="H731" s="5" t="s">
        <v>12</v>
      </c>
      <c r="I731" s="5" t="s">
        <v>40</v>
      </c>
      <c r="J731" s="5" t="s">
        <v>41</v>
      </c>
      <c r="K731" s="5"/>
    </row>
    <row r="732" spans="1:11">
      <c r="A732" s="5" t="s">
        <v>3070</v>
      </c>
      <c r="B732" s="5" t="s">
        <v>3089</v>
      </c>
      <c r="C732" s="5" t="s">
        <v>35</v>
      </c>
      <c r="D732" s="5" t="s">
        <v>3090</v>
      </c>
      <c r="E732" s="5" t="s">
        <v>3091</v>
      </c>
      <c r="F732" s="5" t="s">
        <v>3092</v>
      </c>
      <c r="G732" s="5" t="s">
        <v>3093</v>
      </c>
      <c r="H732" s="5" t="s">
        <v>12</v>
      </c>
      <c r="I732" s="5" t="s">
        <v>40</v>
      </c>
      <c r="J732" s="5" t="s">
        <v>41</v>
      </c>
      <c r="K732" s="5"/>
    </row>
    <row r="733" spans="1:11">
      <c r="A733" s="5" t="s">
        <v>3070</v>
      </c>
      <c r="B733" s="5" t="s">
        <v>3094</v>
      </c>
      <c r="C733" s="5" t="s">
        <v>35</v>
      </c>
      <c r="D733" s="5" t="s">
        <v>3095</v>
      </c>
      <c r="E733" s="5" t="s">
        <v>3096</v>
      </c>
      <c r="F733" s="5" t="s">
        <v>3092</v>
      </c>
      <c r="G733" s="5" t="s">
        <v>3097</v>
      </c>
      <c r="H733" s="5" t="s">
        <v>12</v>
      </c>
      <c r="I733" s="5" t="s">
        <v>40</v>
      </c>
      <c r="J733" s="5" t="s">
        <v>41</v>
      </c>
      <c r="K733" s="5"/>
    </row>
    <row r="734" spans="1:11">
      <c r="A734" s="5" t="s">
        <v>3098</v>
      </c>
      <c r="B734" s="5" t="s">
        <v>3099</v>
      </c>
      <c r="C734" s="5" t="s">
        <v>35</v>
      </c>
      <c r="D734" s="5" t="s">
        <v>3100</v>
      </c>
      <c r="E734" s="5" t="s">
        <v>3101</v>
      </c>
      <c r="F734" s="5" t="s">
        <v>3102</v>
      </c>
      <c r="G734" s="5" t="s">
        <v>3103</v>
      </c>
      <c r="H734" s="5" t="s">
        <v>12</v>
      </c>
      <c r="I734" s="5" t="s">
        <v>40</v>
      </c>
      <c r="J734" s="5" t="s">
        <v>41</v>
      </c>
      <c r="K734" s="5"/>
    </row>
    <row r="735" spans="1:11">
      <c r="A735" s="5" t="s">
        <v>3098</v>
      </c>
      <c r="B735" s="5" t="s">
        <v>3104</v>
      </c>
      <c r="C735" s="5" t="s">
        <v>35</v>
      </c>
      <c r="D735" s="5" t="s">
        <v>3105</v>
      </c>
      <c r="E735" s="5" t="s">
        <v>3106</v>
      </c>
      <c r="F735" s="5" t="s">
        <v>3107</v>
      </c>
      <c r="G735" s="5" t="s">
        <v>3108</v>
      </c>
      <c r="H735" s="5" t="s">
        <v>12</v>
      </c>
      <c r="I735" s="5" t="s">
        <v>40</v>
      </c>
      <c r="J735" s="5" t="s">
        <v>41</v>
      </c>
      <c r="K735" s="5"/>
    </row>
    <row r="736" spans="1:11">
      <c r="A736" s="5" t="s">
        <v>3098</v>
      </c>
      <c r="B736" s="5" t="s">
        <v>3109</v>
      </c>
      <c r="C736" s="5" t="s">
        <v>35</v>
      </c>
      <c r="D736" s="5" t="s">
        <v>3110</v>
      </c>
      <c r="E736" s="5" t="s">
        <v>3106</v>
      </c>
      <c r="F736" s="5" t="s">
        <v>3107</v>
      </c>
      <c r="G736" s="5" t="s">
        <v>3111</v>
      </c>
      <c r="H736" s="5" t="s">
        <v>12</v>
      </c>
      <c r="I736" s="5" t="s">
        <v>40</v>
      </c>
      <c r="J736" s="5" t="s">
        <v>41</v>
      </c>
      <c r="K736" s="5"/>
    </row>
    <row r="737" spans="1:11">
      <c r="A737" s="5" t="s">
        <v>3098</v>
      </c>
      <c r="B737" s="5" t="s">
        <v>3112</v>
      </c>
      <c r="C737" s="5" t="s">
        <v>35</v>
      </c>
      <c r="D737" s="5" t="s">
        <v>3113</v>
      </c>
      <c r="E737" s="5" t="s">
        <v>3101</v>
      </c>
      <c r="F737" s="5" t="s">
        <v>3102</v>
      </c>
      <c r="G737" s="5" t="s">
        <v>3114</v>
      </c>
      <c r="H737" s="5" t="s">
        <v>12</v>
      </c>
      <c r="I737" s="5" t="s">
        <v>40</v>
      </c>
      <c r="J737" s="5" t="s">
        <v>41</v>
      </c>
      <c r="K737" s="5"/>
    </row>
    <row r="738" spans="1:11">
      <c r="A738" s="5" t="s">
        <v>3098</v>
      </c>
      <c r="B738" s="5" t="s">
        <v>3115</v>
      </c>
      <c r="C738" s="5" t="s">
        <v>35</v>
      </c>
      <c r="D738" s="5" t="s">
        <v>3116</v>
      </c>
      <c r="E738" s="5" t="s">
        <v>3106</v>
      </c>
      <c r="F738" s="5" t="s">
        <v>3107</v>
      </c>
      <c r="G738" s="5" t="s">
        <v>3117</v>
      </c>
      <c r="H738" s="5" t="s">
        <v>12</v>
      </c>
      <c r="I738" s="5" t="s">
        <v>40</v>
      </c>
      <c r="J738" s="5" t="s">
        <v>41</v>
      </c>
      <c r="K738" s="5"/>
    </row>
    <row r="739" spans="1:11">
      <c r="A739" s="5" t="s">
        <v>3098</v>
      </c>
      <c r="B739" s="5" t="s">
        <v>3118</v>
      </c>
      <c r="C739" s="5" t="s">
        <v>35</v>
      </c>
      <c r="D739" s="5" t="s">
        <v>3119</v>
      </c>
      <c r="E739" s="5" t="s">
        <v>3106</v>
      </c>
      <c r="F739" s="5" t="s">
        <v>3107</v>
      </c>
      <c r="G739" s="5" t="s">
        <v>3120</v>
      </c>
      <c r="H739" s="5" t="s">
        <v>12</v>
      </c>
      <c r="I739" s="5" t="s">
        <v>40</v>
      </c>
      <c r="J739" s="5" t="s">
        <v>41</v>
      </c>
      <c r="K739" s="5"/>
    </row>
    <row r="740" spans="1:11">
      <c r="A740" s="5" t="s">
        <v>3098</v>
      </c>
      <c r="B740" s="5" t="s">
        <v>3121</v>
      </c>
      <c r="C740" s="5" t="s">
        <v>35</v>
      </c>
      <c r="D740" s="5" t="s">
        <v>3122</v>
      </c>
      <c r="E740" s="5" t="s">
        <v>3101</v>
      </c>
      <c r="F740" s="5" t="s">
        <v>3102</v>
      </c>
      <c r="G740" s="5" t="s">
        <v>3123</v>
      </c>
      <c r="H740" s="5" t="s">
        <v>12</v>
      </c>
      <c r="I740" s="5" t="s">
        <v>40</v>
      </c>
      <c r="J740" s="5" t="s">
        <v>41</v>
      </c>
      <c r="K740" s="5"/>
    </row>
    <row r="741" spans="1:11">
      <c r="A741" s="5" t="s">
        <v>3098</v>
      </c>
      <c r="B741" s="5" t="s">
        <v>3124</v>
      </c>
      <c r="C741" s="5" t="s">
        <v>35</v>
      </c>
      <c r="D741" s="5" t="s">
        <v>3125</v>
      </c>
      <c r="E741" s="5" t="s">
        <v>3101</v>
      </c>
      <c r="F741" s="5" t="s">
        <v>3102</v>
      </c>
      <c r="G741" s="5" t="s">
        <v>3126</v>
      </c>
      <c r="H741" s="5" t="s">
        <v>12</v>
      </c>
      <c r="I741" s="5" t="s">
        <v>40</v>
      </c>
      <c r="J741" s="5" t="s">
        <v>41</v>
      </c>
      <c r="K741" s="5"/>
    </row>
    <row r="742" spans="1:11">
      <c r="A742" s="5" t="s">
        <v>3098</v>
      </c>
      <c r="B742" s="5" t="s">
        <v>3127</v>
      </c>
      <c r="C742" s="5" t="s">
        <v>35</v>
      </c>
      <c r="D742" s="5" t="s">
        <v>3128</v>
      </c>
      <c r="E742" s="5" t="s">
        <v>3101</v>
      </c>
      <c r="F742" s="5" t="s">
        <v>3102</v>
      </c>
      <c r="G742" s="5" t="s">
        <v>3129</v>
      </c>
      <c r="H742" s="5" t="s">
        <v>12</v>
      </c>
      <c r="I742" s="5" t="s">
        <v>40</v>
      </c>
      <c r="J742" s="5" t="s">
        <v>41</v>
      </c>
      <c r="K742" s="5"/>
    </row>
    <row r="743" spans="1:11">
      <c r="A743" s="5" t="s">
        <v>3098</v>
      </c>
      <c r="B743" s="5" t="s">
        <v>3130</v>
      </c>
      <c r="C743" s="5" t="s">
        <v>35</v>
      </c>
      <c r="D743" s="5" t="s">
        <v>3131</v>
      </c>
      <c r="E743" s="5" t="s">
        <v>3101</v>
      </c>
      <c r="F743" s="5" t="s">
        <v>3102</v>
      </c>
      <c r="G743" s="5" t="s">
        <v>3132</v>
      </c>
      <c r="H743" s="5" t="s">
        <v>12</v>
      </c>
      <c r="I743" s="5" t="s">
        <v>40</v>
      </c>
      <c r="J743" s="5" t="s">
        <v>41</v>
      </c>
      <c r="K743" s="5"/>
    </row>
    <row r="744" spans="1:11">
      <c r="A744" s="5" t="s">
        <v>3098</v>
      </c>
      <c r="B744" s="5" t="s">
        <v>3133</v>
      </c>
      <c r="C744" s="5" t="s">
        <v>35</v>
      </c>
      <c r="D744" s="5" t="s">
        <v>3134</v>
      </c>
      <c r="E744" s="5" t="s">
        <v>3101</v>
      </c>
      <c r="F744" s="5" t="s">
        <v>3102</v>
      </c>
      <c r="G744" s="5" t="s">
        <v>3135</v>
      </c>
      <c r="H744" s="5" t="s">
        <v>12</v>
      </c>
      <c r="I744" s="5" t="s">
        <v>40</v>
      </c>
      <c r="J744" s="5" t="s">
        <v>41</v>
      </c>
      <c r="K744" s="5"/>
    </row>
    <row r="745" spans="1:11">
      <c r="A745" s="5" t="s">
        <v>3098</v>
      </c>
      <c r="B745" s="5" t="s">
        <v>3136</v>
      </c>
      <c r="C745" s="5" t="s">
        <v>35</v>
      </c>
      <c r="D745" s="5" t="s">
        <v>3137</v>
      </c>
      <c r="E745" s="5" t="s">
        <v>3101</v>
      </c>
      <c r="F745" s="5" t="s">
        <v>3102</v>
      </c>
      <c r="G745" s="5" t="s">
        <v>3138</v>
      </c>
      <c r="H745" s="5" t="s">
        <v>12</v>
      </c>
      <c r="I745" s="5" t="s">
        <v>40</v>
      </c>
      <c r="J745" s="5" t="s">
        <v>41</v>
      </c>
      <c r="K745" s="5"/>
    </row>
    <row r="746" spans="1:11">
      <c r="A746" s="5" t="s">
        <v>3098</v>
      </c>
      <c r="B746" s="5" t="s">
        <v>3139</v>
      </c>
      <c r="C746" s="5" t="s">
        <v>35</v>
      </c>
      <c r="D746" s="5" t="s">
        <v>3140</v>
      </c>
      <c r="E746" s="5" t="s">
        <v>3101</v>
      </c>
      <c r="F746" s="5" t="s">
        <v>3102</v>
      </c>
      <c r="G746" s="5" t="s">
        <v>3141</v>
      </c>
      <c r="H746" s="5" t="s">
        <v>12</v>
      </c>
      <c r="I746" s="5" t="s">
        <v>40</v>
      </c>
      <c r="J746" s="5" t="s">
        <v>41</v>
      </c>
      <c r="K746" s="5"/>
    </row>
    <row r="747" spans="1:11">
      <c r="A747" s="5" t="s">
        <v>3098</v>
      </c>
      <c r="B747" s="5" t="s">
        <v>3142</v>
      </c>
      <c r="C747" s="5" t="s">
        <v>35</v>
      </c>
      <c r="D747" s="5" t="s">
        <v>3143</v>
      </c>
      <c r="E747" s="5" t="s">
        <v>3144</v>
      </c>
      <c r="F747" s="5" t="s">
        <v>3107</v>
      </c>
      <c r="G747" s="5" t="s">
        <v>3145</v>
      </c>
      <c r="H747" s="5" t="s">
        <v>12</v>
      </c>
      <c r="I747" s="5" t="s">
        <v>40</v>
      </c>
      <c r="J747" s="5" t="s">
        <v>41</v>
      </c>
      <c r="K747" s="5"/>
    </row>
    <row r="748" spans="1:11">
      <c r="A748" s="5" t="s">
        <v>3098</v>
      </c>
      <c r="B748" s="5" t="s">
        <v>3146</v>
      </c>
      <c r="C748" s="5" t="s">
        <v>35</v>
      </c>
      <c r="D748" s="5" t="s">
        <v>3147</v>
      </c>
      <c r="E748" s="5" t="s">
        <v>3144</v>
      </c>
      <c r="F748" s="5" t="s">
        <v>3107</v>
      </c>
      <c r="G748" s="5" t="s">
        <v>3148</v>
      </c>
      <c r="H748" s="5" t="s">
        <v>12</v>
      </c>
      <c r="I748" s="5" t="s">
        <v>40</v>
      </c>
      <c r="J748" s="5" t="s">
        <v>41</v>
      </c>
      <c r="K748" s="5"/>
    </row>
    <row r="749" spans="1:11">
      <c r="A749" s="5" t="s">
        <v>3098</v>
      </c>
      <c r="B749" s="5" t="s">
        <v>3149</v>
      </c>
      <c r="C749" s="5" t="s">
        <v>35</v>
      </c>
      <c r="D749" s="5" t="s">
        <v>3150</v>
      </c>
      <c r="E749" s="5" t="s">
        <v>3144</v>
      </c>
      <c r="F749" s="5" t="s">
        <v>3107</v>
      </c>
      <c r="G749" s="5" t="s">
        <v>3151</v>
      </c>
      <c r="H749" s="5" t="s">
        <v>12</v>
      </c>
      <c r="I749" s="5" t="s">
        <v>40</v>
      </c>
      <c r="J749" s="5" t="s">
        <v>41</v>
      </c>
      <c r="K749" s="5"/>
    </row>
    <row r="750" spans="1:11">
      <c r="A750" s="5" t="s">
        <v>3098</v>
      </c>
      <c r="B750" s="5" t="s">
        <v>3152</v>
      </c>
      <c r="C750" s="5" t="s">
        <v>35</v>
      </c>
      <c r="D750" s="5" t="s">
        <v>3153</v>
      </c>
      <c r="E750" s="5" t="s">
        <v>3144</v>
      </c>
      <c r="F750" s="5" t="s">
        <v>3107</v>
      </c>
      <c r="G750" s="5" t="s">
        <v>3154</v>
      </c>
      <c r="H750" s="5" t="s">
        <v>12</v>
      </c>
      <c r="I750" s="5" t="s">
        <v>40</v>
      </c>
      <c r="J750" s="5" t="s">
        <v>41</v>
      </c>
      <c r="K750" s="5"/>
    </row>
    <row r="751" spans="1:11">
      <c r="A751" s="5" t="s">
        <v>3098</v>
      </c>
      <c r="B751" s="5" t="s">
        <v>3155</v>
      </c>
      <c r="C751" s="5" t="s">
        <v>35</v>
      </c>
      <c r="D751" s="5" t="s">
        <v>3156</v>
      </c>
      <c r="E751" s="5" t="s">
        <v>3144</v>
      </c>
      <c r="F751" s="5" t="s">
        <v>3107</v>
      </c>
      <c r="G751" s="5" t="s">
        <v>3157</v>
      </c>
      <c r="H751" s="5" t="s">
        <v>12</v>
      </c>
      <c r="I751" s="5" t="s">
        <v>40</v>
      </c>
      <c r="J751" s="5" t="s">
        <v>41</v>
      </c>
      <c r="K751" s="5"/>
    </row>
    <row r="752" spans="1:11">
      <c r="A752" s="5" t="s">
        <v>3098</v>
      </c>
      <c r="B752" s="5" t="s">
        <v>3158</v>
      </c>
      <c r="C752" s="5" t="s">
        <v>35</v>
      </c>
      <c r="D752" s="5" t="s">
        <v>3159</v>
      </c>
      <c r="E752" s="5" t="s">
        <v>3144</v>
      </c>
      <c r="F752" s="5" t="s">
        <v>3107</v>
      </c>
      <c r="G752" s="5" t="s">
        <v>3160</v>
      </c>
      <c r="H752" s="5" t="s">
        <v>12</v>
      </c>
      <c r="I752" s="5" t="s">
        <v>40</v>
      </c>
      <c r="J752" s="5" t="s">
        <v>41</v>
      </c>
      <c r="K752" s="5"/>
    </row>
    <row r="753" spans="1:11">
      <c r="A753" s="5" t="s">
        <v>3098</v>
      </c>
      <c r="B753" s="5" t="s">
        <v>3161</v>
      </c>
      <c r="C753" s="5" t="s">
        <v>35</v>
      </c>
      <c r="D753" s="5" t="s">
        <v>3162</v>
      </c>
      <c r="E753" s="5" t="s">
        <v>3144</v>
      </c>
      <c r="F753" s="5" t="s">
        <v>3107</v>
      </c>
      <c r="G753" s="5" t="s">
        <v>3163</v>
      </c>
      <c r="H753" s="5" t="s">
        <v>12</v>
      </c>
      <c r="I753" s="5" t="s">
        <v>40</v>
      </c>
      <c r="J753" s="5" t="s">
        <v>41</v>
      </c>
      <c r="K753" s="5"/>
    </row>
    <row r="754" spans="1:11">
      <c r="A754" s="5" t="s">
        <v>3098</v>
      </c>
      <c r="B754" s="5" t="s">
        <v>3164</v>
      </c>
      <c r="C754" s="5" t="s">
        <v>35</v>
      </c>
      <c r="D754" s="5" t="s">
        <v>3165</v>
      </c>
      <c r="E754" s="5" t="s">
        <v>3144</v>
      </c>
      <c r="F754" s="5" t="s">
        <v>3107</v>
      </c>
      <c r="G754" s="5" t="s">
        <v>3166</v>
      </c>
      <c r="H754" s="5" t="s">
        <v>12</v>
      </c>
      <c r="I754" s="5" t="s">
        <v>40</v>
      </c>
      <c r="J754" s="5" t="s">
        <v>41</v>
      </c>
      <c r="K754" s="5"/>
    </row>
    <row r="755" spans="1:11">
      <c r="A755" s="5" t="s">
        <v>3098</v>
      </c>
      <c r="B755" s="5" t="s">
        <v>3167</v>
      </c>
      <c r="C755" s="5" t="s">
        <v>35</v>
      </c>
      <c r="D755" s="5" t="s">
        <v>3168</v>
      </c>
      <c r="E755" s="5" t="s">
        <v>3144</v>
      </c>
      <c r="F755" s="5" t="s">
        <v>3107</v>
      </c>
      <c r="G755" s="5" t="s">
        <v>3169</v>
      </c>
      <c r="H755" s="5" t="s">
        <v>12</v>
      </c>
      <c r="I755" s="5" t="s">
        <v>40</v>
      </c>
      <c r="J755" s="5" t="s">
        <v>41</v>
      </c>
      <c r="K755" s="5"/>
    </row>
    <row r="756" spans="1:11">
      <c r="A756" s="5" t="s">
        <v>3098</v>
      </c>
      <c r="B756" s="5" t="s">
        <v>3170</v>
      </c>
      <c r="C756" s="5" t="s">
        <v>35</v>
      </c>
      <c r="D756" s="5" t="s">
        <v>3171</v>
      </c>
      <c r="E756" s="5" t="s">
        <v>3144</v>
      </c>
      <c r="F756" s="5" t="s">
        <v>3107</v>
      </c>
      <c r="G756" s="5" t="s">
        <v>3172</v>
      </c>
      <c r="H756" s="5" t="s">
        <v>12</v>
      </c>
      <c r="I756" s="5" t="s">
        <v>40</v>
      </c>
      <c r="J756" s="5" t="s">
        <v>41</v>
      </c>
      <c r="K756" s="5"/>
    </row>
    <row r="757" spans="1:11">
      <c r="A757" s="5" t="s">
        <v>3098</v>
      </c>
      <c r="B757" s="5" t="s">
        <v>3173</v>
      </c>
      <c r="C757" s="5" t="s">
        <v>35</v>
      </c>
      <c r="D757" s="5" t="s">
        <v>3174</v>
      </c>
      <c r="E757" s="5" t="s">
        <v>3144</v>
      </c>
      <c r="F757" s="5" t="s">
        <v>3107</v>
      </c>
      <c r="G757" s="5" t="s">
        <v>3175</v>
      </c>
      <c r="H757" s="5" t="s">
        <v>12</v>
      </c>
      <c r="I757" s="5" t="s">
        <v>40</v>
      </c>
      <c r="J757" s="5" t="s">
        <v>41</v>
      </c>
      <c r="K757" s="5"/>
    </row>
    <row r="758" spans="1:11">
      <c r="A758" s="5" t="s">
        <v>3098</v>
      </c>
      <c r="B758" s="5" t="s">
        <v>3176</v>
      </c>
      <c r="C758" s="5" t="s">
        <v>35</v>
      </c>
      <c r="D758" s="5" t="s">
        <v>3177</v>
      </c>
      <c r="E758" s="5" t="s">
        <v>3144</v>
      </c>
      <c r="F758" s="5" t="s">
        <v>3107</v>
      </c>
      <c r="G758" s="5" t="s">
        <v>3178</v>
      </c>
      <c r="H758" s="5" t="s">
        <v>12</v>
      </c>
      <c r="I758" s="5" t="s">
        <v>40</v>
      </c>
      <c r="J758" s="5" t="s">
        <v>41</v>
      </c>
      <c r="K758" s="5"/>
    </row>
    <row r="759" spans="1:11">
      <c r="A759" s="5" t="s">
        <v>3098</v>
      </c>
      <c r="B759" s="5" t="s">
        <v>3179</v>
      </c>
      <c r="C759" s="5" t="s">
        <v>35</v>
      </c>
      <c r="D759" s="5" t="s">
        <v>3180</v>
      </c>
      <c r="E759" s="5" t="s">
        <v>3181</v>
      </c>
      <c r="F759" s="5" t="s">
        <v>3182</v>
      </c>
      <c r="G759" s="5" t="s">
        <v>3183</v>
      </c>
      <c r="H759" s="5" t="s">
        <v>12</v>
      </c>
      <c r="I759" s="5" t="s">
        <v>40</v>
      </c>
      <c r="J759" s="5" t="s">
        <v>41</v>
      </c>
      <c r="K759" s="5"/>
    </row>
    <row r="760" spans="1:11">
      <c r="A760" s="5" t="s">
        <v>3098</v>
      </c>
      <c r="B760" s="5" t="s">
        <v>3184</v>
      </c>
      <c r="C760" s="5" t="s">
        <v>35</v>
      </c>
      <c r="D760" s="5" t="s">
        <v>3185</v>
      </c>
      <c r="E760" s="5" t="s">
        <v>3186</v>
      </c>
      <c r="F760" s="5" t="s">
        <v>3187</v>
      </c>
      <c r="G760" s="5" t="s">
        <v>3188</v>
      </c>
      <c r="H760" s="5" t="s">
        <v>12</v>
      </c>
      <c r="I760" s="5" t="s">
        <v>40</v>
      </c>
      <c r="J760" s="5" t="s">
        <v>41</v>
      </c>
      <c r="K760" s="5"/>
    </row>
    <row r="761" spans="1:11">
      <c r="A761" s="5" t="s">
        <v>3098</v>
      </c>
      <c r="B761" s="5" t="s">
        <v>3184</v>
      </c>
      <c r="C761" s="5" t="s">
        <v>35</v>
      </c>
      <c r="D761" s="5" t="s">
        <v>3185</v>
      </c>
      <c r="E761" s="5" t="s">
        <v>3189</v>
      </c>
      <c r="F761" s="5" t="s">
        <v>3190</v>
      </c>
      <c r="G761" s="5" t="s">
        <v>3188</v>
      </c>
      <c r="H761" s="5" t="s">
        <v>12</v>
      </c>
      <c r="I761" s="5" t="s">
        <v>40</v>
      </c>
      <c r="J761" s="5" t="s">
        <v>41</v>
      </c>
      <c r="K761" s="5"/>
    </row>
    <row r="762" spans="1:11">
      <c r="A762" s="5" t="s">
        <v>3098</v>
      </c>
      <c r="B762" s="5" t="s">
        <v>3191</v>
      </c>
      <c r="C762" s="5" t="s">
        <v>35</v>
      </c>
      <c r="D762" s="5" t="s">
        <v>3192</v>
      </c>
      <c r="E762" s="5" t="s">
        <v>3189</v>
      </c>
      <c r="F762" s="5" t="s">
        <v>3190</v>
      </c>
      <c r="G762" s="5" t="s">
        <v>3193</v>
      </c>
      <c r="H762" s="5" t="s">
        <v>12</v>
      </c>
      <c r="I762" s="5" t="s">
        <v>40</v>
      </c>
      <c r="J762" s="5" t="s">
        <v>41</v>
      </c>
      <c r="K762" s="5"/>
    </row>
    <row r="763" spans="1:11">
      <c r="A763" s="5" t="s">
        <v>3098</v>
      </c>
      <c r="B763" s="5" t="s">
        <v>3194</v>
      </c>
      <c r="C763" s="5" t="s">
        <v>35</v>
      </c>
      <c r="D763" s="5" t="s">
        <v>3195</v>
      </c>
      <c r="E763" s="5" t="s">
        <v>3189</v>
      </c>
      <c r="F763" s="5" t="s">
        <v>3190</v>
      </c>
      <c r="G763" s="5" t="s">
        <v>3196</v>
      </c>
      <c r="H763" s="5" t="s">
        <v>12</v>
      </c>
      <c r="I763" s="5" t="s">
        <v>40</v>
      </c>
      <c r="J763" s="5" t="s">
        <v>41</v>
      </c>
      <c r="K763" s="5"/>
    </row>
    <row r="764" spans="1:11">
      <c r="A764" s="5" t="s">
        <v>3098</v>
      </c>
      <c r="B764" s="5" t="s">
        <v>3197</v>
      </c>
      <c r="C764" s="5" t="s">
        <v>35</v>
      </c>
      <c r="D764" s="5" t="s">
        <v>3198</v>
      </c>
      <c r="E764" s="5" t="s">
        <v>3189</v>
      </c>
      <c r="F764" s="5" t="s">
        <v>3190</v>
      </c>
      <c r="G764" s="5" t="s">
        <v>3199</v>
      </c>
      <c r="H764" s="5" t="s">
        <v>12</v>
      </c>
      <c r="I764" s="5" t="s">
        <v>40</v>
      </c>
      <c r="J764" s="5" t="s">
        <v>41</v>
      </c>
      <c r="K764" s="5"/>
    </row>
    <row r="765" spans="1:11">
      <c r="A765" s="5" t="s">
        <v>3098</v>
      </c>
      <c r="B765" s="5" t="s">
        <v>3200</v>
      </c>
      <c r="C765" s="5" t="s">
        <v>35</v>
      </c>
      <c r="D765" s="5" t="s">
        <v>3201</v>
      </c>
      <c r="E765" s="5" t="s">
        <v>3189</v>
      </c>
      <c r="F765" s="5" t="s">
        <v>3190</v>
      </c>
      <c r="G765" s="5" t="s">
        <v>3202</v>
      </c>
      <c r="H765" s="5" t="s">
        <v>12</v>
      </c>
      <c r="I765" s="5" t="s">
        <v>40</v>
      </c>
      <c r="J765" s="5" t="s">
        <v>41</v>
      </c>
      <c r="K765" s="5"/>
    </row>
    <row r="766" spans="1:11">
      <c r="A766" s="5" t="s">
        <v>3098</v>
      </c>
      <c r="B766" s="5" t="s">
        <v>3203</v>
      </c>
      <c r="C766" s="5" t="s">
        <v>35</v>
      </c>
      <c r="D766" s="5" t="s">
        <v>3204</v>
      </c>
      <c r="E766" s="5" t="s">
        <v>3189</v>
      </c>
      <c r="F766" s="5" t="s">
        <v>3190</v>
      </c>
      <c r="G766" s="5" t="s">
        <v>3205</v>
      </c>
      <c r="H766" s="5" t="s">
        <v>12</v>
      </c>
      <c r="I766" s="5" t="s">
        <v>40</v>
      </c>
      <c r="J766" s="5" t="s">
        <v>41</v>
      </c>
      <c r="K766" s="5"/>
    </row>
    <row r="767" spans="1:11">
      <c r="A767" s="5" t="s">
        <v>3098</v>
      </c>
      <c r="B767" s="5" t="s">
        <v>3206</v>
      </c>
      <c r="C767" s="5" t="s">
        <v>35</v>
      </c>
      <c r="D767" s="5" t="s">
        <v>3207</v>
      </c>
      <c r="E767" s="5" t="s">
        <v>3189</v>
      </c>
      <c r="F767" s="5" t="s">
        <v>3190</v>
      </c>
      <c r="G767" s="5" t="s">
        <v>3208</v>
      </c>
      <c r="H767" s="5" t="s">
        <v>12</v>
      </c>
      <c r="I767" s="5" t="s">
        <v>40</v>
      </c>
      <c r="J767" s="5" t="s">
        <v>41</v>
      </c>
      <c r="K767" s="5"/>
    </row>
    <row r="768" spans="1:11">
      <c r="A768" s="5" t="s">
        <v>3098</v>
      </c>
      <c r="B768" s="5" t="s">
        <v>3209</v>
      </c>
      <c r="C768" s="5" t="s">
        <v>35</v>
      </c>
      <c r="D768" s="5" t="s">
        <v>3210</v>
      </c>
      <c r="E768" s="5" t="s">
        <v>3189</v>
      </c>
      <c r="F768" s="5" t="s">
        <v>3190</v>
      </c>
      <c r="G768" s="5" t="s">
        <v>3211</v>
      </c>
      <c r="H768" s="5" t="s">
        <v>12</v>
      </c>
      <c r="I768" s="5" t="s">
        <v>40</v>
      </c>
      <c r="J768" s="5" t="s">
        <v>41</v>
      </c>
      <c r="K768" s="5"/>
    </row>
    <row r="769" spans="1:11">
      <c r="A769" s="5" t="s">
        <v>3098</v>
      </c>
      <c r="B769" s="5" t="s">
        <v>3212</v>
      </c>
      <c r="C769" s="5" t="s">
        <v>35</v>
      </c>
      <c r="D769" s="5" t="s">
        <v>3213</v>
      </c>
      <c r="E769" s="5" t="s">
        <v>3189</v>
      </c>
      <c r="F769" s="5" t="s">
        <v>3190</v>
      </c>
      <c r="G769" s="5" t="s">
        <v>3214</v>
      </c>
      <c r="H769" s="5" t="s">
        <v>12</v>
      </c>
      <c r="I769" s="5" t="s">
        <v>40</v>
      </c>
      <c r="J769" s="5" t="s">
        <v>41</v>
      </c>
      <c r="K769" s="5"/>
    </row>
    <row r="770" spans="1:11">
      <c r="A770" s="5" t="s">
        <v>3098</v>
      </c>
      <c r="B770" s="5" t="s">
        <v>3215</v>
      </c>
      <c r="C770" s="5" t="s">
        <v>35</v>
      </c>
      <c r="D770" s="5" t="s">
        <v>3216</v>
      </c>
      <c r="E770" s="5" t="s">
        <v>3189</v>
      </c>
      <c r="F770" s="5" t="s">
        <v>3190</v>
      </c>
      <c r="G770" s="5" t="s">
        <v>3217</v>
      </c>
      <c r="H770" s="5" t="s">
        <v>12</v>
      </c>
      <c r="I770" s="5" t="s">
        <v>40</v>
      </c>
      <c r="J770" s="5" t="s">
        <v>41</v>
      </c>
      <c r="K770" s="5"/>
    </row>
    <row r="771" spans="1:11">
      <c r="A771" s="5" t="s">
        <v>3098</v>
      </c>
      <c r="B771" s="5" t="s">
        <v>3218</v>
      </c>
      <c r="C771" s="5" t="s">
        <v>35</v>
      </c>
      <c r="D771" s="5" t="s">
        <v>3219</v>
      </c>
      <c r="E771" s="5" t="s">
        <v>3189</v>
      </c>
      <c r="F771" s="5" t="s">
        <v>3190</v>
      </c>
      <c r="G771" s="5" t="s">
        <v>3220</v>
      </c>
      <c r="H771" s="5" t="s">
        <v>12</v>
      </c>
      <c r="I771" s="5" t="s">
        <v>40</v>
      </c>
      <c r="J771" s="5" t="s">
        <v>41</v>
      </c>
      <c r="K771" s="5"/>
    </row>
    <row r="772" spans="1:11">
      <c r="A772" s="5" t="s">
        <v>3098</v>
      </c>
      <c r="B772" s="5" t="s">
        <v>3206</v>
      </c>
      <c r="C772" s="5" t="s">
        <v>35</v>
      </c>
      <c r="D772" s="5" t="s">
        <v>3207</v>
      </c>
      <c r="E772" s="5" t="s">
        <v>3189</v>
      </c>
      <c r="F772" s="5" t="s">
        <v>3190</v>
      </c>
      <c r="G772" s="5" t="s">
        <v>3208</v>
      </c>
      <c r="H772" s="5" t="s">
        <v>12</v>
      </c>
      <c r="I772" s="5" t="s">
        <v>40</v>
      </c>
      <c r="J772" s="5" t="s">
        <v>41</v>
      </c>
      <c r="K772" s="5"/>
    </row>
    <row r="773" spans="1:11">
      <c r="A773" s="5" t="s">
        <v>3098</v>
      </c>
      <c r="B773" s="5" t="s">
        <v>3209</v>
      </c>
      <c r="C773" s="5" t="s">
        <v>35</v>
      </c>
      <c r="D773" s="5" t="s">
        <v>3210</v>
      </c>
      <c r="E773" s="5" t="s">
        <v>3189</v>
      </c>
      <c r="F773" s="5" t="s">
        <v>3190</v>
      </c>
      <c r="G773" s="5" t="s">
        <v>3211</v>
      </c>
      <c r="H773" s="5" t="s">
        <v>12</v>
      </c>
      <c r="I773" s="5" t="s">
        <v>40</v>
      </c>
      <c r="J773" s="5" t="s">
        <v>41</v>
      </c>
      <c r="K773" s="5"/>
    </row>
    <row r="774" spans="1:11">
      <c r="A774" s="5" t="s">
        <v>3098</v>
      </c>
      <c r="B774" s="5" t="s">
        <v>3212</v>
      </c>
      <c r="C774" s="5" t="s">
        <v>35</v>
      </c>
      <c r="D774" s="5" t="s">
        <v>3213</v>
      </c>
      <c r="E774" s="5" t="s">
        <v>3189</v>
      </c>
      <c r="F774" s="5" t="s">
        <v>3190</v>
      </c>
      <c r="G774" s="5" t="s">
        <v>3214</v>
      </c>
      <c r="H774" s="5" t="s">
        <v>12</v>
      </c>
      <c r="I774" s="5" t="s">
        <v>40</v>
      </c>
      <c r="J774" s="5" t="s">
        <v>41</v>
      </c>
      <c r="K774" s="5"/>
    </row>
    <row r="775" spans="1:11">
      <c r="A775" s="5" t="s">
        <v>3098</v>
      </c>
      <c r="B775" s="5" t="s">
        <v>3215</v>
      </c>
      <c r="C775" s="5" t="s">
        <v>35</v>
      </c>
      <c r="D775" s="5" t="s">
        <v>3216</v>
      </c>
      <c r="E775" s="5" t="s">
        <v>3189</v>
      </c>
      <c r="F775" s="5" t="s">
        <v>3190</v>
      </c>
      <c r="G775" s="5" t="s">
        <v>3217</v>
      </c>
      <c r="H775" s="5" t="s">
        <v>12</v>
      </c>
      <c r="I775" s="5" t="s">
        <v>40</v>
      </c>
      <c r="J775" s="5" t="s">
        <v>41</v>
      </c>
      <c r="K775" s="5"/>
    </row>
    <row r="776" spans="1:11">
      <c r="A776" s="5" t="s">
        <v>3098</v>
      </c>
      <c r="B776" s="5" t="s">
        <v>3218</v>
      </c>
      <c r="C776" s="5" t="s">
        <v>35</v>
      </c>
      <c r="D776" s="5" t="s">
        <v>3219</v>
      </c>
      <c r="E776" s="5" t="s">
        <v>3189</v>
      </c>
      <c r="F776" s="5" t="s">
        <v>3190</v>
      </c>
      <c r="G776" s="5" t="s">
        <v>3220</v>
      </c>
      <c r="H776" s="5" t="s">
        <v>12</v>
      </c>
      <c r="I776" s="5" t="s">
        <v>40</v>
      </c>
      <c r="J776" s="5" t="s">
        <v>41</v>
      </c>
      <c r="K776" s="5"/>
    </row>
    <row r="777" spans="1:11">
      <c r="A777" s="5" t="s">
        <v>3098</v>
      </c>
      <c r="B777" s="5" t="s">
        <v>3221</v>
      </c>
      <c r="C777" s="5" t="s">
        <v>35</v>
      </c>
      <c r="D777" s="5" t="s">
        <v>3222</v>
      </c>
      <c r="E777" s="5" t="s">
        <v>3223</v>
      </c>
      <c r="F777" s="5" t="s">
        <v>3190</v>
      </c>
      <c r="G777" s="5" t="s">
        <v>3224</v>
      </c>
      <c r="H777" s="5" t="s">
        <v>12</v>
      </c>
      <c r="I777" s="5" t="s">
        <v>40</v>
      </c>
      <c r="J777" s="5" t="s">
        <v>41</v>
      </c>
      <c r="K777" s="5"/>
    </row>
    <row r="778" spans="1:11">
      <c r="A778" s="5" t="s">
        <v>3098</v>
      </c>
      <c r="B778" s="5" t="s">
        <v>3225</v>
      </c>
      <c r="C778" s="5" t="s">
        <v>35</v>
      </c>
      <c r="D778" s="5" t="s">
        <v>3226</v>
      </c>
      <c r="E778" s="5" t="s">
        <v>3223</v>
      </c>
      <c r="F778" s="5" t="s">
        <v>3190</v>
      </c>
      <c r="G778" s="5" t="s">
        <v>3227</v>
      </c>
      <c r="H778" s="5" t="s">
        <v>12</v>
      </c>
      <c r="I778" s="5" t="s">
        <v>40</v>
      </c>
      <c r="J778" s="5" t="s">
        <v>41</v>
      </c>
      <c r="K778" s="5"/>
    </row>
    <row r="779" spans="1:11">
      <c r="A779" s="5" t="s">
        <v>3098</v>
      </c>
      <c r="B779" s="5" t="s">
        <v>3228</v>
      </c>
      <c r="C779" s="5" t="s">
        <v>35</v>
      </c>
      <c r="D779" s="5" t="s">
        <v>3229</v>
      </c>
      <c r="E779" s="5" t="s">
        <v>3223</v>
      </c>
      <c r="F779" s="5" t="s">
        <v>3190</v>
      </c>
      <c r="G779" s="5" t="s">
        <v>3230</v>
      </c>
      <c r="H779" s="5" t="s">
        <v>12</v>
      </c>
      <c r="I779" s="5" t="s">
        <v>40</v>
      </c>
      <c r="J779" s="5" t="s">
        <v>41</v>
      </c>
      <c r="K779" s="5"/>
    </row>
    <row r="780" spans="1:11">
      <c r="A780" s="5" t="s">
        <v>3098</v>
      </c>
      <c r="B780" s="5" t="s">
        <v>3231</v>
      </c>
      <c r="C780" s="5" t="s">
        <v>35</v>
      </c>
      <c r="D780" s="5" t="s">
        <v>3232</v>
      </c>
      <c r="E780" s="5" t="s">
        <v>3223</v>
      </c>
      <c r="F780" s="5" t="s">
        <v>3190</v>
      </c>
      <c r="G780" s="5" t="s">
        <v>3233</v>
      </c>
      <c r="H780" s="5" t="s">
        <v>12</v>
      </c>
      <c r="I780" s="5" t="s">
        <v>40</v>
      </c>
      <c r="J780" s="5" t="s">
        <v>41</v>
      </c>
      <c r="K780" s="5"/>
    </row>
    <row r="781" spans="1:11">
      <c r="A781" s="5" t="s">
        <v>3098</v>
      </c>
      <c r="B781" s="5" t="s">
        <v>3234</v>
      </c>
      <c r="C781" s="5" t="s">
        <v>35</v>
      </c>
      <c r="D781" s="5" t="s">
        <v>3235</v>
      </c>
      <c r="E781" s="5" t="s">
        <v>3223</v>
      </c>
      <c r="F781" s="5" t="s">
        <v>3190</v>
      </c>
      <c r="G781" s="5" t="s">
        <v>3236</v>
      </c>
      <c r="H781" s="5" t="s">
        <v>12</v>
      </c>
      <c r="I781" s="5" t="s">
        <v>40</v>
      </c>
      <c r="J781" s="5" t="s">
        <v>41</v>
      </c>
      <c r="K781" s="5"/>
    </row>
    <row r="782" spans="1:11">
      <c r="A782" s="5" t="s">
        <v>3098</v>
      </c>
      <c r="B782" s="5" t="s">
        <v>3237</v>
      </c>
      <c r="C782" s="5" t="s">
        <v>35</v>
      </c>
      <c r="D782" s="5" t="s">
        <v>3238</v>
      </c>
      <c r="E782" s="5" t="s">
        <v>3223</v>
      </c>
      <c r="F782" s="5" t="s">
        <v>3190</v>
      </c>
      <c r="G782" s="5" t="s">
        <v>3239</v>
      </c>
      <c r="H782" s="5" t="s">
        <v>12</v>
      </c>
      <c r="I782" s="5" t="s">
        <v>40</v>
      </c>
      <c r="J782" s="5" t="s">
        <v>41</v>
      </c>
      <c r="K782" s="5"/>
    </row>
    <row r="783" spans="1:11">
      <c r="A783" s="5" t="s">
        <v>3098</v>
      </c>
      <c r="B783" s="5" t="s">
        <v>3240</v>
      </c>
      <c r="C783" s="5" t="s">
        <v>35</v>
      </c>
      <c r="D783" s="5" t="s">
        <v>3241</v>
      </c>
      <c r="E783" s="5" t="s">
        <v>3242</v>
      </c>
      <c r="F783" s="5" t="s">
        <v>3243</v>
      </c>
      <c r="G783" s="5" t="s">
        <v>3244</v>
      </c>
      <c r="H783" s="5" t="s">
        <v>12</v>
      </c>
      <c r="I783" s="5" t="s">
        <v>40</v>
      </c>
      <c r="J783" s="5" t="s">
        <v>41</v>
      </c>
      <c r="K783" s="5"/>
    </row>
    <row r="784" spans="1:11">
      <c r="A784" s="5" t="s">
        <v>3098</v>
      </c>
      <c r="B784" s="5" t="s">
        <v>3245</v>
      </c>
      <c r="C784" s="5" t="s">
        <v>35</v>
      </c>
      <c r="D784" s="5" t="s">
        <v>3246</v>
      </c>
      <c r="E784" s="5" t="s">
        <v>3247</v>
      </c>
      <c r="F784" s="5" t="s">
        <v>3248</v>
      </c>
      <c r="G784" s="5" t="s">
        <v>3249</v>
      </c>
      <c r="H784" s="5" t="s">
        <v>12</v>
      </c>
      <c r="I784" s="5" t="s">
        <v>40</v>
      </c>
      <c r="J784" s="5" t="s">
        <v>41</v>
      </c>
      <c r="K784" s="5"/>
    </row>
    <row r="785" spans="1:11">
      <c r="A785" s="5" t="s">
        <v>3098</v>
      </c>
      <c r="B785" s="5" t="s">
        <v>3250</v>
      </c>
      <c r="C785" s="5" t="s">
        <v>35</v>
      </c>
      <c r="D785" s="5" t="s">
        <v>3251</v>
      </c>
      <c r="E785" s="5" t="s">
        <v>3252</v>
      </c>
      <c r="F785" s="5" t="s">
        <v>3253</v>
      </c>
      <c r="G785" s="5" t="s">
        <v>3254</v>
      </c>
      <c r="H785" s="5" t="s">
        <v>12</v>
      </c>
      <c r="I785" s="5" t="s">
        <v>40</v>
      </c>
      <c r="J785" s="5" t="s">
        <v>41</v>
      </c>
      <c r="K785" s="5"/>
    </row>
    <row r="786" spans="1:11">
      <c r="A786" s="5" t="s">
        <v>3098</v>
      </c>
      <c r="B786" s="5" t="s">
        <v>3255</v>
      </c>
      <c r="C786" s="5" t="s">
        <v>35</v>
      </c>
      <c r="D786" s="5" t="s">
        <v>3256</v>
      </c>
      <c r="E786" s="5" t="s">
        <v>3257</v>
      </c>
      <c r="F786" s="5" t="s">
        <v>3102</v>
      </c>
      <c r="G786" s="5" t="s">
        <v>3258</v>
      </c>
      <c r="H786" s="5" t="s">
        <v>12</v>
      </c>
      <c r="I786" s="5" t="s">
        <v>40</v>
      </c>
      <c r="J786" s="5" t="s">
        <v>41</v>
      </c>
      <c r="K786" s="5"/>
    </row>
    <row r="787" spans="1:11">
      <c r="A787" s="5" t="s">
        <v>3098</v>
      </c>
      <c r="B787" s="5" t="s">
        <v>3259</v>
      </c>
      <c r="C787" s="5" t="s">
        <v>35</v>
      </c>
      <c r="D787" s="5" t="s">
        <v>3260</v>
      </c>
      <c r="E787" s="5" t="s">
        <v>3261</v>
      </c>
      <c r="F787" s="5" t="s">
        <v>3262</v>
      </c>
      <c r="G787" s="5" t="s">
        <v>3263</v>
      </c>
      <c r="H787" s="5" t="s">
        <v>12</v>
      </c>
      <c r="I787" s="5" t="s">
        <v>40</v>
      </c>
      <c r="J787" s="5" t="s">
        <v>41</v>
      </c>
      <c r="K787" s="5"/>
    </row>
    <row r="788" spans="1:11">
      <c r="A788" s="5" t="s">
        <v>3098</v>
      </c>
      <c r="B788" s="5" t="s">
        <v>3264</v>
      </c>
      <c r="C788" s="5" t="s">
        <v>35</v>
      </c>
      <c r="D788" s="5" t="s">
        <v>3265</v>
      </c>
      <c r="E788" s="5" t="s">
        <v>3266</v>
      </c>
      <c r="F788" s="5" t="s">
        <v>3267</v>
      </c>
      <c r="G788" s="5" t="s">
        <v>3268</v>
      </c>
      <c r="H788" s="5" t="s">
        <v>12</v>
      </c>
      <c r="I788" s="5" t="s">
        <v>40</v>
      </c>
      <c r="J788" s="5" t="s">
        <v>41</v>
      </c>
      <c r="K788" s="5"/>
    </row>
    <row r="789" spans="1:11">
      <c r="A789" s="5" t="s">
        <v>3098</v>
      </c>
      <c r="B789" s="5" t="s">
        <v>3269</v>
      </c>
      <c r="C789" s="5" t="s">
        <v>35</v>
      </c>
      <c r="D789" s="5" t="s">
        <v>3270</v>
      </c>
      <c r="E789" s="5" t="s">
        <v>3271</v>
      </c>
      <c r="F789" s="5" t="s">
        <v>3267</v>
      </c>
      <c r="G789" s="5" t="s">
        <v>3272</v>
      </c>
      <c r="H789" s="5" t="s">
        <v>12</v>
      </c>
      <c r="I789" s="5" t="s">
        <v>40</v>
      </c>
      <c r="J789" s="5" t="s">
        <v>41</v>
      </c>
      <c r="K789" s="5"/>
    </row>
    <row r="790" spans="1:11">
      <c r="A790" s="5" t="s">
        <v>3098</v>
      </c>
      <c r="B790" s="5" t="s">
        <v>3273</v>
      </c>
      <c r="C790" s="5" t="s">
        <v>35</v>
      </c>
      <c r="D790" s="5" t="s">
        <v>3274</v>
      </c>
      <c r="E790" s="5" t="s">
        <v>3275</v>
      </c>
      <c r="F790" s="5" t="s">
        <v>3267</v>
      </c>
      <c r="G790" s="5" t="s">
        <v>3276</v>
      </c>
      <c r="H790" s="5" t="s">
        <v>12</v>
      </c>
      <c r="I790" s="5" t="s">
        <v>40</v>
      </c>
      <c r="J790" s="5" t="s">
        <v>41</v>
      </c>
      <c r="K790" s="5"/>
    </row>
    <row r="791" spans="1:11">
      <c r="A791" s="5" t="s">
        <v>3098</v>
      </c>
      <c r="B791" s="5" t="s">
        <v>3277</v>
      </c>
      <c r="C791" s="5" t="s">
        <v>35</v>
      </c>
      <c r="D791" s="5" t="s">
        <v>3278</v>
      </c>
      <c r="E791" s="5" t="s">
        <v>3279</v>
      </c>
      <c r="F791" s="5" t="s">
        <v>3280</v>
      </c>
      <c r="G791" s="5" t="s">
        <v>3281</v>
      </c>
      <c r="H791" s="5" t="s">
        <v>12</v>
      </c>
      <c r="I791" s="5" t="s">
        <v>40</v>
      </c>
      <c r="J791" s="5" t="s">
        <v>41</v>
      </c>
      <c r="K791" s="5"/>
    </row>
    <row r="792" spans="1:11">
      <c r="A792" s="5" t="s">
        <v>3098</v>
      </c>
      <c r="B792" s="5" t="s">
        <v>3282</v>
      </c>
      <c r="C792" s="5" t="s">
        <v>35</v>
      </c>
      <c r="D792" s="5" t="s">
        <v>3283</v>
      </c>
      <c r="E792" s="5" t="s">
        <v>3284</v>
      </c>
      <c r="F792" s="5" t="s">
        <v>3267</v>
      </c>
      <c r="G792" s="5" t="s">
        <v>3285</v>
      </c>
      <c r="H792" s="5" t="s">
        <v>12</v>
      </c>
      <c r="I792" s="5" t="s">
        <v>40</v>
      </c>
      <c r="J792" s="5" t="s">
        <v>41</v>
      </c>
      <c r="K792" s="5"/>
    </row>
    <row r="793" spans="1:11">
      <c r="A793" s="5" t="s">
        <v>3098</v>
      </c>
      <c r="B793" s="5" t="s">
        <v>3286</v>
      </c>
      <c r="C793" s="5" t="s">
        <v>35</v>
      </c>
      <c r="D793" s="5" t="s">
        <v>3287</v>
      </c>
      <c r="E793" s="5" t="s">
        <v>3288</v>
      </c>
      <c r="F793" s="5" t="s">
        <v>3267</v>
      </c>
      <c r="G793" s="5" t="s">
        <v>3289</v>
      </c>
      <c r="H793" s="5" t="s">
        <v>12</v>
      </c>
      <c r="I793" s="5" t="s">
        <v>40</v>
      </c>
      <c r="J793" s="5" t="s">
        <v>41</v>
      </c>
      <c r="K793" s="5"/>
    </row>
    <row r="794" spans="1:11">
      <c r="A794" s="5" t="s">
        <v>3098</v>
      </c>
      <c r="B794" s="5" t="s">
        <v>3290</v>
      </c>
      <c r="C794" s="5" t="s">
        <v>35</v>
      </c>
      <c r="D794" s="5" t="s">
        <v>3291</v>
      </c>
      <c r="E794" s="5" t="s">
        <v>3292</v>
      </c>
      <c r="F794" s="5" t="s">
        <v>3267</v>
      </c>
      <c r="G794" s="5" t="s">
        <v>3293</v>
      </c>
      <c r="H794" s="5" t="s">
        <v>12</v>
      </c>
      <c r="I794" s="5" t="s">
        <v>40</v>
      </c>
      <c r="J794" s="5" t="s">
        <v>41</v>
      </c>
      <c r="K794" s="5"/>
    </row>
    <row r="795" spans="1:11">
      <c r="A795" s="5" t="s">
        <v>3098</v>
      </c>
      <c r="B795" s="5" t="s">
        <v>3294</v>
      </c>
      <c r="C795" s="5" t="s">
        <v>35</v>
      </c>
      <c r="D795" s="5" t="s">
        <v>3295</v>
      </c>
      <c r="E795" s="5" t="s">
        <v>3296</v>
      </c>
      <c r="F795" s="5" t="s">
        <v>3267</v>
      </c>
      <c r="G795" s="5" t="s">
        <v>3297</v>
      </c>
      <c r="H795" s="5" t="s">
        <v>12</v>
      </c>
      <c r="I795" s="5" t="s">
        <v>40</v>
      </c>
      <c r="J795" s="5" t="s">
        <v>41</v>
      </c>
      <c r="K795" s="5"/>
    </row>
    <row r="796" spans="1:11">
      <c r="A796" s="5" t="s">
        <v>3098</v>
      </c>
      <c r="B796" s="5" t="s">
        <v>3298</v>
      </c>
      <c r="C796" s="5" t="s">
        <v>35</v>
      </c>
      <c r="D796" s="5" t="s">
        <v>3299</v>
      </c>
      <c r="E796" s="5" t="s">
        <v>3300</v>
      </c>
      <c r="F796" s="5" t="s">
        <v>3301</v>
      </c>
      <c r="G796" s="5" t="s">
        <v>3302</v>
      </c>
      <c r="H796" s="5" t="s">
        <v>12</v>
      </c>
      <c r="I796" s="5" t="s">
        <v>40</v>
      </c>
      <c r="J796" s="5" t="s">
        <v>41</v>
      </c>
      <c r="K796" s="5"/>
    </row>
    <row r="797" spans="1:11">
      <c r="A797" s="5" t="s">
        <v>3098</v>
      </c>
      <c r="B797" s="5" t="s">
        <v>3303</v>
      </c>
      <c r="C797" s="5" t="s">
        <v>35</v>
      </c>
      <c r="D797" s="5" t="s">
        <v>3304</v>
      </c>
      <c r="E797" s="5" t="s">
        <v>3305</v>
      </c>
      <c r="F797" s="5" t="s">
        <v>3301</v>
      </c>
      <c r="G797" s="5" t="s">
        <v>3306</v>
      </c>
      <c r="H797" s="5" t="s">
        <v>12</v>
      </c>
      <c r="I797" s="5" t="s">
        <v>40</v>
      </c>
      <c r="J797" s="5" t="s">
        <v>41</v>
      </c>
      <c r="K797" s="5"/>
    </row>
    <row r="798" spans="1:11">
      <c r="A798" s="5" t="s">
        <v>3098</v>
      </c>
      <c r="B798" s="5" t="s">
        <v>3307</v>
      </c>
      <c r="C798" s="5" t="s">
        <v>35</v>
      </c>
      <c r="D798" s="5" t="s">
        <v>3308</v>
      </c>
      <c r="E798" s="5" t="s">
        <v>3309</v>
      </c>
      <c r="F798" s="5" t="s">
        <v>3301</v>
      </c>
      <c r="G798" s="5" t="s">
        <v>3310</v>
      </c>
      <c r="H798" s="5" t="s">
        <v>12</v>
      </c>
      <c r="I798" s="5" t="s">
        <v>40</v>
      </c>
      <c r="J798" s="5" t="s">
        <v>41</v>
      </c>
      <c r="K798" s="5"/>
    </row>
    <row r="799" spans="1:11">
      <c r="A799" s="5" t="s">
        <v>3098</v>
      </c>
      <c r="B799" s="5" t="s">
        <v>3311</v>
      </c>
      <c r="C799" s="5" t="s">
        <v>35</v>
      </c>
      <c r="D799" s="5" t="s">
        <v>3312</v>
      </c>
      <c r="E799" s="5" t="s">
        <v>3313</v>
      </c>
      <c r="F799" s="5" t="s">
        <v>3301</v>
      </c>
      <c r="G799" s="5" t="s">
        <v>3314</v>
      </c>
      <c r="H799" s="5" t="s">
        <v>12</v>
      </c>
      <c r="I799" s="5" t="s">
        <v>40</v>
      </c>
      <c r="J799" s="5" t="s">
        <v>41</v>
      </c>
      <c r="K799" s="5"/>
    </row>
    <row r="800" spans="1:11">
      <c r="A800" s="5" t="s">
        <v>3098</v>
      </c>
      <c r="B800" s="5" t="s">
        <v>3315</v>
      </c>
      <c r="C800" s="5" t="s">
        <v>35</v>
      </c>
      <c r="D800" s="5" t="s">
        <v>3316</v>
      </c>
      <c r="E800" s="5" t="s">
        <v>3317</v>
      </c>
      <c r="F800" s="5" t="s">
        <v>3301</v>
      </c>
      <c r="G800" s="5" t="s">
        <v>3318</v>
      </c>
      <c r="H800" s="5" t="s">
        <v>12</v>
      </c>
      <c r="I800" s="5" t="s">
        <v>40</v>
      </c>
      <c r="J800" s="5" t="s">
        <v>41</v>
      </c>
      <c r="K800" s="5"/>
    </row>
    <row r="801" spans="1:11">
      <c r="A801" s="5" t="s">
        <v>3098</v>
      </c>
      <c r="B801" s="5" t="s">
        <v>3319</v>
      </c>
      <c r="C801" s="5" t="s">
        <v>35</v>
      </c>
      <c r="D801" s="5" t="s">
        <v>3320</v>
      </c>
      <c r="E801" s="5" t="s">
        <v>3321</v>
      </c>
      <c r="F801" s="5" t="s">
        <v>3301</v>
      </c>
      <c r="G801" s="5" t="s">
        <v>3322</v>
      </c>
      <c r="H801" s="5" t="s">
        <v>12</v>
      </c>
      <c r="I801" s="5" t="s">
        <v>40</v>
      </c>
      <c r="J801" s="5" t="s">
        <v>41</v>
      </c>
      <c r="K801" s="5"/>
    </row>
    <row r="802" spans="1:11">
      <c r="A802" s="5" t="s">
        <v>3098</v>
      </c>
      <c r="B802" s="5" t="s">
        <v>3323</v>
      </c>
      <c r="C802" s="5" t="s">
        <v>35</v>
      </c>
      <c r="D802" s="5" t="s">
        <v>3324</v>
      </c>
      <c r="E802" s="5" t="s">
        <v>3325</v>
      </c>
      <c r="F802" s="5" t="s">
        <v>3326</v>
      </c>
      <c r="G802" s="5" t="s">
        <v>3327</v>
      </c>
      <c r="H802" s="5" t="s">
        <v>12</v>
      </c>
      <c r="I802" s="5" t="s">
        <v>40</v>
      </c>
      <c r="J802" s="5" t="s">
        <v>41</v>
      </c>
      <c r="K802" s="5"/>
    </row>
    <row r="803" spans="1:11">
      <c r="A803" s="5" t="s">
        <v>3098</v>
      </c>
      <c r="B803" s="5" t="s">
        <v>3328</v>
      </c>
      <c r="C803" s="5" t="s">
        <v>35</v>
      </c>
      <c r="D803" s="5" t="s">
        <v>3329</v>
      </c>
      <c r="E803" s="5" t="s">
        <v>3330</v>
      </c>
      <c r="F803" s="5" t="s">
        <v>3331</v>
      </c>
      <c r="G803" s="5" t="s">
        <v>3332</v>
      </c>
      <c r="H803" s="5" t="s">
        <v>12</v>
      </c>
      <c r="I803" s="5" t="s">
        <v>40</v>
      </c>
      <c r="J803" s="5" t="s">
        <v>41</v>
      </c>
      <c r="K803" s="5"/>
    </row>
    <row r="804" spans="1:11">
      <c r="A804" s="5" t="s">
        <v>3098</v>
      </c>
      <c r="B804" s="5" t="s">
        <v>3333</v>
      </c>
      <c r="C804" s="5" t="s">
        <v>35</v>
      </c>
      <c r="D804" s="5" t="s">
        <v>3334</v>
      </c>
      <c r="E804" s="5" t="s">
        <v>3335</v>
      </c>
      <c r="F804" s="5" t="s">
        <v>3336</v>
      </c>
      <c r="G804" s="5" t="s">
        <v>3337</v>
      </c>
      <c r="H804" s="5" t="s">
        <v>12</v>
      </c>
      <c r="I804" s="5" t="s">
        <v>40</v>
      </c>
      <c r="J804" s="5" t="s">
        <v>41</v>
      </c>
      <c r="K804" s="5"/>
    </row>
    <row r="805" spans="1:11">
      <c r="A805" s="5" t="s">
        <v>3098</v>
      </c>
      <c r="B805" s="5" t="s">
        <v>3338</v>
      </c>
      <c r="C805" s="5" t="s">
        <v>35</v>
      </c>
      <c r="D805" s="5" t="s">
        <v>3339</v>
      </c>
      <c r="E805" s="5" t="s">
        <v>3340</v>
      </c>
      <c r="F805" s="5" t="s">
        <v>3341</v>
      </c>
      <c r="G805" s="5" t="s">
        <v>3342</v>
      </c>
      <c r="H805" s="5" t="s">
        <v>12</v>
      </c>
      <c r="I805" s="5" t="s">
        <v>40</v>
      </c>
      <c r="J805" s="5" t="s">
        <v>41</v>
      </c>
      <c r="K805" s="5"/>
    </row>
    <row r="806" spans="1:11">
      <c r="A806" s="5" t="s">
        <v>3098</v>
      </c>
      <c r="B806" s="5" t="s">
        <v>3343</v>
      </c>
      <c r="C806" s="5" t="s">
        <v>35</v>
      </c>
      <c r="D806" s="5" t="s">
        <v>3344</v>
      </c>
      <c r="E806" s="5" t="s">
        <v>3345</v>
      </c>
      <c r="F806" s="5" t="s">
        <v>3341</v>
      </c>
      <c r="G806" s="5" t="s">
        <v>3346</v>
      </c>
      <c r="H806" s="5" t="s">
        <v>12</v>
      </c>
      <c r="I806" s="5" t="s">
        <v>40</v>
      </c>
      <c r="J806" s="5" t="s">
        <v>41</v>
      </c>
      <c r="K806" s="5"/>
    </row>
    <row r="807" spans="1:11">
      <c r="A807" s="5" t="s">
        <v>3098</v>
      </c>
      <c r="B807" s="5" t="s">
        <v>3347</v>
      </c>
      <c r="C807" s="5" t="s">
        <v>35</v>
      </c>
      <c r="D807" s="5" t="s">
        <v>3348</v>
      </c>
      <c r="E807" s="5" t="s">
        <v>3349</v>
      </c>
      <c r="F807" s="5" t="s">
        <v>3350</v>
      </c>
      <c r="G807" s="5" t="s">
        <v>3351</v>
      </c>
      <c r="H807" s="5" t="s">
        <v>12</v>
      </c>
      <c r="I807" s="5" t="s">
        <v>40</v>
      </c>
      <c r="J807" s="5" t="s">
        <v>41</v>
      </c>
      <c r="K807" s="5"/>
    </row>
    <row r="808" spans="1:11">
      <c r="A808" s="5" t="s">
        <v>3098</v>
      </c>
      <c r="B808" s="5" t="s">
        <v>3352</v>
      </c>
      <c r="C808" s="5" t="s">
        <v>35</v>
      </c>
      <c r="D808" s="5" t="s">
        <v>3353</v>
      </c>
      <c r="E808" s="5" t="s">
        <v>3354</v>
      </c>
      <c r="F808" s="5" t="s">
        <v>3355</v>
      </c>
      <c r="G808" s="5" t="s">
        <v>3356</v>
      </c>
      <c r="H808" s="5" t="s">
        <v>12</v>
      </c>
      <c r="I808" s="5" t="s">
        <v>40</v>
      </c>
      <c r="J808" s="5" t="s">
        <v>41</v>
      </c>
      <c r="K808" s="5"/>
    </row>
    <row r="809" spans="1:11">
      <c r="A809" s="5" t="s">
        <v>3098</v>
      </c>
      <c r="B809" s="5" t="s">
        <v>3357</v>
      </c>
      <c r="C809" s="5" t="s">
        <v>35</v>
      </c>
      <c r="D809" s="5" t="s">
        <v>3358</v>
      </c>
      <c r="E809" s="5" t="s">
        <v>3359</v>
      </c>
      <c r="F809" s="5" t="s">
        <v>3360</v>
      </c>
      <c r="G809" s="5" t="s">
        <v>3361</v>
      </c>
      <c r="H809" s="5" t="s">
        <v>12</v>
      </c>
      <c r="I809" s="5" t="s">
        <v>40</v>
      </c>
      <c r="J809" s="5" t="s">
        <v>41</v>
      </c>
      <c r="K809" s="5"/>
    </row>
    <row r="810" spans="1:11">
      <c r="A810" s="5" t="s">
        <v>3362</v>
      </c>
      <c r="B810" s="5" t="s">
        <v>3363</v>
      </c>
      <c r="C810" s="5" t="s">
        <v>35</v>
      </c>
      <c r="D810" s="5" t="s">
        <v>3364</v>
      </c>
      <c r="E810" s="5" t="s">
        <v>3365</v>
      </c>
      <c r="F810" s="5" t="s">
        <v>3366</v>
      </c>
      <c r="G810" s="5" t="s">
        <v>3367</v>
      </c>
      <c r="H810" s="5" t="s">
        <v>12</v>
      </c>
      <c r="I810" s="5" t="s">
        <v>40</v>
      </c>
      <c r="J810" s="5" t="s">
        <v>41</v>
      </c>
      <c r="K810" s="5"/>
    </row>
    <row r="811" spans="1:11">
      <c r="A811" s="5" t="s">
        <v>3362</v>
      </c>
      <c r="B811" s="5" t="s">
        <v>3368</v>
      </c>
      <c r="C811" s="5" t="s">
        <v>35</v>
      </c>
      <c r="D811" s="5" t="s">
        <v>3369</v>
      </c>
      <c r="E811" s="5" t="s">
        <v>3370</v>
      </c>
      <c r="F811" s="5" t="s">
        <v>3371</v>
      </c>
      <c r="G811" s="5" t="s">
        <v>3372</v>
      </c>
      <c r="H811" s="5" t="s">
        <v>12</v>
      </c>
      <c r="I811" s="5" t="s">
        <v>40</v>
      </c>
      <c r="J811" s="5" t="s">
        <v>41</v>
      </c>
      <c r="K811" s="5"/>
    </row>
    <row r="812" spans="1:11">
      <c r="A812" s="5" t="s">
        <v>3373</v>
      </c>
      <c r="B812" s="5" t="s">
        <v>3374</v>
      </c>
      <c r="C812" s="5" t="s">
        <v>35</v>
      </c>
      <c r="D812" s="5" t="s">
        <v>3375</v>
      </c>
      <c r="E812" s="5" t="s">
        <v>3376</v>
      </c>
      <c r="F812" s="5" t="s">
        <v>3377</v>
      </c>
      <c r="G812" s="5" t="s">
        <v>3378</v>
      </c>
      <c r="H812" s="5" t="s">
        <v>12</v>
      </c>
      <c r="I812" s="5" t="s">
        <v>40</v>
      </c>
      <c r="J812" s="5" t="s">
        <v>41</v>
      </c>
      <c r="K812" s="5"/>
    </row>
    <row r="813" spans="1:11">
      <c r="A813" s="5" t="s">
        <v>3373</v>
      </c>
      <c r="B813" s="5" t="s">
        <v>3379</v>
      </c>
      <c r="C813" s="5" t="s">
        <v>35</v>
      </c>
      <c r="D813" s="5" t="s">
        <v>3380</v>
      </c>
      <c r="E813" s="5" t="s">
        <v>3381</v>
      </c>
      <c r="F813" s="5" t="s">
        <v>3382</v>
      </c>
      <c r="G813" s="5" t="s">
        <v>3383</v>
      </c>
      <c r="H813" s="5" t="s">
        <v>12</v>
      </c>
      <c r="I813" s="5" t="s">
        <v>40</v>
      </c>
      <c r="J813" s="5" t="s">
        <v>41</v>
      </c>
      <c r="K813" s="5"/>
    </row>
  </sheetData>
  <phoneticPr fontId="5" type="noConversion"/>
  <conditionalFormatting sqref="H1:H997">
    <cfRule type="expression" dxfId="4" priority="1">
      <formula>$H1="PASS"</formula>
    </cfRule>
    <cfRule type="expression" dxfId="3" priority="2">
      <formula>$H1="FAIL"</formula>
    </cfRule>
    <cfRule type="expression" dxfId="2" priority="3">
      <formula>$H1="SKIP"</formula>
    </cfRule>
    <cfRule type="expression" dxfId="1" priority="4">
      <formula>$H1="UNTEST"</formula>
    </cfRule>
  </conditionalFormatting>
  <conditionalFormatting sqref="I1:I997">
    <cfRule type="expression" dxfId="0" priority="5">
      <formula>$I1="NO"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Summary</vt:lpstr>
      <vt:lpstr>TestCases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osr</cp:lastModifiedBy>
  <dcterms:created xsi:type="dcterms:W3CDTF">2026-06-30T01:40:27Z</dcterms:created>
  <dcterms:modified xsi:type="dcterms:W3CDTF">2026-06-30T01:57:54Z</dcterms:modified>
</cp:coreProperties>
</file>